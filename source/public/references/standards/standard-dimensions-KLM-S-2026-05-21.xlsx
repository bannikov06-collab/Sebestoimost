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-KLM\Desktop\Рабочая\"/>
    </mc:Choice>
  </mc:AlternateContent>
  <bookViews>
    <workbookView xWindow="0" yWindow="0" windowWidth="24780" windowHeight="12300"/>
  </bookViews>
  <sheets>
    <sheet name="Стандартные размеры KLM-S" sheetId="1" r:id="rId1"/>
    <sheet name="Можно удалить 68" sheetId="3" state="hidden" r:id="rId2"/>
    <sheet name="Минимальные габариты IP55 и 68" sheetId="4" r:id="rId3"/>
    <sheet name="История изменений" sheetId="6" r:id="rId4"/>
    <sheet name="Максимальные размеры  IP55" sheetId="5" state="hidden" r:id="rId5"/>
  </sheets>
  <externalReferences>
    <externalReference r:id="rId6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5" i="4" l="1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40" i="4"/>
  <c r="C139" i="4"/>
  <c r="B138" i="4"/>
  <c r="B137" i="4"/>
  <c r="B136" i="4"/>
  <c r="B127" i="4"/>
  <c r="B128" i="4"/>
  <c r="B129" i="4"/>
  <c r="B130" i="4"/>
  <c r="B131" i="4"/>
  <c r="B132" i="4"/>
  <c r="B133" i="4"/>
  <c r="B134" i="4"/>
  <c r="B135" i="4"/>
  <c r="B126" i="4"/>
  <c r="B125" i="4"/>
  <c r="B140" i="4"/>
  <c r="B139" i="4"/>
  <c r="AB27" i="4"/>
  <c r="B148" i="4" l="1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47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04" i="4"/>
  <c r="B72" i="4"/>
  <c r="G32" i="4" l="1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H39" i="4"/>
  <c r="C39" i="4"/>
  <c r="G39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C236" i="4" l="1"/>
  <c r="K236" i="4" s="1"/>
  <c r="D236" i="4"/>
  <c r="G236" i="4"/>
  <c r="H236" i="4"/>
  <c r="J236" i="4"/>
  <c r="L236" i="4"/>
  <c r="N236" i="4"/>
  <c r="O236" i="4"/>
  <c r="P236" i="4"/>
  <c r="C237" i="4"/>
  <c r="K237" i="4" s="1"/>
  <c r="D237" i="4"/>
  <c r="L237" i="4" s="1"/>
  <c r="G237" i="4"/>
  <c r="O237" i="4" s="1"/>
  <c r="H237" i="4"/>
  <c r="J237" i="4"/>
  <c r="N237" i="4"/>
  <c r="P237" i="4"/>
  <c r="C238" i="4"/>
  <c r="K238" i="4" s="1"/>
  <c r="D238" i="4"/>
  <c r="L238" i="4" s="1"/>
  <c r="G238" i="4"/>
  <c r="O238" i="4" s="1"/>
  <c r="H238" i="4"/>
  <c r="P238" i="4" s="1"/>
  <c r="J238" i="4"/>
  <c r="N238" i="4"/>
  <c r="C239" i="4"/>
  <c r="D239" i="4"/>
  <c r="G239" i="4"/>
  <c r="O239" i="4" s="1"/>
  <c r="H239" i="4"/>
  <c r="P239" i="4" s="1"/>
  <c r="J239" i="4"/>
  <c r="K239" i="4"/>
  <c r="L239" i="4"/>
  <c r="N239" i="4"/>
  <c r="C240" i="4"/>
  <c r="D240" i="4"/>
  <c r="G240" i="4"/>
  <c r="H240" i="4"/>
  <c r="P240" i="4" s="1"/>
  <c r="J240" i="4"/>
  <c r="K240" i="4"/>
  <c r="L240" i="4"/>
  <c r="N240" i="4"/>
  <c r="O240" i="4"/>
  <c r="C214" i="4"/>
  <c r="D214" i="4"/>
  <c r="G214" i="4"/>
  <c r="H214" i="4"/>
  <c r="K214" i="4"/>
  <c r="L214" i="4"/>
  <c r="O214" i="4"/>
  <c r="P214" i="4"/>
  <c r="C215" i="4"/>
  <c r="D215" i="4"/>
  <c r="G215" i="4"/>
  <c r="H215" i="4"/>
  <c r="K215" i="4"/>
  <c r="L215" i="4"/>
  <c r="O215" i="4"/>
  <c r="P215" i="4"/>
  <c r="C216" i="4"/>
  <c r="D216" i="4"/>
  <c r="G216" i="4"/>
  <c r="H216" i="4"/>
  <c r="K216" i="4"/>
  <c r="L216" i="4"/>
  <c r="O216" i="4"/>
  <c r="P216" i="4"/>
  <c r="C217" i="4"/>
  <c r="D217" i="4"/>
  <c r="G217" i="4"/>
  <c r="H217" i="4"/>
  <c r="K217" i="4"/>
  <c r="L217" i="4"/>
  <c r="O217" i="4"/>
  <c r="P217" i="4"/>
  <c r="C218" i="4"/>
  <c r="D218" i="4"/>
  <c r="G218" i="4"/>
  <c r="H218" i="4"/>
  <c r="K218" i="4"/>
  <c r="L218" i="4"/>
  <c r="O218" i="4"/>
  <c r="P218" i="4"/>
  <c r="B192" i="4"/>
  <c r="C192" i="4"/>
  <c r="F192" i="4"/>
  <c r="G192" i="4"/>
  <c r="J192" i="4"/>
  <c r="K192" i="4"/>
  <c r="N192" i="4"/>
  <c r="O192" i="4" s="1"/>
  <c r="B193" i="4"/>
  <c r="C193" i="4"/>
  <c r="F193" i="4"/>
  <c r="G193" i="4"/>
  <c r="J193" i="4"/>
  <c r="K193" i="4"/>
  <c r="N193" i="4"/>
  <c r="O193" i="4"/>
  <c r="B194" i="4"/>
  <c r="C194" i="4"/>
  <c r="F194" i="4"/>
  <c r="G194" i="4" s="1"/>
  <c r="J194" i="4"/>
  <c r="K194" i="4"/>
  <c r="N194" i="4"/>
  <c r="O194" i="4"/>
  <c r="B195" i="4"/>
  <c r="C195" i="4"/>
  <c r="F195" i="4"/>
  <c r="G195" i="4"/>
  <c r="J195" i="4"/>
  <c r="K195" i="4"/>
  <c r="N195" i="4"/>
  <c r="O195" i="4" s="1"/>
  <c r="B196" i="4"/>
  <c r="C196" i="4"/>
  <c r="F196" i="4"/>
  <c r="G196" i="4"/>
  <c r="J196" i="4"/>
  <c r="K196" i="4"/>
  <c r="N196" i="4"/>
  <c r="O196" i="4"/>
  <c r="B170" i="4"/>
  <c r="D170" i="4" s="1"/>
  <c r="C170" i="4"/>
  <c r="F170" i="4"/>
  <c r="G170" i="4"/>
  <c r="H170" i="4"/>
  <c r="K170" i="4"/>
  <c r="O170" i="4"/>
  <c r="B171" i="4"/>
  <c r="D171" i="4" s="1"/>
  <c r="C171" i="4"/>
  <c r="F171" i="4"/>
  <c r="G171" i="4"/>
  <c r="H171" i="4"/>
  <c r="J171" i="4"/>
  <c r="K171" i="4"/>
  <c r="L171" i="4"/>
  <c r="N171" i="4"/>
  <c r="O171" i="4"/>
  <c r="B172" i="4"/>
  <c r="D172" i="4" s="1"/>
  <c r="C172" i="4"/>
  <c r="F172" i="4"/>
  <c r="G172" i="4"/>
  <c r="H172" i="4"/>
  <c r="K172" i="4"/>
  <c r="O172" i="4"/>
  <c r="F169" i="4"/>
  <c r="B169" i="4"/>
  <c r="D169" i="4"/>
  <c r="C169" i="4"/>
  <c r="G169" i="4"/>
  <c r="H169" i="4"/>
  <c r="K169" i="4"/>
  <c r="O169" i="4"/>
  <c r="C147" i="4"/>
  <c r="D147" i="4"/>
  <c r="F147" i="4"/>
  <c r="G147" i="4"/>
  <c r="H147" i="4"/>
  <c r="J147" i="4"/>
  <c r="K147" i="4"/>
  <c r="L147" i="4"/>
  <c r="N147" i="4"/>
  <c r="O147" i="4"/>
  <c r="P147" i="4"/>
  <c r="C148" i="4"/>
  <c r="D148" i="4"/>
  <c r="F148" i="4"/>
  <c r="G148" i="4"/>
  <c r="H148" i="4"/>
  <c r="J148" i="4"/>
  <c r="K148" i="4"/>
  <c r="L148" i="4"/>
  <c r="N148" i="4"/>
  <c r="O148" i="4"/>
  <c r="P148" i="4"/>
  <c r="C149" i="4"/>
  <c r="D149" i="4"/>
  <c r="F149" i="4"/>
  <c r="G149" i="4"/>
  <c r="H149" i="4"/>
  <c r="J149" i="4"/>
  <c r="K149" i="4"/>
  <c r="L149" i="4"/>
  <c r="N149" i="4"/>
  <c r="O149" i="4"/>
  <c r="P149" i="4"/>
  <c r="C150" i="4"/>
  <c r="D150" i="4"/>
  <c r="F150" i="4"/>
  <c r="G150" i="4"/>
  <c r="H150" i="4"/>
  <c r="J150" i="4"/>
  <c r="K150" i="4"/>
  <c r="L150" i="4"/>
  <c r="N150" i="4"/>
  <c r="O150" i="4"/>
  <c r="P150" i="4"/>
  <c r="C151" i="4"/>
  <c r="D151" i="4"/>
  <c r="F151" i="4"/>
  <c r="G151" i="4"/>
  <c r="H151" i="4"/>
  <c r="J151" i="4"/>
  <c r="K151" i="4"/>
  <c r="L151" i="4"/>
  <c r="N151" i="4"/>
  <c r="O151" i="4"/>
  <c r="P151" i="4"/>
  <c r="C152" i="4"/>
  <c r="D152" i="4"/>
  <c r="F152" i="4"/>
  <c r="G152" i="4"/>
  <c r="H152" i="4"/>
  <c r="J152" i="4"/>
  <c r="K152" i="4"/>
  <c r="L152" i="4"/>
  <c r="N152" i="4"/>
  <c r="O152" i="4"/>
  <c r="P152" i="4"/>
  <c r="J125" i="4"/>
  <c r="K125" i="4"/>
  <c r="D125" i="4"/>
  <c r="L125" i="4" s="1"/>
  <c r="F125" i="4"/>
  <c r="N125" i="4" s="1"/>
  <c r="G125" i="4"/>
  <c r="O125" i="4" s="1"/>
  <c r="H125" i="4"/>
  <c r="P125" i="4" s="1"/>
  <c r="J126" i="4"/>
  <c r="K126" i="4"/>
  <c r="D126" i="4"/>
  <c r="L126" i="4" s="1"/>
  <c r="F126" i="4"/>
  <c r="N126" i="4" s="1"/>
  <c r="G126" i="4"/>
  <c r="O126" i="4" s="1"/>
  <c r="H126" i="4"/>
  <c r="P126" i="4" s="1"/>
  <c r="J127" i="4"/>
  <c r="K127" i="4"/>
  <c r="D127" i="4"/>
  <c r="L127" i="4" s="1"/>
  <c r="F127" i="4"/>
  <c r="N127" i="4" s="1"/>
  <c r="G127" i="4"/>
  <c r="O127" i="4" s="1"/>
  <c r="H127" i="4"/>
  <c r="P127" i="4" s="1"/>
  <c r="J128" i="4"/>
  <c r="K128" i="4"/>
  <c r="D128" i="4"/>
  <c r="L128" i="4" s="1"/>
  <c r="F128" i="4"/>
  <c r="N128" i="4" s="1"/>
  <c r="G128" i="4"/>
  <c r="O128" i="4" s="1"/>
  <c r="H128" i="4"/>
  <c r="P128" i="4" s="1"/>
  <c r="J129" i="4"/>
  <c r="K129" i="4"/>
  <c r="D129" i="4"/>
  <c r="L129" i="4" s="1"/>
  <c r="F129" i="4"/>
  <c r="N129" i="4" s="1"/>
  <c r="G129" i="4"/>
  <c r="O129" i="4" s="1"/>
  <c r="H129" i="4"/>
  <c r="P129" i="4" s="1"/>
  <c r="J130" i="4"/>
  <c r="K130" i="4"/>
  <c r="D130" i="4"/>
  <c r="L130" i="4" s="1"/>
  <c r="F130" i="4"/>
  <c r="N130" i="4" s="1"/>
  <c r="G130" i="4"/>
  <c r="O130" i="4" s="1"/>
  <c r="H130" i="4"/>
  <c r="P130" i="4" s="1"/>
  <c r="D104" i="4"/>
  <c r="L104" i="4" s="1"/>
  <c r="C104" i="4"/>
  <c r="F104" i="4"/>
  <c r="G104" i="4"/>
  <c r="H104" i="4"/>
  <c r="J104" i="4"/>
  <c r="K104" i="4"/>
  <c r="N104" i="4"/>
  <c r="O104" i="4"/>
  <c r="P104" i="4"/>
  <c r="D105" i="4"/>
  <c r="L105" i="4" s="1"/>
  <c r="C105" i="4"/>
  <c r="F105" i="4"/>
  <c r="G105" i="4"/>
  <c r="H105" i="4"/>
  <c r="J105" i="4"/>
  <c r="K105" i="4"/>
  <c r="N105" i="4"/>
  <c r="O105" i="4"/>
  <c r="P105" i="4"/>
  <c r="D106" i="4"/>
  <c r="L106" i="4" s="1"/>
  <c r="C106" i="4"/>
  <c r="F106" i="4"/>
  <c r="G106" i="4"/>
  <c r="H106" i="4"/>
  <c r="P106" i="4" s="1"/>
  <c r="J106" i="4"/>
  <c r="K106" i="4"/>
  <c r="N106" i="4"/>
  <c r="O106" i="4"/>
  <c r="D107" i="4"/>
  <c r="L107" i="4" s="1"/>
  <c r="C107" i="4"/>
  <c r="F107" i="4"/>
  <c r="G107" i="4"/>
  <c r="H107" i="4"/>
  <c r="J107" i="4"/>
  <c r="K107" i="4"/>
  <c r="N107" i="4"/>
  <c r="O107" i="4"/>
  <c r="P107" i="4"/>
  <c r="D108" i="4"/>
  <c r="L108" i="4" s="1"/>
  <c r="C108" i="4"/>
  <c r="F108" i="4"/>
  <c r="G108" i="4"/>
  <c r="H108" i="4"/>
  <c r="P108" i="4" s="1"/>
  <c r="J108" i="4"/>
  <c r="K108" i="4"/>
  <c r="N108" i="4"/>
  <c r="O108" i="4"/>
  <c r="D109" i="4"/>
  <c r="L109" i="4" s="1"/>
  <c r="C109" i="4"/>
  <c r="F109" i="4"/>
  <c r="G109" i="4"/>
  <c r="H109" i="4"/>
  <c r="P109" i="4" s="1"/>
  <c r="J109" i="4"/>
  <c r="K109" i="4"/>
  <c r="N109" i="4"/>
  <c r="O109" i="4"/>
  <c r="B84" i="4"/>
  <c r="D84" i="4"/>
  <c r="L84" i="4" s="1"/>
  <c r="F84" i="4"/>
  <c r="H84" i="4"/>
  <c r="P84" i="4" s="1"/>
  <c r="J84" i="4"/>
  <c r="K84" i="4"/>
  <c r="N84" i="4"/>
  <c r="O84" i="4"/>
  <c r="B85" i="4"/>
  <c r="J85" i="4" s="1"/>
  <c r="F85" i="4"/>
  <c r="N85" i="4" s="1"/>
  <c r="H85" i="4"/>
  <c r="P85" i="4" s="1"/>
  <c r="K85" i="4"/>
  <c r="O85" i="4"/>
  <c r="B86" i="4"/>
  <c r="J86" i="4" s="1"/>
  <c r="F86" i="4"/>
  <c r="N86" i="4" s="1"/>
  <c r="K86" i="4"/>
  <c r="O86" i="4"/>
  <c r="B87" i="4"/>
  <c r="D87" i="4"/>
  <c r="L87" i="4" s="1"/>
  <c r="F87" i="4"/>
  <c r="H87" i="4" s="1"/>
  <c r="P87" i="4" s="1"/>
  <c r="J87" i="4"/>
  <c r="K87" i="4"/>
  <c r="O87" i="4"/>
  <c r="B88" i="4"/>
  <c r="D88" i="4" s="1"/>
  <c r="L88" i="4" s="1"/>
  <c r="F88" i="4"/>
  <c r="N88" i="4" s="1"/>
  <c r="H88" i="4"/>
  <c r="P88" i="4" s="1"/>
  <c r="J88" i="4"/>
  <c r="K88" i="4"/>
  <c r="O88" i="4"/>
  <c r="B62" i="4"/>
  <c r="C62" i="4" s="1"/>
  <c r="G62" i="4"/>
  <c r="H62" i="4" s="1"/>
  <c r="L62" i="4"/>
  <c r="N62" i="4"/>
  <c r="Q62" i="4"/>
  <c r="S62" i="4" s="1"/>
  <c r="B63" i="4"/>
  <c r="C63" i="4" s="1"/>
  <c r="G63" i="4"/>
  <c r="Q63" i="4" s="1"/>
  <c r="S63" i="4" s="1"/>
  <c r="H63" i="4"/>
  <c r="R63" i="4" s="1"/>
  <c r="T63" i="4" s="1"/>
  <c r="I63" i="4"/>
  <c r="J63" i="4"/>
  <c r="L63" i="4"/>
  <c r="N63" i="4" s="1"/>
  <c r="B64" i="4"/>
  <c r="L64" i="4" s="1"/>
  <c r="N64" i="4" s="1"/>
  <c r="C64" i="4"/>
  <c r="M64" i="4" s="1"/>
  <c r="O64" i="4" s="1"/>
  <c r="D64" i="4"/>
  <c r="E64" i="4"/>
  <c r="G64" i="4"/>
  <c r="H64" i="4" s="1"/>
  <c r="Q64" i="4"/>
  <c r="S64" i="4"/>
  <c r="B65" i="4"/>
  <c r="C65" i="4" s="1"/>
  <c r="G65" i="4"/>
  <c r="H65" i="4" s="1"/>
  <c r="L65" i="4"/>
  <c r="N65" i="4"/>
  <c r="Q65" i="4"/>
  <c r="S65" i="4" s="1"/>
  <c r="B66" i="4"/>
  <c r="C66" i="4" s="1"/>
  <c r="G66" i="4"/>
  <c r="Q66" i="4" s="1"/>
  <c r="S66" i="4" s="1"/>
  <c r="H66" i="4"/>
  <c r="R66" i="4" s="1"/>
  <c r="T66" i="4" s="1"/>
  <c r="I66" i="4"/>
  <c r="J66" i="4"/>
  <c r="L66" i="4"/>
  <c r="N66" i="4" s="1"/>
  <c r="Q39" i="4"/>
  <c r="S39" i="4" s="1"/>
  <c r="C40" i="4"/>
  <c r="Q40" i="4"/>
  <c r="S40" i="4" s="1"/>
  <c r="L40" i="4"/>
  <c r="N40" i="4" s="1"/>
  <c r="L41" i="4"/>
  <c r="N41" i="4" s="1"/>
  <c r="H41" i="4"/>
  <c r="C42" i="4"/>
  <c r="H42" i="4"/>
  <c r="Q42" i="4"/>
  <c r="S42" i="4" s="1"/>
  <c r="C43" i="4"/>
  <c r="Q43" i="4"/>
  <c r="S43" i="4" s="1"/>
  <c r="L43" i="4"/>
  <c r="N43" i="4" s="1"/>
  <c r="L44" i="4"/>
  <c r="N44" i="4" s="1"/>
  <c r="H44" i="4"/>
  <c r="N13" i="4"/>
  <c r="O13" i="4"/>
  <c r="Q13" i="4"/>
  <c r="R13" i="4"/>
  <c r="T13" i="4"/>
  <c r="U13" i="4"/>
  <c r="W13" i="4"/>
  <c r="X13" i="4"/>
  <c r="B307" i="1"/>
  <c r="C307" i="1"/>
  <c r="D307" i="1"/>
  <c r="P307" i="1" s="1"/>
  <c r="E307" i="1"/>
  <c r="H307" i="1"/>
  <c r="I307" i="1"/>
  <c r="J307" i="1"/>
  <c r="K307" i="1"/>
  <c r="N307" i="1"/>
  <c r="O307" i="1"/>
  <c r="Q307" i="1"/>
  <c r="T307" i="1"/>
  <c r="U307" i="1"/>
  <c r="V307" i="1"/>
  <c r="W307" i="1"/>
  <c r="B281" i="1"/>
  <c r="N281" i="1" s="1"/>
  <c r="C281" i="1"/>
  <c r="O281" i="1" s="1"/>
  <c r="D281" i="1"/>
  <c r="E281" i="1"/>
  <c r="H281" i="1"/>
  <c r="I281" i="1" s="1"/>
  <c r="U281" i="1" s="1"/>
  <c r="J281" i="1"/>
  <c r="V281" i="1" s="1"/>
  <c r="K281" i="1"/>
  <c r="P281" i="1"/>
  <c r="Q281" i="1"/>
  <c r="T281" i="1"/>
  <c r="W281" i="1"/>
  <c r="B280" i="1"/>
  <c r="C280" i="1" s="1"/>
  <c r="O280" i="1" s="1"/>
  <c r="D280" i="1"/>
  <c r="E280" i="1"/>
  <c r="H280" i="1"/>
  <c r="I280" i="1"/>
  <c r="U280" i="1" s="1"/>
  <c r="J280" i="1"/>
  <c r="V280" i="1" s="1"/>
  <c r="K280" i="1"/>
  <c r="P280" i="1"/>
  <c r="Q280" i="1"/>
  <c r="T280" i="1"/>
  <c r="W280" i="1"/>
  <c r="N239" i="1"/>
  <c r="N240" i="1"/>
  <c r="N241" i="1"/>
  <c r="N238" i="1"/>
  <c r="N235" i="1"/>
  <c r="N236" i="1"/>
  <c r="N237" i="1"/>
  <c r="N234" i="1"/>
  <c r="N227" i="1"/>
  <c r="N228" i="1"/>
  <c r="N229" i="1"/>
  <c r="N230" i="1"/>
  <c r="N231" i="1"/>
  <c r="N232" i="1"/>
  <c r="N226" i="1"/>
  <c r="P230" i="1"/>
  <c r="N233" i="1"/>
  <c r="J238" i="1"/>
  <c r="J239" i="1"/>
  <c r="J240" i="1"/>
  <c r="J241" i="1"/>
  <c r="J237" i="1"/>
  <c r="J234" i="1"/>
  <c r="J235" i="1"/>
  <c r="J236" i="1"/>
  <c r="J233" i="1"/>
  <c r="J227" i="1"/>
  <c r="J228" i="1"/>
  <c r="J229" i="1"/>
  <c r="J230" i="1"/>
  <c r="J231" i="1"/>
  <c r="J232" i="1"/>
  <c r="J226" i="1"/>
  <c r="F239" i="1"/>
  <c r="F240" i="1"/>
  <c r="F241" i="1"/>
  <c r="F238" i="1"/>
  <c r="F237" i="1"/>
  <c r="F232" i="1"/>
  <c r="F233" i="1"/>
  <c r="F234" i="1"/>
  <c r="F235" i="1"/>
  <c r="F236" i="1"/>
  <c r="F231" i="1"/>
  <c r="F227" i="1"/>
  <c r="F228" i="1"/>
  <c r="F229" i="1"/>
  <c r="F230" i="1"/>
  <c r="F226" i="1"/>
  <c r="B241" i="1"/>
  <c r="B240" i="1"/>
  <c r="B239" i="1"/>
  <c r="B238" i="1"/>
  <c r="B237" i="1"/>
  <c r="B227" i="1"/>
  <c r="B228" i="1"/>
  <c r="B229" i="1"/>
  <c r="B230" i="1"/>
  <c r="B231" i="1"/>
  <c r="B232" i="1"/>
  <c r="B233" i="1"/>
  <c r="B234" i="1"/>
  <c r="B235" i="1"/>
  <c r="B236" i="1"/>
  <c r="B226" i="1"/>
  <c r="D230" i="1"/>
  <c r="C230" i="1"/>
  <c r="H230" i="1"/>
  <c r="G230" i="1"/>
  <c r="K230" i="1"/>
  <c r="L230" i="1"/>
  <c r="O230" i="1"/>
  <c r="B204" i="1"/>
  <c r="C204" i="1"/>
  <c r="D204" i="1"/>
  <c r="F204" i="1"/>
  <c r="G204" i="1"/>
  <c r="H204" i="1"/>
  <c r="J204" i="1"/>
  <c r="K204" i="1"/>
  <c r="L204" i="1"/>
  <c r="N204" i="1"/>
  <c r="O204" i="1"/>
  <c r="P204" i="1"/>
  <c r="F189" i="1"/>
  <c r="B189" i="1"/>
  <c r="B188" i="1"/>
  <c r="J178" i="1"/>
  <c r="L178" i="1" s="1"/>
  <c r="C178" i="1"/>
  <c r="K178" i="1" s="1"/>
  <c r="D178" i="1"/>
  <c r="F178" i="1"/>
  <c r="G178" i="1"/>
  <c r="H178" i="1"/>
  <c r="N178" i="1"/>
  <c r="O178" i="1"/>
  <c r="P178" i="1"/>
  <c r="B152" i="1"/>
  <c r="J152" i="1" s="1"/>
  <c r="D152" i="1"/>
  <c r="L152" i="1" s="1"/>
  <c r="F152" i="1"/>
  <c r="H152" i="1"/>
  <c r="K152" i="1"/>
  <c r="N152" i="1"/>
  <c r="O152" i="1"/>
  <c r="P152" i="1"/>
  <c r="C100" i="1"/>
  <c r="E100" i="1"/>
  <c r="F100" i="1"/>
  <c r="H100" i="1"/>
  <c r="I100" i="1"/>
  <c r="K100" i="1"/>
  <c r="L100" i="1"/>
  <c r="N49" i="1"/>
  <c r="O49" i="1"/>
  <c r="P49" i="1"/>
  <c r="Q49" i="1"/>
  <c r="R49" i="1"/>
  <c r="T49" i="1"/>
  <c r="U49" i="1"/>
  <c r="V49" i="1"/>
  <c r="W49" i="1"/>
  <c r="X49" i="1"/>
  <c r="H49" i="1"/>
  <c r="B60" i="1"/>
  <c r="B59" i="1"/>
  <c r="B57" i="1"/>
  <c r="B58" i="1"/>
  <c r="B56" i="1"/>
  <c r="N87" i="4" l="1"/>
  <c r="H86" i="4"/>
  <c r="P86" i="4" s="1"/>
  <c r="D85" i="4"/>
  <c r="L85" i="4" s="1"/>
  <c r="D86" i="4"/>
  <c r="L86" i="4" s="1"/>
  <c r="M66" i="4"/>
  <c r="O66" i="4" s="1"/>
  <c r="E66" i="4"/>
  <c r="R65" i="4"/>
  <c r="T65" i="4" s="1"/>
  <c r="J65" i="4"/>
  <c r="E65" i="4"/>
  <c r="M65" i="4"/>
  <c r="O65" i="4" s="1"/>
  <c r="J64" i="4"/>
  <c r="R64" i="4"/>
  <c r="T64" i="4" s="1"/>
  <c r="M62" i="4"/>
  <c r="O62" i="4" s="1"/>
  <c r="E62" i="4"/>
  <c r="M63" i="4"/>
  <c r="O63" i="4" s="1"/>
  <c r="E63" i="4"/>
  <c r="R62" i="4"/>
  <c r="T62" i="4" s="1"/>
  <c r="J62" i="4"/>
  <c r="D66" i="4"/>
  <c r="I65" i="4"/>
  <c r="D63" i="4"/>
  <c r="I62" i="4"/>
  <c r="D65" i="4"/>
  <c r="I64" i="4"/>
  <c r="D62" i="4"/>
  <c r="M43" i="4"/>
  <c r="O43" i="4" s="1"/>
  <c r="E43" i="4"/>
  <c r="J41" i="4"/>
  <c r="R41" i="4"/>
  <c r="T41" i="4" s="1"/>
  <c r="R42" i="4"/>
  <c r="T42" i="4" s="1"/>
  <c r="J42" i="4"/>
  <c r="E42" i="4"/>
  <c r="M42" i="4"/>
  <c r="O42" i="4" s="1"/>
  <c r="J44" i="4"/>
  <c r="R44" i="4"/>
  <c r="T44" i="4" s="1"/>
  <c r="M40" i="4"/>
  <c r="O40" i="4" s="1"/>
  <c r="E40" i="4"/>
  <c r="E39" i="4"/>
  <c r="M39" i="4"/>
  <c r="O39" i="4" s="1"/>
  <c r="D44" i="4"/>
  <c r="I43" i="4"/>
  <c r="D41" i="4"/>
  <c r="I40" i="4"/>
  <c r="C44" i="4"/>
  <c r="H43" i="4"/>
  <c r="C41" i="4"/>
  <c r="H40" i="4"/>
  <c r="Q44" i="4"/>
  <c r="S44" i="4" s="1"/>
  <c r="L42" i="4"/>
  <c r="N42" i="4" s="1"/>
  <c r="L39" i="4"/>
  <c r="N39" i="4" s="1"/>
  <c r="Q41" i="4"/>
  <c r="S41" i="4" s="1"/>
  <c r="D43" i="4"/>
  <c r="I42" i="4"/>
  <c r="D40" i="4"/>
  <c r="I39" i="4"/>
  <c r="I44" i="4"/>
  <c r="D42" i="4"/>
  <c r="I41" i="4"/>
  <c r="D39" i="4"/>
  <c r="N280" i="1"/>
  <c r="J40" i="4" l="1"/>
  <c r="R40" i="4"/>
  <c r="T40" i="4" s="1"/>
  <c r="E44" i="4"/>
  <c r="M44" i="4"/>
  <c r="O44" i="4" s="1"/>
  <c r="M41" i="4"/>
  <c r="O41" i="4" s="1"/>
  <c r="E41" i="4"/>
  <c r="R43" i="4"/>
  <c r="T43" i="4" s="1"/>
  <c r="J43" i="4"/>
  <c r="R39" i="4"/>
  <c r="T39" i="4" s="1"/>
  <c r="J39" i="4"/>
  <c r="B51" i="1" l="1"/>
  <c r="B52" i="1"/>
  <c r="B53" i="1"/>
  <c r="B54" i="1"/>
  <c r="B55" i="1"/>
  <c r="B46" i="1"/>
  <c r="B47" i="1"/>
  <c r="B48" i="1"/>
  <c r="B49" i="1"/>
  <c r="B50" i="1"/>
  <c r="B45" i="1"/>
  <c r="O16" i="1"/>
  <c r="P16" i="1"/>
  <c r="Q16" i="1"/>
  <c r="R16" i="1"/>
  <c r="S16" i="1"/>
  <c r="T16" i="1"/>
  <c r="U16" i="1"/>
  <c r="V16" i="1"/>
  <c r="W16" i="1"/>
  <c r="X16" i="1"/>
  <c r="Y16" i="1"/>
  <c r="N16" i="1"/>
  <c r="H16" i="1"/>
  <c r="B16" i="1"/>
  <c r="B70" i="4" l="1"/>
  <c r="N11" i="4"/>
  <c r="O11" i="4"/>
  <c r="Q11" i="4"/>
  <c r="R11" i="4"/>
  <c r="T11" i="4"/>
  <c r="U11" i="4"/>
  <c r="W11" i="4"/>
  <c r="X11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29" i="4"/>
  <c r="A207" i="4"/>
  <c r="A184" i="4"/>
  <c r="A162" i="4"/>
  <c r="A140" i="4"/>
  <c r="A119" i="4"/>
  <c r="A99" i="4"/>
  <c r="A62" i="4"/>
  <c r="A67" i="4"/>
  <c r="A68" i="4"/>
  <c r="A69" i="4"/>
  <c r="A70" i="4"/>
  <c r="A71" i="4"/>
  <c r="A72" i="4"/>
  <c r="A73" i="4"/>
  <c r="A74" i="4"/>
  <c r="A75" i="4"/>
  <c r="A76" i="4"/>
  <c r="A77" i="4"/>
  <c r="A64" i="4"/>
  <c r="A65" i="4"/>
  <c r="A66" i="4"/>
  <c r="A63" i="4"/>
  <c r="A39" i="4"/>
  <c r="A54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B305" i="1"/>
  <c r="C305" i="1" s="1"/>
  <c r="O305" i="1" s="1"/>
  <c r="D305" i="1"/>
  <c r="E305" i="1"/>
  <c r="H305" i="1"/>
  <c r="I305" i="1" s="1"/>
  <c r="U305" i="1" s="1"/>
  <c r="J305" i="1"/>
  <c r="K305" i="1"/>
  <c r="N305" i="1"/>
  <c r="P305" i="1"/>
  <c r="Q305" i="1"/>
  <c r="T305" i="1"/>
  <c r="V305" i="1"/>
  <c r="W305" i="1"/>
  <c r="A303" i="1"/>
  <c r="A304" i="1"/>
  <c r="A305" i="1"/>
  <c r="A306" i="1"/>
  <c r="A307" i="1"/>
  <c r="A308" i="1"/>
  <c r="A309" i="1"/>
  <c r="A310" i="1"/>
  <c r="W60" i="1"/>
  <c r="V60" i="1"/>
  <c r="R60" i="1"/>
  <c r="Q60" i="1"/>
  <c r="P60" i="1"/>
  <c r="H60" i="1"/>
  <c r="T60" i="1" s="1"/>
  <c r="N60" i="1"/>
  <c r="W59" i="1"/>
  <c r="V59" i="1"/>
  <c r="R59" i="1"/>
  <c r="Q59" i="1"/>
  <c r="P59" i="1"/>
  <c r="H59" i="1"/>
  <c r="T59" i="1" s="1"/>
  <c r="N59" i="1"/>
  <c r="W58" i="1"/>
  <c r="V58" i="1"/>
  <c r="R58" i="1"/>
  <c r="Q58" i="1"/>
  <c r="P58" i="1"/>
  <c r="H58" i="1"/>
  <c r="T58" i="1" s="1"/>
  <c r="N58" i="1"/>
  <c r="W57" i="1"/>
  <c r="V57" i="1"/>
  <c r="R57" i="1"/>
  <c r="Q57" i="1"/>
  <c r="P57" i="1"/>
  <c r="H57" i="1"/>
  <c r="T57" i="1" s="1"/>
  <c r="N57" i="1"/>
  <c r="W56" i="1"/>
  <c r="R56" i="1"/>
  <c r="Q56" i="1"/>
  <c r="P56" i="1"/>
  <c r="H56" i="1"/>
  <c r="T56" i="1" s="1"/>
  <c r="N56" i="1"/>
  <c r="W55" i="1"/>
  <c r="R55" i="1"/>
  <c r="Q55" i="1"/>
  <c r="P55" i="1"/>
  <c r="H55" i="1"/>
  <c r="T55" i="1" s="1"/>
  <c r="N55" i="1"/>
  <c r="W54" i="1"/>
  <c r="R54" i="1"/>
  <c r="Q54" i="1"/>
  <c r="P54" i="1"/>
  <c r="H54" i="1"/>
  <c r="T54" i="1" s="1"/>
  <c r="N54" i="1"/>
  <c r="W53" i="1"/>
  <c r="R53" i="1"/>
  <c r="Q53" i="1"/>
  <c r="P53" i="1"/>
  <c r="H53" i="1"/>
  <c r="T53" i="1" s="1"/>
  <c r="N53" i="1"/>
  <c r="W52" i="1"/>
  <c r="V52" i="1"/>
  <c r="R52" i="1"/>
  <c r="Q52" i="1"/>
  <c r="P52" i="1"/>
  <c r="H52" i="1"/>
  <c r="T52" i="1" s="1"/>
  <c r="N52" i="1"/>
  <c r="W51" i="1"/>
  <c r="V51" i="1"/>
  <c r="R51" i="1"/>
  <c r="Q51" i="1"/>
  <c r="P51" i="1"/>
  <c r="L51" i="1"/>
  <c r="L52" i="1" s="1"/>
  <c r="H51" i="1"/>
  <c r="T51" i="1" s="1"/>
  <c r="U51" i="1"/>
  <c r="N51" i="1"/>
  <c r="X50" i="1"/>
  <c r="W50" i="1"/>
  <c r="V50" i="1"/>
  <c r="U50" i="1"/>
  <c r="R50" i="1"/>
  <c r="Q50" i="1"/>
  <c r="P50" i="1"/>
  <c r="O50" i="1"/>
  <c r="I50" i="1"/>
  <c r="H50" i="1"/>
  <c r="T50" i="1" s="1"/>
  <c r="N50" i="1"/>
  <c r="X48" i="1"/>
  <c r="W48" i="1"/>
  <c r="V48" i="1"/>
  <c r="U48" i="1"/>
  <c r="R48" i="1"/>
  <c r="Q48" i="1"/>
  <c r="P48" i="1"/>
  <c r="O48" i="1"/>
  <c r="H48" i="1"/>
  <c r="T48" i="1" s="1"/>
  <c r="N48" i="1"/>
  <c r="X47" i="1"/>
  <c r="W47" i="1"/>
  <c r="V47" i="1"/>
  <c r="U47" i="1"/>
  <c r="R47" i="1"/>
  <c r="Q47" i="1"/>
  <c r="P47" i="1"/>
  <c r="O47" i="1"/>
  <c r="H47" i="1"/>
  <c r="T47" i="1" s="1"/>
  <c r="N47" i="1"/>
  <c r="X46" i="1"/>
  <c r="W46" i="1"/>
  <c r="V46" i="1"/>
  <c r="U46" i="1"/>
  <c r="R46" i="1"/>
  <c r="Q46" i="1"/>
  <c r="P46" i="1"/>
  <c r="O46" i="1"/>
  <c r="H46" i="1"/>
  <c r="T46" i="1" s="1"/>
  <c r="N46" i="1"/>
  <c r="X45" i="1"/>
  <c r="W45" i="1"/>
  <c r="V45" i="1"/>
  <c r="U45" i="1"/>
  <c r="R45" i="1"/>
  <c r="Q45" i="1"/>
  <c r="P45" i="1"/>
  <c r="O45" i="1"/>
  <c r="H45" i="1"/>
  <c r="T45" i="1" s="1"/>
  <c r="N45" i="1"/>
  <c r="D279" i="1"/>
  <c r="P279" i="1" s="1"/>
  <c r="A278" i="1"/>
  <c r="A279" i="1"/>
  <c r="A280" i="1"/>
  <c r="A281" i="1"/>
  <c r="A282" i="1"/>
  <c r="B253" i="1"/>
  <c r="D253" i="1"/>
  <c r="E279" i="1" s="1"/>
  <c r="G253" i="1"/>
  <c r="I253" i="1"/>
  <c r="K279" i="1" s="1"/>
  <c r="L253" i="1"/>
  <c r="N253" i="1"/>
  <c r="Q279" i="1" s="1"/>
  <c r="Q253" i="1"/>
  <c r="S253" i="1"/>
  <c r="W279" i="1" s="1"/>
  <c r="B254" i="1"/>
  <c r="D254" i="1"/>
  <c r="G254" i="1"/>
  <c r="I254" i="1"/>
  <c r="L254" i="1"/>
  <c r="N254" i="1"/>
  <c r="Q254" i="1"/>
  <c r="S254" i="1"/>
  <c r="B255" i="1"/>
  <c r="D255" i="1"/>
  <c r="N255" i="1" s="1"/>
  <c r="G255" i="1"/>
  <c r="I255" i="1"/>
  <c r="S255" i="1" s="1"/>
  <c r="L255" i="1"/>
  <c r="Q255" i="1"/>
  <c r="A252" i="1"/>
  <c r="A253" i="1"/>
  <c r="A254" i="1"/>
  <c r="A255" i="1"/>
  <c r="A256" i="1"/>
  <c r="A227" i="1"/>
  <c r="A228" i="1"/>
  <c r="A229" i="1"/>
  <c r="A230" i="1"/>
  <c r="A231" i="1"/>
  <c r="D202" i="1"/>
  <c r="L202" i="1" s="1"/>
  <c r="D203" i="1"/>
  <c r="H203" i="1"/>
  <c r="B202" i="1"/>
  <c r="J202" i="1" s="1"/>
  <c r="H202" i="1"/>
  <c r="P202" i="1" s="1"/>
  <c r="A201" i="1"/>
  <c r="A202" i="1"/>
  <c r="A203" i="1"/>
  <c r="A204" i="1"/>
  <c r="A205" i="1"/>
  <c r="A176" i="1"/>
  <c r="A177" i="1"/>
  <c r="A178" i="1"/>
  <c r="A179" i="1"/>
  <c r="A180" i="1"/>
  <c r="B150" i="1"/>
  <c r="J150" i="1" s="1"/>
  <c r="K150" i="1"/>
  <c r="O150" i="1"/>
  <c r="B151" i="1"/>
  <c r="J151" i="1" s="1"/>
  <c r="K151" i="1"/>
  <c r="O151" i="1"/>
  <c r="A149" i="1"/>
  <c r="A150" i="1"/>
  <c r="A151" i="1"/>
  <c r="A152" i="1"/>
  <c r="A153" i="1"/>
  <c r="A154" i="1"/>
  <c r="B124" i="1"/>
  <c r="D124" i="1"/>
  <c r="F124" i="1"/>
  <c r="H124" i="1"/>
  <c r="K124" i="1"/>
  <c r="O124" i="1"/>
  <c r="B125" i="1"/>
  <c r="D125" i="1"/>
  <c r="F125" i="1"/>
  <c r="H125" i="1"/>
  <c r="K125" i="1"/>
  <c r="O125" i="1"/>
  <c r="B126" i="1"/>
  <c r="D126" i="1"/>
  <c r="F126" i="1"/>
  <c r="H126" i="1"/>
  <c r="K126" i="1"/>
  <c r="O126" i="1"/>
  <c r="B127" i="1"/>
  <c r="D127" i="1"/>
  <c r="F127" i="1"/>
  <c r="H127" i="1"/>
  <c r="K127" i="1"/>
  <c r="O127" i="1"/>
  <c r="B122" i="1"/>
  <c r="D122" i="1"/>
  <c r="F122" i="1"/>
  <c r="H122" i="1"/>
  <c r="K122" i="1"/>
  <c r="O122" i="1"/>
  <c r="B123" i="1"/>
  <c r="D123" i="1"/>
  <c r="F123" i="1"/>
  <c r="H123" i="1"/>
  <c r="K123" i="1"/>
  <c r="O123" i="1"/>
  <c r="B128" i="1"/>
  <c r="D128" i="1"/>
  <c r="F128" i="1"/>
  <c r="H128" i="1"/>
  <c r="K128" i="1"/>
  <c r="O128" i="1"/>
  <c r="A122" i="1"/>
  <c r="A123" i="1"/>
  <c r="A124" i="1"/>
  <c r="A125" i="1"/>
  <c r="A126" i="1"/>
  <c r="A127" i="1"/>
  <c r="A128" i="1"/>
  <c r="A102" i="1"/>
  <c r="A103" i="1"/>
  <c r="A104" i="1"/>
  <c r="A105" i="1"/>
  <c r="A106" i="1"/>
  <c r="A107" i="1"/>
  <c r="A108" i="1"/>
  <c r="A109" i="1"/>
  <c r="A110" i="1"/>
  <c r="A111" i="1"/>
  <c r="A96" i="1"/>
  <c r="A97" i="1"/>
  <c r="A98" i="1"/>
  <c r="A99" i="1"/>
  <c r="A100" i="1"/>
  <c r="A71" i="1"/>
  <c r="A72" i="1"/>
  <c r="A73" i="1"/>
  <c r="A74" i="1"/>
  <c r="A75" i="1"/>
  <c r="A76" i="1"/>
  <c r="A101" i="1"/>
  <c r="H98" i="1"/>
  <c r="E98" i="1"/>
  <c r="K98" i="1" s="1"/>
  <c r="C98" i="1"/>
  <c r="I98" i="1" s="1"/>
  <c r="H74" i="1"/>
  <c r="J125" i="1" s="1"/>
  <c r="L75" i="1"/>
  <c r="P126" i="1" s="1"/>
  <c r="K75" i="1"/>
  <c r="N126" i="1" s="1"/>
  <c r="I75" i="1"/>
  <c r="L126" i="1" s="1"/>
  <c r="H75" i="1"/>
  <c r="J126" i="1" s="1"/>
  <c r="L73" i="1"/>
  <c r="P124" i="1" s="1"/>
  <c r="K73" i="1"/>
  <c r="N124" i="1" s="1"/>
  <c r="I73" i="1"/>
  <c r="L124" i="1" s="1"/>
  <c r="H73" i="1"/>
  <c r="J124" i="1" s="1"/>
  <c r="X14" i="1"/>
  <c r="W14" i="1"/>
  <c r="V14" i="1"/>
  <c r="U14" i="1"/>
  <c r="R14" i="1"/>
  <c r="Q14" i="1"/>
  <c r="P14" i="1"/>
  <c r="O14" i="1"/>
  <c r="H14" i="1"/>
  <c r="T14" i="1" s="1"/>
  <c r="B14" i="1"/>
  <c r="N14" i="1" s="1"/>
  <c r="H131" i="1"/>
  <c r="F130" i="1"/>
  <c r="U12" i="1"/>
  <c r="U13" i="1"/>
  <c r="U15" i="1"/>
  <c r="U17" i="1"/>
  <c r="G110" i="4"/>
  <c r="G111" i="4"/>
  <c r="G112" i="4"/>
  <c r="G113" i="4"/>
  <c r="G114" i="4"/>
  <c r="G115" i="4"/>
  <c r="G116" i="4"/>
  <c r="G117" i="4"/>
  <c r="G118" i="4"/>
  <c r="G119" i="4"/>
  <c r="E61" i="3"/>
  <c r="K61" i="3" s="1"/>
  <c r="E97" i="1"/>
  <c r="E99" i="1"/>
  <c r="F151" i="1" s="1"/>
  <c r="E101" i="1"/>
  <c r="E58" i="3" s="1"/>
  <c r="E102" i="1"/>
  <c r="E59" i="3" s="1"/>
  <c r="K59" i="3" s="1"/>
  <c r="B61" i="3"/>
  <c r="H61" i="3" s="1"/>
  <c r="B62" i="3"/>
  <c r="H62" i="3" s="1"/>
  <c r="B63" i="3"/>
  <c r="H63" i="3" s="1"/>
  <c r="B60" i="3"/>
  <c r="H60" i="3" s="1"/>
  <c r="C97" i="1"/>
  <c r="F97" i="1" s="1"/>
  <c r="C99" i="1"/>
  <c r="F99" i="1" s="1"/>
  <c r="G177" i="1" s="1"/>
  <c r="O177" i="1" s="1"/>
  <c r="C101" i="1"/>
  <c r="F101" i="1" s="1"/>
  <c r="F58" i="3" s="1"/>
  <c r="C102" i="1"/>
  <c r="F102" i="1" s="1"/>
  <c r="F59" i="3" s="1"/>
  <c r="L59" i="3" s="1"/>
  <c r="C96" i="1"/>
  <c r="C104" i="1"/>
  <c r="C105" i="1"/>
  <c r="C106" i="1"/>
  <c r="C184" i="1" s="1"/>
  <c r="O51" i="1" l="1"/>
  <c r="X52" i="1"/>
  <c r="L53" i="1"/>
  <c r="X51" i="1"/>
  <c r="I51" i="1"/>
  <c r="J279" i="1"/>
  <c r="V279" i="1" s="1"/>
  <c r="H279" i="1"/>
  <c r="B279" i="1"/>
  <c r="F202" i="1"/>
  <c r="N202" i="1" s="1"/>
  <c r="C202" i="1"/>
  <c r="K202" i="1" s="1"/>
  <c r="C177" i="1"/>
  <c r="K177" i="1" s="1"/>
  <c r="F176" i="1"/>
  <c r="C176" i="1"/>
  <c r="K176" i="1" s="1"/>
  <c r="B176" i="1"/>
  <c r="H151" i="1"/>
  <c r="P151" i="1" s="1"/>
  <c r="N151" i="1"/>
  <c r="D150" i="1"/>
  <c r="L150" i="1" s="1"/>
  <c r="D151" i="1"/>
  <c r="L151" i="1" s="1"/>
  <c r="F150" i="1"/>
  <c r="N150" i="1" s="1"/>
  <c r="F98" i="1"/>
  <c r="E108" i="1"/>
  <c r="E107" i="1"/>
  <c r="E64" i="3" s="1"/>
  <c r="E106" i="1"/>
  <c r="E63" i="3" s="1"/>
  <c r="K63" i="3" s="1"/>
  <c r="E105" i="1"/>
  <c r="E62" i="3" s="1"/>
  <c r="K62" i="3" s="1"/>
  <c r="E103" i="1"/>
  <c r="E60" i="3" s="1"/>
  <c r="K60" i="3" s="1"/>
  <c r="F96" i="1"/>
  <c r="E96" i="1"/>
  <c r="I199" i="3"/>
  <c r="K199" i="3"/>
  <c r="I200" i="3"/>
  <c r="K200" i="3"/>
  <c r="I201" i="3"/>
  <c r="K201" i="3"/>
  <c r="I202" i="3"/>
  <c r="K202" i="3"/>
  <c r="I203" i="3"/>
  <c r="K203" i="3"/>
  <c r="I204" i="3"/>
  <c r="K204" i="3"/>
  <c r="I205" i="3"/>
  <c r="K205" i="3"/>
  <c r="I206" i="3"/>
  <c r="K206" i="3"/>
  <c r="I207" i="3"/>
  <c r="K207" i="3"/>
  <c r="I208" i="3"/>
  <c r="K208" i="3"/>
  <c r="I198" i="3"/>
  <c r="K198" i="3"/>
  <c r="E199" i="3"/>
  <c r="E200" i="3"/>
  <c r="E201" i="3"/>
  <c r="E202" i="3"/>
  <c r="E203" i="3"/>
  <c r="E204" i="3"/>
  <c r="E205" i="3"/>
  <c r="E206" i="3"/>
  <c r="E207" i="3"/>
  <c r="E208" i="3"/>
  <c r="E198" i="3"/>
  <c r="E184" i="3"/>
  <c r="E185" i="3"/>
  <c r="E186" i="3"/>
  <c r="E187" i="3"/>
  <c r="E188" i="3"/>
  <c r="E189" i="3"/>
  <c r="E190" i="3"/>
  <c r="E191" i="3"/>
  <c r="E192" i="3"/>
  <c r="E193" i="3"/>
  <c r="E183" i="3"/>
  <c r="C199" i="3"/>
  <c r="C200" i="3"/>
  <c r="C201" i="3"/>
  <c r="C202" i="3"/>
  <c r="C203" i="3"/>
  <c r="C204" i="3"/>
  <c r="C205" i="3"/>
  <c r="C206" i="3"/>
  <c r="C207" i="3"/>
  <c r="C208" i="3"/>
  <c r="C198" i="3"/>
  <c r="I183" i="3"/>
  <c r="I184" i="3"/>
  <c r="I185" i="3"/>
  <c r="I186" i="3"/>
  <c r="I187" i="3"/>
  <c r="I188" i="3"/>
  <c r="I189" i="3"/>
  <c r="I190" i="3"/>
  <c r="I191" i="3"/>
  <c r="I192" i="3"/>
  <c r="I193" i="3"/>
  <c r="C183" i="3"/>
  <c r="C184" i="3"/>
  <c r="C185" i="3"/>
  <c r="C186" i="3"/>
  <c r="C187" i="3"/>
  <c r="C188" i="3"/>
  <c r="C189" i="3"/>
  <c r="C190" i="3"/>
  <c r="C191" i="3"/>
  <c r="C192" i="3"/>
  <c r="C193" i="3"/>
  <c r="G101" i="3"/>
  <c r="G102" i="3"/>
  <c r="G103" i="3"/>
  <c r="G104" i="3"/>
  <c r="G105" i="3"/>
  <c r="G106" i="3"/>
  <c r="G107" i="3"/>
  <c r="G108" i="3"/>
  <c r="G109" i="3"/>
  <c r="G110" i="3"/>
  <c r="G100" i="3"/>
  <c r="C101" i="3"/>
  <c r="C102" i="3"/>
  <c r="C103" i="3"/>
  <c r="C104" i="3"/>
  <c r="C105" i="3"/>
  <c r="C106" i="3"/>
  <c r="C107" i="3"/>
  <c r="C108" i="3"/>
  <c r="C109" i="3"/>
  <c r="C110" i="3"/>
  <c r="C100" i="3"/>
  <c r="J80" i="3"/>
  <c r="K80" i="3"/>
  <c r="J81" i="3"/>
  <c r="K81" i="3"/>
  <c r="J82" i="3"/>
  <c r="K82" i="3"/>
  <c r="J83" i="3"/>
  <c r="K83" i="3"/>
  <c r="J84" i="3"/>
  <c r="K84" i="3"/>
  <c r="J85" i="3"/>
  <c r="K85" i="3"/>
  <c r="J86" i="3"/>
  <c r="K86" i="3"/>
  <c r="J87" i="3"/>
  <c r="K87" i="3"/>
  <c r="J88" i="3"/>
  <c r="K88" i="3"/>
  <c r="J89" i="3"/>
  <c r="K89" i="3"/>
  <c r="O80" i="3"/>
  <c r="O81" i="3"/>
  <c r="O82" i="3"/>
  <c r="O83" i="3"/>
  <c r="O84" i="3"/>
  <c r="O85" i="3"/>
  <c r="O86" i="3"/>
  <c r="O87" i="3"/>
  <c r="O88" i="3"/>
  <c r="O89" i="3"/>
  <c r="K39" i="3"/>
  <c r="K40" i="3"/>
  <c r="K41" i="3"/>
  <c r="K42" i="3"/>
  <c r="K43" i="3"/>
  <c r="K44" i="3"/>
  <c r="K45" i="3"/>
  <c r="K46" i="3"/>
  <c r="K47" i="3"/>
  <c r="K48" i="3"/>
  <c r="L38" i="3"/>
  <c r="K38" i="3"/>
  <c r="J79" i="3"/>
  <c r="H79" i="3"/>
  <c r="P79" i="3" s="1"/>
  <c r="F80" i="3"/>
  <c r="N80" i="3" s="1"/>
  <c r="F81" i="3"/>
  <c r="N81" i="3" s="1"/>
  <c r="F82" i="3"/>
  <c r="N82" i="3" s="1"/>
  <c r="F83" i="3"/>
  <c r="N83" i="3" s="1"/>
  <c r="F84" i="3"/>
  <c r="N84" i="3" s="1"/>
  <c r="F85" i="3"/>
  <c r="N85" i="3" s="1"/>
  <c r="F86" i="3"/>
  <c r="N86" i="3" s="1"/>
  <c r="F87" i="3"/>
  <c r="N87" i="3" s="1"/>
  <c r="F88" i="3"/>
  <c r="N88" i="3" s="1"/>
  <c r="F89" i="3"/>
  <c r="N89" i="3" s="1"/>
  <c r="F79" i="3"/>
  <c r="N79" i="3" s="1"/>
  <c r="D79" i="3"/>
  <c r="L79" i="3" s="1"/>
  <c r="B80" i="3"/>
  <c r="B81" i="3"/>
  <c r="B82" i="3"/>
  <c r="B83" i="3"/>
  <c r="B84" i="3"/>
  <c r="B85" i="3"/>
  <c r="B86" i="3"/>
  <c r="B87" i="3"/>
  <c r="B88" i="3"/>
  <c r="B89" i="3"/>
  <c r="B79" i="3"/>
  <c r="K79" i="3"/>
  <c r="O79" i="3"/>
  <c r="F129" i="1"/>
  <c r="F131" i="1"/>
  <c r="F132" i="1"/>
  <c r="F133" i="1"/>
  <c r="F134" i="1"/>
  <c r="F135" i="1"/>
  <c r="F136" i="1"/>
  <c r="F137" i="1"/>
  <c r="H129" i="1"/>
  <c r="H130" i="1"/>
  <c r="H132" i="1"/>
  <c r="H133" i="1"/>
  <c r="H134" i="1"/>
  <c r="H135" i="1"/>
  <c r="H136" i="1"/>
  <c r="H137" i="1"/>
  <c r="D129" i="1"/>
  <c r="D130" i="1"/>
  <c r="D131" i="1"/>
  <c r="D132" i="1"/>
  <c r="D133" i="1"/>
  <c r="D134" i="1"/>
  <c r="D135" i="1"/>
  <c r="D136" i="1"/>
  <c r="D137" i="1"/>
  <c r="B129" i="1"/>
  <c r="B130" i="1"/>
  <c r="B131" i="1"/>
  <c r="B132" i="1"/>
  <c r="B133" i="1"/>
  <c r="B134" i="1"/>
  <c r="B135" i="1"/>
  <c r="B136" i="1"/>
  <c r="B137" i="1"/>
  <c r="O52" i="1" l="1"/>
  <c r="U52" i="1"/>
  <c r="I52" i="1"/>
  <c r="X53" i="1"/>
  <c r="L54" i="1"/>
  <c r="I279" i="1"/>
  <c r="U279" i="1" s="1"/>
  <c r="T279" i="1"/>
  <c r="C279" i="1"/>
  <c r="O279" i="1" s="1"/>
  <c r="N279" i="1"/>
  <c r="G176" i="1"/>
  <c r="O176" i="1" s="1"/>
  <c r="G202" i="1"/>
  <c r="O202" i="1" s="1"/>
  <c r="D176" i="1"/>
  <c r="J176" i="1"/>
  <c r="L176" i="1" s="1"/>
  <c r="H176" i="1"/>
  <c r="N176" i="1"/>
  <c r="P176" i="1" s="1"/>
  <c r="L98" i="1"/>
  <c r="H150" i="1"/>
  <c r="P150" i="1" s="1"/>
  <c r="K64" i="3"/>
  <c r="F64" i="3"/>
  <c r="L64" i="3" s="1"/>
  <c r="H201" i="1"/>
  <c r="H205" i="1"/>
  <c r="H142" i="3" s="1"/>
  <c r="P142" i="3" s="1"/>
  <c r="H206" i="1"/>
  <c r="H143" i="3" s="1"/>
  <c r="P143" i="3" s="1"/>
  <c r="H207" i="1"/>
  <c r="H144" i="3" s="1"/>
  <c r="P144" i="3" s="1"/>
  <c r="H208" i="1"/>
  <c r="H145" i="3" s="1"/>
  <c r="P145" i="3" s="1"/>
  <c r="H209" i="1"/>
  <c r="H146" i="3" s="1"/>
  <c r="P146" i="3" s="1"/>
  <c r="H210" i="1"/>
  <c r="H147" i="3" s="1"/>
  <c r="P147" i="3" s="1"/>
  <c r="H211" i="1"/>
  <c r="H148" i="3" s="1"/>
  <c r="P148" i="3" s="1"/>
  <c r="H212" i="1"/>
  <c r="H149" i="3" s="1"/>
  <c r="P149" i="3" s="1"/>
  <c r="H213" i="1"/>
  <c r="H150" i="3" s="1"/>
  <c r="P150" i="3" s="1"/>
  <c r="H214" i="1"/>
  <c r="H151" i="3" s="1"/>
  <c r="P151" i="3" s="1"/>
  <c r="H215" i="1"/>
  <c r="H152" i="3" s="1"/>
  <c r="P152" i="3" s="1"/>
  <c r="H200" i="1"/>
  <c r="D201" i="1"/>
  <c r="D205" i="1"/>
  <c r="D142" i="3" s="1"/>
  <c r="L142" i="3" s="1"/>
  <c r="D206" i="1"/>
  <c r="D143" i="3" s="1"/>
  <c r="L143" i="3" s="1"/>
  <c r="D207" i="1"/>
  <c r="D144" i="3" s="1"/>
  <c r="L144" i="3" s="1"/>
  <c r="D208" i="1"/>
  <c r="D145" i="3" s="1"/>
  <c r="L145" i="3" s="1"/>
  <c r="D209" i="1"/>
  <c r="D146" i="3" s="1"/>
  <c r="L146" i="3" s="1"/>
  <c r="D210" i="1"/>
  <c r="D147" i="3" s="1"/>
  <c r="L147" i="3" s="1"/>
  <c r="D211" i="1"/>
  <c r="D148" i="3" s="1"/>
  <c r="L148" i="3" s="1"/>
  <c r="D212" i="1"/>
  <c r="D149" i="3" s="1"/>
  <c r="L149" i="3" s="1"/>
  <c r="D213" i="1"/>
  <c r="D150" i="3" s="1"/>
  <c r="L150" i="3" s="1"/>
  <c r="D214" i="1"/>
  <c r="D151" i="3" s="1"/>
  <c r="L151" i="3" s="1"/>
  <c r="D215" i="1"/>
  <c r="D152" i="3" s="1"/>
  <c r="L152" i="3" s="1"/>
  <c r="D200" i="1"/>
  <c r="F111" i="1"/>
  <c r="F109" i="1"/>
  <c r="F108" i="1"/>
  <c r="F107" i="1"/>
  <c r="F106" i="1"/>
  <c r="F105" i="1"/>
  <c r="F104" i="1"/>
  <c r="F103" i="1"/>
  <c r="C111" i="1"/>
  <c r="C110" i="1"/>
  <c r="C108" i="1"/>
  <c r="C107" i="1"/>
  <c r="C103" i="1"/>
  <c r="X54" i="1" l="1"/>
  <c r="L55" i="1"/>
  <c r="U53" i="1"/>
  <c r="I53" i="1"/>
  <c r="O53" i="1"/>
  <c r="B252" i="1"/>
  <c r="B256" i="1"/>
  <c r="B183" i="3" s="1"/>
  <c r="B257" i="1"/>
  <c r="B184" i="3" s="1"/>
  <c r="B258" i="1"/>
  <c r="B185" i="3" s="1"/>
  <c r="B259" i="1"/>
  <c r="B186" i="3" s="1"/>
  <c r="B260" i="1"/>
  <c r="B187" i="3" s="1"/>
  <c r="B261" i="1"/>
  <c r="B188" i="3" s="1"/>
  <c r="B262" i="1"/>
  <c r="B189" i="3" s="1"/>
  <c r="B263" i="1"/>
  <c r="B190" i="3" s="1"/>
  <c r="B264" i="1"/>
  <c r="B191" i="3" s="1"/>
  <c r="B265" i="1"/>
  <c r="B192" i="3" s="1"/>
  <c r="B266" i="1"/>
  <c r="B193" i="3" s="1"/>
  <c r="B251" i="1"/>
  <c r="F149" i="1"/>
  <c r="F153" i="1"/>
  <c r="F100" i="3" s="1"/>
  <c r="F154" i="1"/>
  <c r="F101" i="3" s="1"/>
  <c r="H101" i="3" s="1"/>
  <c r="F155" i="1"/>
  <c r="F102" i="3" s="1"/>
  <c r="H102" i="3" s="1"/>
  <c r="F156" i="1"/>
  <c r="F103" i="3" s="1"/>
  <c r="H103" i="3" s="1"/>
  <c r="F157" i="1"/>
  <c r="F104" i="3" s="1"/>
  <c r="H104" i="3" s="1"/>
  <c r="F158" i="1"/>
  <c r="F105" i="3" s="1"/>
  <c r="H105" i="3" s="1"/>
  <c r="F159" i="1"/>
  <c r="F106" i="3" s="1"/>
  <c r="H106" i="3" s="1"/>
  <c r="F160" i="1"/>
  <c r="F107" i="3" s="1"/>
  <c r="H107" i="3" s="1"/>
  <c r="F161" i="1"/>
  <c r="F108" i="3" s="1"/>
  <c r="H108" i="3" s="1"/>
  <c r="F163" i="1"/>
  <c r="F110" i="3" s="1"/>
  <c r="H110" i="3" s="1"/>
  <c r="V285" i="5"/>
  <c r="U285" i="5"/>
  <c r="T285" i="5"/>
  <c r="P285" i="5"/>
  <c r="O285" i="5"/>
  <c r="N285" i="5"/>
  <c r="A285" i="5"/>
  <c r="V284" i="5"/>
  <c r="U284" i="5"/>
  <c r="T284" i="5"/>
  <c r="P284" i="5"/>
  <c r="O284" i="5"/>
  <c r="N284" i="5"/>
  <c r="A284" i="5"/>
  <c r="V283" i="5"/>
  <c r="U283" i="5"/>
  <c r="T283" i="5"/>
  <c r="P283" i="5"/>
  <c r="O283" i="5"/>
  <c r="N283" i="5"/>
  <c r="A283" i="5"/>
  <c r="V282" i="5"/>
  <c r="U282" i="5"/>
  <c r="T282" i="5"/>
  <c r="P282" i="5"/>
  <c r="O282" i="5"/>
  <c r="N282" i="5"/>
  <c r="A282" i="5"/>
  <c r="V281" i="5"/>
  <c r="U281" i="5"/>
  <c r="T281" i="5"/>
  <c r="P281" i="5"/>
  <c r="O281" i="5"/>
  <c r="N281" i="5"/>
  <c r="A281" i="5"/>
  <c r="V280" i="5"/>
  <c r="U280" i="5"/>
  <c r="T280" i="5"/>
  <c r="P280" i="5"/>
  <c r="O280" i="5"/>
  <c r="N280" i="5"/>
  <c r="A280" i="5"/>
  <c r="V279" i="5"/>
  <c r="U279" i="5"/>
  <c r="T279" i="5"/>
  <c r="P279" i="5"/>
  <c r="O279" i="5"/>
  <c r="N279" i="5"/>
  <c r="A279" i="5"/>
  <c r="V278" i="5"/>
  <c r="U278" i="5"/>
  <c r="T278" i="5"/>
  <c r="P278" i="5"/>
  <c r="O278" i="5"/>
  <c r="N278" i="5"/>
  <c r="A278" i="5"/>
  <c r="V277" i="5"/>
  <c r="U277" i="5"/>
  <c r="T277" i="5"/>
  <c r="P277" i="5"/>
  <c r="O277" i="5"/>
  <c r="N277" i="5"/>
  <c r="A277" i="5"/>
  <c r="V276" i="5"/>
  <c r="U276" i="5"/>
  <c r="T276" i="5"/>
  <c r="P276" i="5"/>
  <c r="O276" i="5"/>
  <c r="N276" i="5"/>
  <c r="A276" i="5"/>
  <c r="V275" i="5"/>
  <c r="U275" i="5"/>
  <c r="T275" i="5"/>
  <c r="P275" i="5"/>
  <c r="O275" i="5"/>
  <c r="N275" i="5"/>
  <c r="A275" i="5"/>
  <c r="V274" i="5"/>
  <c r="U274" i="5"/>
  <c r="T274" i="5"/>
  <c r="P274" i="5"/>
  <c r="O274" i="5"/>
  <c r="N274" i="5"/>
  <c r="A274" i="5"/>
  <c r="V273" i="5"/>
  <c r="U273" i="5"/>
  <c r="T273" i="5"/>
  <c r="P273" i="5"/>
  <c r="O273" i="5"/>
  <c r="N273" i="5"/>
  <c r="V272" i="5"/>
  <c r="U272" i="5"/>
  <c r="T272" i="5"/>
  <c r="P272" i="5"/>
  <c r="O272" i="5"/>
  <c r="N272" i="5"/>
  <c r="V261" i="5"/>
  <c r="U261" i="5"/>
  <c r="T261" i="5"/>
  <c r="P261" i="5"/>
  <c r="O261" i="5"/>
  <c r="N261" i="5"/>
  <c r="A261" i="5"/>
  <c r="V260" i="5"/>
  <c r="U260" i="5"/>
  <c r="T260" i="5"/>
  <c r="P260" i="5"/>
  <c r="O260" i="5"/>
  <c r="N260" i="5"/>
  <c r="A260" i="5"/>
  <c r="V259" i="5"/>
  <c r="U259" i="5"/>
  <c r="T259" i="5"/>
  <c r="P259" i="5"/>
  <c r="O259" i="5"/>
  <c r="N259" i="5"/>
  <c r="A259" i="5"/>
  <c r="V258" i="5"/>
  <c r="U258" i="5"/>
  <c r="T258" i="5"/>
  <c r="P258" i="5"/>
  <c r="O258" i="5"/>
  <c r="N258" i="5"/>
  <c r="A258" i="5"/>
  <c r="V257" i="5"/>
  <c r="U257" i="5"/>
  <c r="T257" i="5"/>
  <c r="P257" i="5"/>
  <c r="O257" i="5"/>
  <c r="N257" i="5"/>
  <c r="A257" i="5"/>
  <c r="V256" i="5"/>
  <c r="U256" i="5"/>
  <c r="T256" i="5"/>
  <c r="P256" i="5"/>
  <c r="O256" i="5"/>
  <c r="N256" i="5"/>
  <c r="A256" i="5"/>
  <c r="V255" i="5"/>
  <c r="U255" i="5"/>
  <c r="T255" i="5"/>
  <c r="P255" i="5"/>
  <c r="O255" i="5"/>
  <c r="N255" i="5"/>
  <c r="A255" i="5"/>
  <c r="V254" i="5"/>
  <c r="U254" i="5"/>
  <c r="T254" i="5"/>
  <c r="P254" i="5"/>
  <c r="O254" i="5"/>
  <c r="N254" i="5"/>
  <c r="A254" i="5"/>
  <c r="V253" i="5"/>
  <c r="U253" i="5"/>
  <c r="T253" i="5"/>
  <c r="P253" i="5"/>
  <c r="O253" i="5"/>
  <c r="N253" i="5"/>
  <c r="A253" i="5"/>
  <c r="V252" i="5"/>
  <c r="U252" i="5"/>
  <c r="T252" i="5"/>
  <c r="P252" i="5"/>
  <c r="O252" i="5"/>
  <c r="N252" i="5"/>
  <c r="A252" i="5"/>
  <c r="V251" i="5"/>
  <c r="U251" i="5"/>
  <c r="T251" i="5"/>
  <c r="P251" i="5"/>
  <c r="O251" i="5"/>
  <c r="N251" i="5"/>
  <c r="A251" i="5"/>
  <c r="V250" i="5"/>
  <c r="U250" i="5"/>
  <c r="T250" i="5"/>
  <c r="P250" i="5"/>
  <c r="O250" i="5"/>
  <c r="N250" i="5"/>
  <c r="A250" i="5"/>
  <c r="V249" i="5"/>
  <c r="U249" i="5"/>
  <c r="T249" i="5"/>
  <c r="P249" i="5"/>
  <c r="O249" i="5"/>
  <c r="N249" i="5"/>
  <c r="V248" i="5"/>
  <c r="U248" i="5"/>
  <c r="T248" i="5"/>
  <c r="P248" i="5"/>
  <c r="O248" i="5"/>
  <c r="N24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P190" i="5"/>
  <c r="O190" i="5"/>
  <c r="N190" i="5"/>
  <c r="L190" i="5"/>
  <c r="K190" i="5"/>
  <c r="J190" i="5"/>
  <c r="B190" i="5"/>
  <c r="A190" i="5"/>
  <c r="P189" i="5"/>
  <c r="O189" i="5"/>
  <c r="N189" i="5"/>
  <c r="L189" i="5"/>
  <c r="K189" i="5"/>
  <c r="B189" i="5"/>
  <c r="J189" i="5" s="1"/>
  <c r="A189" i="5"/>
  <c r="P188" i="5"/>
  <c r="O188" i="5"/>
  <c r="N188" i="5"/>
  <c r="L188" i="5"/>
  <c r="K188" i="5"/>
  <c r="B188" i="5"/>
  <c r="J188" i="5" s="1"/>
  <c r="A188" i="5"/>
  <c r="P187" i="5"/>
  <c r="O187" i="5"/>
  <c r="N187" i="5"/>
  <c r="L187" i="5"/>
  <c r="K187" i="5"/>
  <c r="B187" i="5"/>
  <c r="J187" i="5" s="1"/>
  <c r="A187" i="5"/>
  <c r="P186" i="5"/>
  <c r="O186" i="5"/>
  <c r="N186" i="5"/>
  <c r="L186" i="5"/>
  <c r="K186" i="5"/>
  <c r="B186" i="5"/>
  <c r="J186" i="5" s="1"/>
  <c r="A186" i="5"/>
  <c r="P185" i="5"/>
  <c r="O185" i="5"/>
  <c r="N185" i="5"/>
  <c r="L185" i="5"/>
  <c r="K185" i="5"/>
  <c r="J185" i="5"/>
  <c r="B185" i="5"/>
  <c r="A185" i="5"/>
  <c r="P184" i="5"/>
  <c r="O184" i="5"/>
  <c r="N184" i="5"/>
  <c r="L184" i="5"/>
  <c r="K184" i="5"/>
  <c r="J184" i="5"/>
  <c r="B184" i="5"/>
  <c r="A184" i="5"/>
  <c r="P183" i="5"/>
  <c r="O183" i="5"/>
  <c r="N183" i="5"/>
  <c r="L183" i="5"/>
  <c r="K183" i="5"/>
  <c r="B183" i="5"/>
  <c r="J183" i="5" s="1"/>
  <c r="A183" i="5"/>
  <c r="P182" i="5"/>
  <c r="O182" i="5"/>
  <c r="N182" i="5"/>
  <c r="L182" i="5"/>
  <c r="K182" i="5"/>
  <c r="B182" i="5"/>
  <c r="J182" i="5" s="1"/>
  <c r="A182" i="5"/>
  <c r="P181" i="5"/>
  <c r="O181" i="5"/>
  <c r="N181" i="5"/>
  <c r="L181" i="5"/>
  <c r="K181" i="5"/>
  <c r="B181" i="5"/>
  <c r="J181" i="5" s="1"/>
  <c r="A181" i="5"/>
  <c r="P180" i="5"/>
  <c r="O180" i="5"/>
  <c r="N180" i="5"/>
  <c r="L180" i="5"/>
  <c r="K180" i="5"/>
  <c r="B180" i="5"/>
  <c r="J180" i="5" s="1"/>
  <c r="A180" i="5"/>
  <c r="P179" i="5"/>
  <c r="O179" i="5"/>
  <c r="N179" i="5"/>
  <c r="L179" i="5"/>
  <c r="K179" i="5"/>
  <c r="J179" i="5"/>
  <c r="B179" i="5"/>
  <c r="A179" i="5"/>
  <c r="P178" i="5"/>
  <c r="O178" i="5"/>
  <c r="N178" i="5"/>
  <c r="L178" i="5"/>
  <c r="K178" i="5"/>
  <c r="J178" i="5"/>
  <c r="B178" i="5"/>
  <c r="P177" i="5"/>
  <c r="O177" i="5"/>
  <c r="N177" i="5"/>
  <c r="L177" i="5"/>
  <c r="K177" i="5"/>
  <c r="B177" i="5"/>
  <c r="J177" i="5" s="1"/>
  <c r="O166" i="5"/>
  <c r="N166" i="5"/>
  <c r="P166" i="5" s="1"/>
  <c r="K166" i="5"/>
  <c r="J166" i="5"/>
  <c r="L166" i="5" s="1"/>
  <c r="A166" i="5"/>
  <c r="O165" i="5"/>
  <c r="N165" i="5"/>
  <c r="P165" i="5" s="1"/>
  <c r="K165" i="5"/>
  <c r="J165" i="5"/>
  <c r="L165" i="5" s="1"/>
  <c r="A165" i="5"/>
  <c r="O164" i="5"/>
  <c r="N164" i="5"/>
  <c r="P164" i="5" s="1"/>
  <c r="K164" i="5"/>
  <c r="J164" i="5"/>
  <c r="L164" i="5" s="1"/>
  <c r="A164" i="5"/>
  <c r="O163" i="5"/>
  <c r="N163" i="5"/>
  <c r="P163" i="5" s="1"/>
  <c r="K163" i="5"/>
  <c r="J163" i="5"/>
  <c r="L163" i="5" s="1"/>
  <c r="A163" i="5"/>
  <c r="O162" i="5"/>
  <c r="N162" i="5"/>
  <c r="P162" i="5" s="1"/>
  <c r="K162" i="5"/>
  <c r="J162" i="5"/>
  <c r="L162" i="5" s="1"/>
  <c r="A162" i="5"/>
  <c r="O161" i="5"/>
  <c r="N161" i="5"/>
  <c r="P161" i="5" s="1"/>
  <c r="K161" i="5"/>
  <c r="J161" i="5"/>
  <c r="L161" i="5" s="1"/>
  <c r="A161" i="5"/>
  <c r="O160" i="5"/>
  <c r="N160" i="5"/>
  <c r="P160" i="5" s="1"/>
  <c r="K160" i="5"/>
  <c r="J160" i="5"/>
  <c r="L160" i="5" s="1"/>
  <c r="A160" i="5"/>
  <c r="O159" i="5"/>
  <c r="N159" i="5"/>
  <c r="P159" i="5" s="1"/>
  <c r="K159" i="5"/>
  <c r="J159" i="5"/>
  <c r="L159" i="5" s="1"/>
  <c r="A159" i="5"/>
  <c r="O158" i="5"/>
  <c r="N158" i="5"/>
  <c r="P158" i="5" s="1"/>
  <c r="K158" i="5"/>
  <c r="J158" i="5"/>
  <c r="L158" i="5" s="1"/>
  <c r="A158" i="5"/>
  <c r="O157" i="5"/>
  <c r="N157" i="5"/>
  <c r="P157" i="5" s="1"/>
  <c r="K157" i="5"/>
  <c r="J157" i="5"/>
  <c r="L157" i="5" s="1"/>
  <c r="A157" i="5"/>
  <c r="O156" i="5"/>
  <c r="N156" i="5"/>
  <c r="P156" i="5" s="1"/>
  <c r="K156" i="5"/>
  <c r="J156" i="5"/>
  <c r="L156" i="5" s="1"/>
  <c r="A156" i="5"/>
  <c r="O155" i="5"/>
  <c r="N155" i="5"/>
  <c r="P155" i="5" s="1"/>
  <c r="K155" i="5"/>
  <c r="J155" i="5"/>
  <c r="L155" i="5" s="1"/>
  <c r="A155" i="5"/>
  <c r="O154" i="5"/>
  <c r="N154" i="5"/>
  <c r="P154" i="5" s="1"/>
  <c r="K154" i="5"/>
  <c r="J154" i="5"/>
  <c r="L154" i="5" s="1"/>
  <c r="O153" i="5"/>
  <c r="N153" i="5"/>
  <c r="P153" i="5" s="1"/>
  <c r="K153" i="5"/>
  <c r="J153" i="5"/>
  <c r="L153" i="5" s="1"/>
  <c r="P142" i="5"/>
  <c r="O142" i="5"/>
  <c r="N142" i="5"/>
  <c r="K142" i="5"/>
  <c r="J142" i="5"/>
  <c r="D142" i="5"/>
  <c r="L142" i="5" s="1"/>
  <c r="A142" i="5"/>
  <c r="P141" i="5"/>
  <c r="O141" i="5"/>
  <c r="N141" i="5"/>
  <c r="K141" i="5"/>
  <c r="J141" i="5"/>
  <c r="D141" i="5"/>
  <c r="L141" i="5" s="1"/>
  <c r="A141" i="5"/>
  <c r="P140" i="5"/>
  <c r="O140" i="5"/>
  <c r="N140" i="5"/>
  <c r="K140" i="5"/>
  <c r="J140" i="5"/>
  <c r="D140" i="5"/>
  <c r="L140" i="5" s="1"/>
  <c r="A140" i="5"/>
  <c r="P139" i="5"/>
  <c r="O139" i="5"/>
  <c r="N139" i="5"/>
  <c r="K139" i="5"/>
  <c r="J139" i="5"/>
  <c r="D139" i="5"/>
  <c r="L139" i="5" s="1"/>
  <c r="A139" i="5"/>
  <c r="P138" i="5"/>
  <c r="O138" i="5"/>
  <c r="N138" i="5"/>
  <c r="K138" i="5"/>
  <c r="J138" i="5"/>
  <c r="D138" i="5"/>
  <c r="L138" i="5" s="1"/>
  <c r="A138" i="5"/>
  <c r="P137" i="5"/>
  <c r="O137" i="5"/>
  <c r="N137" i="5"/>
  <c r="K137" i="5"/>
  <c r="J137" i="5"/>
  <c r="D137" i="5"/>
  <c r="L137" i="5" s="1"/>
  <c r="A137" i="5"/>
  <c r="P136" i="5"/>
  <c r="O136" i="5"/>
  <c r="N136" i="5"/>
  <c r="K136" i="5"/>
  <c r="J136" i="5"/>
  <c r="D136" i="5"/>
  <c r="L136" i="5" s="1"/>
  <c r="A136" i="5"/>
  <c r="P135" i="5"/>
  <c r="O135" i="5"/>
  <c r="N135" i="5"/>
  <c r="K135" i="5"/>
  <c r="J135" i="5"/>
  <c r="D135" i="5"/>
  <c r="L135" i="5" s="1"/>
  <c r="A135" i="5"/>
  <c r="P134" i="5"/>
  <c r="O134" i="5"/>
  <c r="N134" i="5"/>
  <c r="K134" i="5"/>
  <c r="J134" i="5"/>
  <c r="D134" i="5"/>
  <c r="L134" i="5" s="1"/>
  <c r="A134" i="5"/>
  <c r="P133" i="5"/>
  <c r="O133" i="5"/>
  <c r="N133" i="5"/>
  <c r="K133" i="5"/>
  <c r="J133" i="5"/>
  <c r="D133" i="5"/>
  <c r="L133" i="5" s="1"/>
  <c r="A133" i="5"/>
  <c r="P132" i="5"/>
  <c r="O132" i="5"/>
  <c r="N132" i="5"/>
  <c r="K132" i="5"/>
  <c r="J132" i="5"/>
  <c r="D132" i="5"/>
  <c r="L132" i="5" s="1"/>
  <c r="A132" i="5"/>
  <c r="P131" i="5"/>
  <c r="O131" i="5"/>
  <c r="N131" i="5"/>
  <c r="K131" i="5"/>
  <c r="J131" i="5"/>
  <c r="D131" i="5"/>
  <c r="L131" i="5" s="1"/>
  <c r="A131" i="5"/>
  <c r="P130" i="5"/>
  <c r="O130" i="5"/>
  <c r="N130" i="5"/>
  <c r="K130" i="5"/>
  <c r="J130" i="5"/>
  <c r="D130" i="5"/>
  <c r="L130" i="5" s="1"/>
  <c r="P129" i="5"/>
  <c r="O129" i="5"/>
  <c r="N129" i="5"/>
  <c r="K129" i="5"/>
  <c r="J129" i="5"/>
  <c r="D129" i="5"/>
  <c r="L129" i="5" s="1"/>
  <c r="L118" i="5"/>
  <c r="K118" i="5"/>
  <c r="J118" i="5"/>
  <c r="H118" i="5"/>
  <c r="P118" i="5" s="1"/>
  <c r="G118" i="5"/>
  <c r="O118" i="5" s="1"/>
  <c r="F118" i="5"/>
  <c r="N118" i="5" s="1"/>
  <c r="A118" i="5"/>
  <c r="L117" i="5"/>
  <c r="K117" i="5"/>
  <c r="J117" i="5"/>
  <c r="H117" i="5"/>
  <c r="P117" i="5" s="1"/>
  <c r="G117" i="5"/>
  <c r="O117" i="5" s="1"/>
  <c r="F117" i="5"/>
  <c r="N117" i="5" s="1"/>
  <c r="A117" i="5"/>
  <c r="L116" i="5"/>
  <c r="K116" i="5"/>
  <c r="J116" i="5"/>
  <c r="H116" i="5"/>
  <c r="P116" i="5" s="1"/>
  <c r="G116" i="5"/>
  <c r="O116" i="5" s="1"/>
  <c r="F116" i="5"/>
  <c r="N116" i="5" s="1"/>
  <c r="A116" i="5"/>
  <c r="L115" i="5"/>
  <c r="K115" i="5"/>
  <c r="J115" i="5"/>
  <c r="H115" i="5"/>
  <c r="P115" i="5" s="1"/>
  <c r="G115" i="5"/>
  <c r="O115" i="5" s="1"/>
  <c r="F115" i="5"/>
  <c r="N115" i="5" s="1"/>
  <c r="A115" i="5"/>
  <c r="L114" i="5"/>
  <c r="K114" i="5"/>
  <c r="J114" i="5"/>
  <c r="H114" i="5"/>
  <c r="P114" i="5" s="1"/>
  <c r="G114" i="5"/>
  <c r="O114" i="5" s="1"/>
  <c r="F114" i="5"/>
  <c r="N114" i="5" s="1"/>
  <c r="A114" i="5"/>
  <c r="P113" i="5"/>
  <c r="L113" i="5"/>
  <c r="K113" i="5"/>
  <c r="J113" i="5"/>
  <c r="H113" i="5"/>
  <c r="G113" i="5"/>
  <c r="O113" i="5" s="1"/>
  <c r="F113" i="5"/>
  <c r="N113" i="5" s="1"/>
  <c r="A113" i="5"/>
  <c r="L112" i="5"/>
  <c r="K112" i="5"/>
  <c r="J112" i="5"/>
  <c r="H112" i="5"/>
  <c r="P112" i="5" s="1"/>
  <c r="G112" i="5"/>
  <c r="O112" i="5" s="1"/>
  <c r="F112" i="5"/>
  <c r="N112" i="5" s="1"/>
  <c r="A112" i="5"/>
  <c r="O111" i="5"/>
  <c r="L111" i="5"/>
  <c r="K111" i="5"/>
  <c r="J111" i="5"/>
  <c r="H111" i="5"/>
  <c r="P111" i="5" s="1"/>
  <c r="G111" i="5"/>
  <c r="F111" i="5"/>
  <c r="N111" i="5" s="1"/>
  <c r="A111" i="5"/>
  <c r="L110" i="5"/>
  <c r="K110" i="5"/>
  <c r="J110" i="5"/>
  <c r="H110" i="5"/>
  <c r="P110" i="5" s="1"/>
  <c r="G110" i="5"/>
  <c r="O110" i="5" s="1"/>
  <c r="F110" i="5"/>
  <c r="N110" i="5" s="1"/>
  <c r="A110" i="5"/>
  <c r="L109" i="5"/>
  <c r="K109" i="5"/>
  <c r="J109" i="5"/>
  <c r="H109" i="5"/>
  <c r="P109" i="5" s="1"/>
  <c r="G109" i="5"/>
  <c r="O109" i="5" s="1"/>
  <c r="F109" i="5"/>
  <c r="N109" i="5" s="1"/>
  <c r="A109" i="5"/>
  <c r="L108" i="5"/>
  <c r="K108" i="5"/>
  <c r="J108" i="5"/>
  <c r="H108" i="5"/>
  <c r="P108" i="5" s="1"/>
  <c r="G108" i="5"/>
  <c r="O108" i="5" s="1"/>
  <c r="F108" i="5"/>
  <c r="N108" i="5" s="1"/>
  <c r="A108" i="5"/>
  <c r="O107" i="5"/>
  <c r="L107" i="5"/>
  <c r="K107" i="5"/>
  <c r="J107" i="5"/>
  <c r="H107" i="5"/>
  <c r="P107" i="5" s="1"/>
  <c r="G107" i="5"/>
  <c r="F107" i="5"/>
  <c r="N107" i="5" s="1"/>
  <c r="A107" i="5"/>
  <c r="L106" i="5"/>
  <c r="K106" i="5"/>
  <c r="J106" i="5"/>
  <c r="H106" i="5"/>
  <c r="P106" i="5" s="1"/>
  <c r="G106" i="5"/>
  <c r="O106" i="5" s="1"/>
  <c r="F106" i="5"/>
  <c r="N106" i="5" s="1"/>
  <c r="L105" i="5"/>
  <c r="K105" i="5"/>
  <c r="J105" i="5"/>
  <c r="H105" i="5"/>
  <c r="P105" i="5" s="1"/>
  <c r="G105" i="5"/>
  <c r="O105" i="5" s="1"/>
  <c r="F105" i="5"/>
  <c r="N105" i="5" s="1"/>
  <c r="L94" i="5"/>
  <c r="K94" i="5"/>
  <c r="H94" i="5"/>
  <c r="C94" i="5"/>
  <c r="I94" i="5" s="1"/>
  <c r="A94" i="5"/>
  <c r="L93" i="5"/>
  <c r="K93" i="5"/>
  <c r="H93" i="5"/>
  <c r="C93" i="5"/>
  <c r="I93" i="5" s="1"/>
  <c r="A93" i="5"/>
  <c r="L92" i="5"/>
  <c r="K92" i="5"/>
  <c r="H92" i="5"/>
  <c r="C92" i="5"/>
  <c r="I92" i="5" s="1"/>
  <c r="A92" i="5"/>
  <c r="L91" i="5"/>
  <c r="K91" i="5"/>
  <c r="H91" i="5"/>
  <c r="C91" i="5"/>
  <c r="I91" i="5" s="1"/>
  <c r="A91" i="5"/>
  <c r="L90" i="5"/>
  <c r="K90" i="5"/>
  <c r="H90" i="5"/>
  <c r="C90" i="5"/>
  <c r="I90" i="5" s="1"/>
  <c r="A90" i="5"/>
  <c r="L89" i="5"/>
  <c r="K89" i="5"/>
  <c r="H89" i="5"/>
  <c r="C89" i="5"/>
  <c r="I89" i="5" s="1"/>
  <c r="A89" i="5"/>
  <c r="L88" i="5"/>
  <c r="K88" i="5"/>
  <c r="H88" i="5"/>
  <c r="C88" i="5"/>
  <c r="I88" i="5" s="1"/>
  <c r="A88" i="5"/>
  <c r="L87" i="5"/>
  <c r="K87" i="5"/>
  <c r="I87" i="5"/>
  <c r="H87" i="5"/>
  <c r="A87" i="5"/>
  <c r="L86" i="5"/>
  <c r="K86" i="5"/>
  <c r="I86" i="5"/>
  <c r="H86" i="5"/>
  <c r="A86" i="5"/>
  <c r="L85" i="5"/>
  <c r="K85" i="5"/>
  <c r="I85" i="5"/>
  <c r="H85" i="5"/>
  <c r="A85" i="5"/>
  <c r="L84" i="5"/>
  <c r="K84" i="5"/>
  <c r="I84" i="5"/>
  <c r="H84" i="5"/>
  <c r="A84" i="5"/>
  <c r="L83" i="5"/>
  <c r="K83" i="5"/>
  <c r="I83" i="5"/>
  <c r="H83" i="5"/>
  <c r="A83" i="5"/>
  <c r="L82" i="5"/>
  <c r="K82" i="5"/>
  <c r="I82" i="5"/>
  <c r="H82" i="5"/>
  <c r="L81" i="5"/>
  <c r="K81" i="5"/>
  <c r="I81" i="5"/>
  <c r="H81" i="5"/>
  <c r="L71" i="5"/>
  <c r="K71" i="5"/>
  <c r="I71" i="5"/>
  <c r="H71" i="5"/>
  <c r="A71" i="5"/>
  <c r="L70" i="5"/>
  <c r="K70" i="5"/>
  <c r="I70" i="5"/>
  <c r="H70" i="5"/>
  <c r="A70" i="5"/>
  <c r="L69" i="5"/>
  <c r="K69" i="5"/>
  <c r="I69" i="5"/>
  <c r="H69" i="5"/>
  <c r="A69" i="5"/>
  <c r="L68" i="5"/>
  <c r="K68" i="5"/>
  <c r="I68" i="5"/>
  <c r="H68" i="5"/>
  <c r="A68" i="5"/>
  <c r="L67" i="5"/>
  <c r="K67" i="5"/>
  <c r="I67" i="5"/>
  <c r="H67" i="5"/>
  <c r="A67" i="5"/>
  <c r="L66" i="5"/>
  <c r="K66" i="5"/>
  <c r="I66" i="5"/>
  <c r="H66" i="5"/>
  <c r="A66" i="5"/>
  <c r="L65" i="5"/>
  <c r="K65" i="5"/>
  <c r="I65" i="5"/>
  <c r="H65" i="5"/>
  <c r="A65" i="5"/>
  <c r="L64" i="5"/>
  <c r="K64" i="5"/>
  <c r="I64" i="5"/>
  <c r="H64" i="5"/>
  <c r="A64" i="5"/>
  <c r="L63" i="5"/>
  <c r="K63" i="5"/>
  <c r="I63" i="5"/>
  <c r="H63" i="5"/>
  <c r="A63" i="5"/>
  <c r="L62" i="5"/>
  <c r="K62" i="5"/>
  <c r="I62" i="5"/>
  <c r="H62" i="5"/>
  <c r="A62" i="5"/>
  <c r="L61" i="5"/>
  <c r="K61" i="5"/>
  <c r="I61" i="5"/>
  <c r="H61" i="5"/>
  <c r="A61" i="5"/>
  <c r="L60" i="5"/>
  <c r="K60" i="5"/>
  <c r="I60" i="5"/>
  <c r="H60" i="5"/>
  <c r="A60" i="5"/>
  <c r="L59" i="5"/>
  <c r="K59" i="5"/>
  <c r="I59" i="5"/>
  <c r="H59" i="5"/>
  <c r="L58" i="5"/>
  <c r="K58" i="5"/>
  <c r="I58" i="5"/>
  <c r="H58" i="5"/>
  <c r="W25" i="5"/>
  <c r="V25" i="5"/>
  <c r="R25" i="5"/>
  <c r="Q25" i="5"/>
  <c r="P25" i="5"/>
  <c r="H25" i="5"/>
  <c r="T25" i="5" s="1"/>
  <c r="B25" i="5"/>
  <c r="N25" i="5" s="1"/>
  <c r="W24" i="5"/>
  <c r="V24" i="5"/>
  <c r="T24" i="5"/>
  <c r="R24" i="5"/>
  <c r="Q24" i="5"/>
  <c r="P24" i="5"/>
  <c r="H24" i="5"/>
  <c r="B24" i="5"/>
  <c r="N24" i="5" s="1"/>
  <c r="W23" i="5"/>
  <c r="V23" i="5"/>
  <c r="R23" i="5"/>
  <c r="Q23" i="5"/>
  <c r="P23" i="5"/>
  <c r="H23" i="5"/>
  <c r="T23" i="5" s="1"/>
  <c r="B23" i="5"/>
  <c r="N23" i="5" s="1"/>
  <c r="W22" i="5"/>
  <c r="V22" i="5"/>
  <c r="R22" i="5"/>
  <c r="Q22" i="5"/>
  <c r="P22" i="5"/>
  <c r="H22" i="5"/>
  <c r="T22" i="5" s="1"/>
  <c r="B22" i="5"/>
  <c r="N22" i="5" s="1"/>
  <c r="W21" i="5"/>
  <c r="R21" i="5"/>
  <c r="Q21" i="5"/>
  <c r="P21" i="5"/>
  <c r="H21" i="5"/>
  <c r="T21" i="5" s="1"/>
  <c r="B21" i="5"/>
  <c r="N21" i="5" s="1"/>
  <c r="W20" i="5"/>
  <c r="R20" i="5"/>
  <c r="Q20" i="5"/>
  <c r="P20" i="5"/>
  <c r="N20" i="5"/>
  <c r="H20" i="5"/>
  <c r="T20" i="5" s="1"/>
  <c r="B20" i="5"/>
  <c r="W19" i="5"/>
  <c r="R19" i="5"/>
  <c r="Q19" i="5"/>
  <c r="P19" i="5"/>
  <c r="H19" i="5"/>
  <c r="T19" i="5" s="1"/>
  <c r="B19" i="5"/>
  <c r="N19" i="5" s="1"/>
  <c r="W18" i="5"/>
  <c r="R18" i="5"/>
  <c r="Q18" i="5"/>
  <c r="P18" i="5"/>
  <c r="H18" i="5"/>
  <c r="T18" i="5" s="1"/>
  <c r="B18" i="5"/>
  <c r="N18" i="5" s="1"/>
  <c r="W17" i="5"/>
  <c r="V17" i="5"/>
  <c r="T17" i="5"/>
  <c r="R17" i="5"/>
  <c r="Q17" i="5"/>
  <c r="P17" i="5"/>
  <c r="H17" i="5"/>
  <c r="B17" i="5"/>
  <c r="N17" i="5" s="1"/>
  <c r="W16" i="5"/>
  <c r="V16" i="5"/>
  <c r="R16" i="5"/>
  <c r="Q16" i="5"/>
  <c r="P16" i="5"/>
  <c r="L16" i="5"/>
  <c r="L17" i="5" s="1"/>
  <c r="L18" i="5" s="1"/>
  <c r="H16" i="5"/>
  <c r="T16" i="5" s="1"/>
  <c r="C16" i="5"/>
  <c r="U16" i="5" s="1"/>
  <c r="B16" i="5"/>
  <c r="N16" i="5" s="1"/>
  <c r="X15" i="5"/>
  <c r="W15" i="5"/>
  <c r="V15" i="5"/>
  <c r="U15" i="5"/>
  <c r="T15" i="5"/>
  <c r="R15" i="5"/>
  <c r="Q15" i="5"/>
  <c r="P15" i="5"/>
  <c r="O15" i="5"/>
  <c r="I15" i="5"/>
  <c r="H15" i="5"/>
  <c r="B15" i="5"/>
  <c r="N15" i="5" s="1"/>
  <c r="X14" i="5"/>
  <c r="W14" i="5"/>
  <c r="V14" i="5"/>
  <c r="U14" i="5"/>
  <c r="R14" i="5"/>
  <c r="Q14" i="5"/>
  <c r="P14" i="5"/>
  <c r="O14" i="5"/>
  <c r="H14" i="5"/>
  <c r="T14" i="5" s="1"/>
  <c r="B14" i="5"/>
  <c r="N14" i="5" s="1"/>
  <c r="X13" i="5"/>
  <c r="W13" i="5"/>
  <c r="V13" i="5"/>
  <c r="U13" i="5"/>
  <c r="R13" i="5"/>
  <c r="Q13" i="5"/>
  <c r="P13" i="5"/>
  <c r="O13" i="5"/>
  <c r="H13" i="5"/>
  <c r="T13" i="5" s="1"/>
  <c r="B13" i="5"/>
  <c r="N13" i="5" s="1"/>
  <c r="X12" i="5"/>
  <c r="W12" i="5"/>
  <c r="V12" i="5"/>
  <c r="U12" i="5"/>
  <c r="R12" i="5"/>
  <c r="Q12" i="5"/>
  <c r="P12" i="5"/>
  <c r="O12" i="5"/>
  <c r="H12" i="5"/>
  <c r="T12" i="5" s="1"/>
  <c r="B12" i="5"/>
  <c r="N12" i="5" s="1"/>
  <c r="N251" i="4"/>
  <c r="J251" i="4"/>
  <c r="H251" i="4"/>
  <c r="P251" i="4" s="1"/>
  <c r="G251" i="4"/>
  <c r="O251" i="4" s="1"/>
  <c r="D251" i="4"/>
  <c r="L251" i="4" s="1"/>
  <c r="C251" i="4"/>
  <c r="K251" i="4" s="1"/>
  <c r="N250" i="4"/>
  <c r="J250" i="4"/>
  <c r="H250" i="4"/>
  <c r="P250" i="4" s="1"/>
  <c r="G250" i="4"/>
  <c r="O250" i="4" s="1"/>
  <c r="D250" i="4"/>
  <c r="L250" i="4" s="1"/>
  <c r="C250" i="4"/>
  <c r="K250" i="4" s="1"/>
  <c r="N249" i="4"/>
  <c r="J249" i="4"/>
  <c r="H249" i="4"/>
  <c r="P249" i="4" s="1"/>
  <c r="G249" i="4"/>
  <c r="O249" i="4" s="1"/>
  <c r="D249" i="4"/>
  <c r="L249" i="4" s="1"/>
  <c r="C249" i="4"/>
  <c r="K249" i="4" s="1"/>
  <c r="N248" i="4"/>
  <c r="J248" i="4"/>
  <c r="H248" i="4"/>
  <c r="P248" i="4" s="1"/>
  <c r="G248" i="4"/>
  <c r="O248" i="4" s="1"/>
  <c r="D248" i="4"/>
  <c r="L248" i="4" s="1"/>
  <c r="C248" i="4"/>
  <c r="K248" i="4" s="1"/>
  <c r="N247" i="4"/>
  <c r="J247" i="4"/>
  <c r="H247" i="4"/>
  <c r="P247" i="4" s="1"/>
  <c r="G247" i="4"/>
  <c r="O247" i="4" s="1"/>
  <c r="D247" i="4"/>
  <c r="L247" i="4" s="1"/>
  <c r="C247" i="4"/>
  <c r="K247" i="4" s="1"/>
  <c r="N246" i="4"/>
  <c r="J246" i="4"/>
  <c r="H246" i="4"/>
  <c r="P246" i="4" s="1"/>
  <c r="G246" i="4"/>
  <c r="O246" i="4" s="1"/>
  <c r="D246" i="4"/>
  <c r="L246" i="4" s="1"/>
  <c r="C246" i="4"/>
  <c r="K246" i="4" s="1"/>
  <c r="N245" i="4"/>
  <c r="J245" i="4"/>
  <c r="H245" i="4"/>
  <c r="P245" i="4" s="1"/>
  <c r="G245" i="4"/>
  <c r="O245" i="4" s="1"/>
  <c r="D245" i="4"/>
  <c r="L245" i="4" s="1"/>
  <c r="C245" i="4"/>
  <c r="K245" i="4" s="1"/>
  <c r="N244" i="4"/>
  <c r="J244" i="4"/>
  <c r="H244" i="4"/>
  <c r="P244" i="4" s="1"/>
  <c r="G244" i="4"/>
  <c r="O244" i="4" s="1"/>
  <c r="D244" i="4"/>
  <c r="L244" i="4" s="1"/>
  <c r="C244" i="4"/>
  <c r="K244" i="4" s="1"/>
  <c r="N243" i="4"/>
  <c r="J243" i="4"/>
  <c r="H243" i="4"/>
  <c r="P243" i="4" s="1"/>
  <c r="G243" i="4"/>
  <c r="O243" i="4" s="1"/>
  <c r="D243" i="4"/>
  <c r="L243" i="4" s="1"/>
  <c r="C243" i="4"/>
  <c r="K243" i="4" s="1"/>
  <c r="N242" i="4"/>
  <c r="J242" i="4"/>
  <c r="H242" i="4"/>
  <c r="P242" i="4" s="1"/>
  <c r="G242" i="4"/>
  <c r="O242" i="4" s="1"/>
  <c r="D242" i="4"/>
  <c r="L242" i="4" s="1"/>
  <c r="C242" i="4"/>
  <c r="K242" i="4" s="1"/>
  <c r="N241" i="4"/>
  <c r="J241" i="4"/>
  <c r="H241" i="4"/>
  <c r="P241" i="4" s="1"/>
  <c r="G241" i="4"/>
  <c r="O241" i="4" s="1"/>
  <c r="D241" i="4"/>
  <c r="L241" i="4" s="1"/>
  <c r="C241" i="4"/>
  <c r="K241" i="4" s="1"/>
  <c r="P229" i="4"/>
  <c r="O229" i="4"/>
  <c r="L229" i="4"/>
  <c r="K229" i="4"/>
  <c r="H229" i="4"/>
  <c r="G229" i="4"/>
  <c r="D229" i="4"/>
  <c r="C229" i="4"/>
  <c r="P228" i="4"/>
  <c r="O228" i="4"/>
  <c r="L228" i="4"/>
  <c r="K228" i="4"/>
  <c r="H228" i="4"/>
  <c r="G228" i="4"/>
  <c r="D228" i="4"/>
  <c r="C228" i="4"/>
  <c r="P227" i="4"/>
  <c r="O227" i="4"/>
  <c r="L227" i="4"/>
  <c r="K227" i="4"/>
  <c r="H227" i="4"/>
  <c r="G227" i="4"/>
  <c r="D227" i="4"/>
  <c r="C227" i="4"/>
  <c r="P226" i="4"/>
  <c r="O226" i="4"/>
  <c r="L226" i="4"/>
  <c r="K226" i="4"/>
  <c r="H226" i="4"/>
  <c r="G226" i="4"/>
  <c r="D226" i="4"/>
  <c r="C226" i="4"/>
  <c r="P225" i="4"/>
  <c r="O225" i="4"/>
  <c r="L225" i="4"/>
  <c r="K225" i="4"/>
  <c r="H225" i="4"/>
  <c r="G225" i="4"/>
  <c r="D225" i="4"/>
  <c r="C225" i="4"/>
  <c r="P224" i="4"/>
  <c r="O224" i="4"/>
  <c r="L224" i="4"/>
  <c r="K224" i="4"/>
  <c r="H224" i="4"/>
  <c r="G224" i="4"/>
  <c r="D224" i="4"/>
  <c r="C224" i="4"/>
  <c r="P223" i="4"/>
  <c r="O223" i="4"/>
  <c r="L223" i="4"/>
  <c r="K223" i="4"/>
  <c r="H223" i="4"/>
  <c r="G223" i="4"/>
  <c r="D223" i="4"/>
  <c r="C223" i="4"/>
  <c r="P222" i="4"/>
  <c r="O222" i="4"/>
  <c r="L222" i="4"/>
  <c r="K222" i="4"/>
  <c r="H222" i="4"/>
  <c r="G222" i="4"/>
  <c r="D222" i="4"/>
  <c r="C222" i="4"/>
  <c r="P221" i="4"/>
  <c r="O221" i="4"/>
  <c r="L221" i="4"/>
  <c r="K221" i="4"/>
  <c r="H221" i="4"/>
  <c r="G221" i="4"/>
  <c r="D221" i="4"/>
  <c r="C221" i="4"/>
  <c r="P220" i="4"/>
  <c r="O220" i="4"/>
  <c r="L220" i="4"/>
  <c r="K220" i="4"/>
  <c r="H220" i="4"/>
  <c r="G220" i="4"/>
  <c r="D220" i="4"/>
  <c r="C220" i="4"/>
  <c r="P219" i="4"/>
  <c r="O219" i="4"/>
  <c r="L219" i="4"/>
  <c r="K219" i="4"/>
  <c r="H219" i="4"/>
  <c r="G219" i="4"/>
  <c r="D219" i="4"/>
  <c r="C219" i="4"/>
  <c r="N207" i="4"/>
  <c r="O207" i="4" s="1"/>
  <c r="J207" i="4"/>
  <c r="K207" i="4" s="1"/>
  <c r="F207" i="4"/>
  <c r="G207" i="4" s="1"/>
  <c r="B207" i="4"/>
  <c r="C207" i="4" s="1"/>
  <c r="N206" i="4"/>
  <c r="O206" i="4" s="1"/>
  <c r="J206" i="4"/>
  <c r="K206" i="4" s="1"/>
  <c r="F206" i="4"/>
  <c r="G206" i="4" s="1"/>
  <c r="B206" i="4"/>
  <c r="C206" i="4" s="1"/>
  <c r="N205" i="4"/>
  <c r="O205" i="4" s="1"/>
  <c r="J205" i="4"/>
  <c r="K205" i="4" s="1"/>
  <c r="F205" i="4"/>
  <c r="G205" i="4" s="1"/>
  <c r="B205" i="4"/>
  <c r="C205" i="4" s="1"/>
  <c r="N204" i="4"/>
  <c r="O204" i="4" s="1"/>
  <c r="J204" i="4"/>
  <c r="K204" i="4" s="1"/>
  <c r="F204" i="4"/>
  <c r="G204" i="4" s="1"/>
  <c r="B204" i="4"/>
  <c r="C204" i="4" s="1"/>
  <c r="N203" i="4"/>
  <c r="O203" i="4" s="1"/>
  <c r="J203" i="4"/>
  <c r="K203" i="4" s="1"/>
  <c r="F203" i="4"/>
  <c r="G203" i="4" s="1"/>
  <c r="B203" i="4"/>
  <c r="C203" i="4" s="1"/>
  <c r="N202" i="4"/>
  <c r="O202" i="4" s="1"/>
  <c r="J202" i="4"/>
  <c r="K202" i="4" s="1"/>
  <c r="F202" i="4"/>
  <c r="G202" i="4" s="1"/>
  <c r="B202" i="4"/>
  <c r="C202" i="4" s="1"/>
  <c r="N201" i="4"/>
  <c r="O201" i="4" s="1"/>
  <c r="J201" i="4"/>
  <c r="K201" i="4" s="1"/>
  <c r="F201" i="4"/>
  <c r="G201" i="4" s="1"/>
  <c r="B201" i="4"/>
  <c r="C201" i="4" s="1"/>
  <c r="N200" i="4"/>
  <c r="O200" i="4" s="1"/>
  <c r="J200" i="4"/>
  <c r="K200" i="4" s="1"/>
  <c r="F200" i="4"/>
  <c r="G200" i="4" s="1"/>
  <c r="B200" i="4"/>
  <c r="C200" i="4" s="1"/>
  <c r="N199" i="4"/>
  <c r="O199" i="4" s="1"/>
  <c r="J199" i="4"/>
  <c r="K199" i="4" s="1"/>
  <c r="F199" i="4"/>
  <c r="G199" i="4" s="1"/>
  <c r="B199" i="4"/>
  <c r="C199" i="4" s="1"/>
  <c r="N198" i="4"/>
  <c r="O198" i="4" s="1"/>
  <c r="J198" i="4"/>
  <c r="K198" i="4" s="1"/>
  <c r="F198" i="4"/>
  <c r="G198" i="4" s="1"/>
  <c r="B198" i="4"/>
  <c r="C198" i="4" s="1"/>
  <c r="N197" i="4"/>
  <c r="O197" i="4" s="1"/>
  <c r="J197" i="4"/>
  <c r="K197" i="4" s="1"/>
  <c r="F197" i="4"/>
  <c r="G197" i="4" s="1"/>
  <c r="B197" i="4"/>
  <c r="C197" i="4" s="1"/>
  <c r="K184" i="4"/>
  <c r="G184" i="4"/>
  <c r="F184" i="4"/>
  <c r="H184" i="4" s="1"/>
  <c r="P184" i="4" s="1"/>
  <c r="C184" i="4"/>
  <c r="B184" i="4"/>
  <c r="D184" i="4" s="1"/>
  <c r="K183" i="4"/>
  <c r="G183" i="4"/>
  <c r="O183" i="4" s="1"/>
  <c r="O240" i="1" s="1"/>
  <c r="O172" i="3" s="1"/>
  <c r="F183" i="4"/>
  <c r="H183" i="4" s="1"/>
  <c r="P183" i="4" s="1"/>
  <c r="C183" i="4"/>
  <c r="C240" i="1" s="1"/>
  <c r="C172" i="3" s="1"/>
  <c r="B183" i="4"/>
  <c r="D183" i="4" s="1"/>
  <c r="K182" i="4"/>
  <c r="K239" i="1" s="1"/>
  <c r="K171" i="3" s="1"/>
  <c r="G182" i="4"/>
  <c r="O182" i="4" s="1"/>
  <c r="F182" i="4"/>
  <c r="H182" i="4" s="1"/>
  <c r="P182" i="4" s="1"/>
  <c r="C182" i="4"/>
  <c r="B182" i="4"/>
  <c r="D182" i="4" s="1"/>
  <c r="K181" i="4"/>
  <c r="G181" i="4"/>
  <c r="O181" i="4" s="1"/>
  <c r="O238" i="1" s="1"/>
  <c r="O170" i="3" s="1"/>
  <c r="F181" i="4"/>
  <c r="C181" i="4"/>
  <c r="B181" i="4"/>
  <c r="D181" i="4" s="1"/>
  <c r="K180" i="4"/>
  <c r="G180" i="4"/>
  <c r="O180" i="4" s="1"/>
  <c r="F180" i="4"/>
  <c r="H180" i="4" s="1"/>
  <c r="P180" i="4" s="1"/>
  <c r="C180" i="4"/>
  <c r="B180" i="4"/>
  <c r="D180" i="4" s="1"/>
  <c r="K179" i="4"/>
  <c r="G179" i="4"/>
  <c r="O179" i="4" s="1"/>
  <c r="O236" i="1" s="1"/>
  <c r="O168" i="3" s="1"/>
  <c r="F179" i="4"/>
  <c r="H179" i="4" s="1"/>
  <c r="P179" i="4" s="1"/>
  <c r="C179" i="4"/>
  <c r="C236" i="1" s="1"/>
  <c r="C168" i="3" s="1"/>
  <c r="B179" i="4"/>
  <c r="D179" i="4" s="1"/>
  <c r="K178" i="4"/>
  <c r="G178" i="4"/>
  <c r="O178" i="4" s="1"/>
  <c r="F178" i="4"/>
  <c r="H178" i="4" s="1"/>
  <c r="P178" i="4" s="1"/>
  <c r="C178" i="4"/>
  <c r="B178" i="4"/>
  <c r="D178" i="4" s="1"/>
  <c r="K177" i="4"/>
  <c r="G177" i="4"/>
  <c r="O177" i="4" s="1"/>
  <c r="O234" i="1" s="1"/>
  <c r="O166" i="3" s="1"/>
  <c r="F177" i="4"/>
  <c r="H177" i="4" s="1"/>
  <c r="P177" i="4" s="1"/>
  <c r="C177" i="4"/>
  <c r="C234" i="1" s="1"/>
  <c r="C166" i="3" s="1"/>
  <c r="B177" i="4"/>
  <c r="D177" i="4" s="1"/>
  <c r="K176" i="4"/>
  <c r="K233" i="1" s="1"/>
  <c r="K165" i="3" s="1"/>
  <c r="G176" i="4"/>
  <c r="O176" i="4" s="1"/>
  <c r="O233" i="1" s="1"/>
  <c r="O165" i="3" s="1"/>
  <c r="F176" i="4"/>
  <c r="H176" i="4" s="1"/>
  <c r="P176" i="4" s="1"/>
  <c r="C176" i="4"/>
  <c r="B176" i="4"/>
  <c r="D176" i="4" s="1"/>
  <c r="K175" i="4"/>
  <c r="G175" i="4"/>
  <c r="O175" i="4" s="1"/>
  <c r="O232" i="1" s="1"/>
  <c r="O164" i="3" s="1"/>
  <c r="F175" i="4"/>
  <c r="H175" i="4" s="1"/>
  <c r="P175" i="4" s="1"/>
  <c r="C175" i="4"/>
  <c r="C232" i="1" s="1"/>
  <c r="C164" i="3" s="1"/>
  <c r="B175" i="4"/>
  <c r="D175" i="4" s="1"/>
  <c r="O174" i="4"/>
  <c r="O231" i="1" s="1"/>
  <c r="O163" i="3" s="1"/>
  <c r="K174" i="4"/>
  <c r="G174" i="4"/>
  <c r="G231" i="1" s="1"/>
  <c r="G163" i="3" s="1"/>
  <c r="F174" i="4"/>
  <c r="H174" i="4" s="1"/>
  <c r="C174" i="4"/>
  <c r="C231" i="1" s="1"/>
  <c r="C163" i="3" s="1"/>
  <c r="B174" i="4"/>
  <c r="D174" i="4" s="1"/>
  <c r="O173" i="4"/>
  <c r="O228" i="1" s="1"/>
  <c r="K173" i="4"/>
  <c r="G173" i="4"/>
  <c r="G228" i="1" s="1"/>
  <c r="F173" i="4"/>
  <c r="C173" i="4"/>
  <c r="C228" i="1" s="1"/>
  <c r="B173" i="4"/>
  <c r="D229" i="1" s="1"/>
  <c r="O227" i="1"/>
  <c r="G227" i="1"/>
  <c r="C227" i="1"/>
  <c r="O226" i="1"/>
  <c r="G226" i="1"/>
  <c r="C226" i="1"/>
  <c r="F162" i="4"/>
  <c r="N162" i="4" s="1"/>
  <c r="J162" i="4"/>
  <c r="H161" i="4"/>
  <c r="P161" i="4" s="1"/>
  <c r="F161" i="4"/>
  <c r="N161" i="4" s="1"/>
  <c r="J161" i="4"/>
  <c r="H160" i="4"/>
  <c r="P160" i="4" s="1"/>
  <c r="F160" i="4"/>
  <c r="N160" i="4" s="1"/>
  <c r="J160" i="4"/>
  <c r="H159" i="4"/>
  <c r="P159" i="4" s="1"/>
  <c r="F159" i="4"/>
  <c r="N159" i="4" s="1"/>
  <c r="J159" i="4"/>
  <c r="H158" i="4"/>
  <c r="P158" i="4" s="1"/>
  <c r="F158" i="4"/>
  <c r="N158" i="4" s="1"/>
  <c r="J158" i="4"/>
  <c r="H157" i="4"/>
  <c r="P157" i="4" s="1"/>
  <c r="F157" i="4"/>
  <c r="N157" i="4" s="1"/>
  <c r="J157" i="4"/>
  <c r="H156" i="4"/>
  <c r="P156" i="4" s="1"/>
  <c r="F156" i="4"/>
  <c r="N156" i="4" s="1"/>
  <c r="J156" i="4"/>
  <c r="H155" i="4"/>
  <c r="P155" i="4" s="1"/>
  <c r="F155" i="4"/>
  <c r="N155" i="4" s="1"/>
  <c r="J155" i="4"/>
  <c r="H154" i="4"/>
  <c r="P154" i="4" s="1"/>
  <c r="F154" i="4"/>
  <c r="N154" i="4" s="1"/>
  <c r="J154" i="4"/>
  <c r="H153" i="4"/>
  <c r="P153" i="4" s="1"/>
  <c r="F153" i="4"/>
  <c r="N153" i="4" s="1"/>
  <c r="J153" i="4"/>
  <c r="G140" i="4"/>
  <c r="O140" i="4" s="1"/>
  <c r="F140" i="4"/>
  <c r="N140" i="4" s="1"/>
  <c r="K140" i="4"/>
  <c r="G139" i="4"/>
  <c r="O139" i="4" s="1"/>
  <c r="F139" i="4"/>
  <c r="N139" i="4" s="1"/>
  <c r="K139" i="4"/>
  <c r="J139" i="4"/>
  <c r="G138" i="4"/>
  <c r="O138" i="4" s="1"/>
  <c r="F138" i="4"/>
  <c r="K138" i="4"/>
  <c r="J138" i="4"/>
  <c r="G137" i="4"/>
  <c r="O137" i="4" s="1"/>
  <c r="F137" i="4"/>
  <c r="N137" i="4" s="1"/>
  <c r="K137" i="4"/>
  <c r="J137" i="4"/>
  <c r="G136" i="4"/>
  <c r="O136" i="4" s="1"/>
  <c r="F136" i="4"/>
  <c r="N136" i="4" s="1"/>
  <c r="K136" i="4"/>
  <c r="G135" i="4"/>
  <c r="O135" i="4" s="1"/>
  <c r="F135" i="4"/>
  <c r="N135" i="4" s="1"/>
  <c r="K135" i="4"/>
  <c r="G134" i="4"/>
  <c r="O134" i="4" s="1"/>
  <c r="F134" i="4"/>
  <c r="N134" i="4" s="1"/>
  <c r="K134" i="4"/>
  <c r="D134" i="4"/>
  <c r="L134" i="4" s="1"/>
  <c r="G133" i="4"/>
  <c r="O133" i="4" s="1"/>
  <c r="F133" i="4"/>
  <c r="N133" i="4" s="1"/>
  <c r="K133" i="4"/>
  <c r="J133" i="4"/>
  <c r="G132" i="4"/>
  <c r="O132" i="4" s="1"/>
  <c r="F132" i="4"/>
  <c r="N132" i="4" s="1"/>
  <c r="K132" i="4"/>
  <c r="J132" i="4"/>
  <c r="G131" i="4"/>
  <c r="O131" i="4" s="1"/>
  <c r="F131" i="4"/>
  <c r="K131" i="4"/>
  <c r="D131" i="4"/>
  <c r="L131" i="4" s="1"/>
  <c r="O119" i="4"/>
  <c r="F119" i="4"/>
  <c r="C119" i="4"/>
  <c r="K119" i="4" s="1"/>
  <c r="J119" i="4"/>
  <c r="F118" i="4"/>
  <c r="C118" i="4"/>
  <c r="K118" i="4" s="1"/>
  <c r="J118" i="4"/>
  <c r="F117" i="4"/>
  <c r="C117" i="4"/>
  <c r="K117" i="4" s="1"/>
  <c r="J117" i="4"/>
  <c r="F116" i="4"/>
  <c r="C116" i="4"/>
  <c r="K116" i="4" s="1"/>
  <c r="D116" i="4"/>
  <c r="L116" i="4" s="1"/>
  <c r="O115" i="4"/>
  <c r="F115" i="4"/>
  <c r="C115" i="4"/>
  <c r="K115" i="4" s="1"/>
  <c r="O114" i="4"/>
  <c r="F114" i="4"/>
  <c r="C114" i="4"/>
  <c r="K114" i="4" s="1"/>
  <c r="D114" i="4"/>
  <c r="L114" i="4" s="1"/>
  <c r="F113" i="4"/>
  <c r="H113" i="4" s="1"/>
  <c r="P113" i="4" s="1"/>
  <c r="C113" i="4"/>
  <c r="K113" i="4" s="1"/>
  <c r="J113" i="4"/>
  <c r="O112" i="4"/>
  <c r="F112" i="4"/>
  <c r="C112" i="4"/>
  <c r="K112" i="4" s="1"/>
  <c r="J112" i="4"/>
  <c r="F111" i="4"/>
  <c r="C111" i="4"/>
  <c r="K111" i="4" s="1"/>
  <c r="O110" i="4"/>
  <c r="F110" i="4"/>
  <c r="H110" i="4" s="1"/>
  <c r="P110" i="4" s="1"/>
  <c r="C110" i="4"/>
  <c r="K110" i="4" s="1"/>
  <c r="J110" i="4"/>
  <c r="O99" i="4"/>
  <c r="K99" i="4"/>
  <c r="O98" i="4"/>
  <c r="K98" i="4"/>
  <c r="O97" i="4"/>
  <c r="K97" i="4"/>
  <c r="O96" i="4"/>
  <c r="K96" i="4"/>
  <c r="O95" i="4"/>
  <c r="K95" i="4"/>
  <c r="O94" i="4"/>
  <c r="K94" i="4"/>
  <c r="O93" i="4"/>
  <c r="K93" i="4"/>
  <c r="O92" i="4"/>
  <c r="K92" i="4"/>
  <c r="O91" i="4"/>
  <c r="K91" i="4"/>
  <c r="O90" i="4"/>
  <c r="K90" i="4"/>
  <c r="B90" i="4"/>
  <c r="O89" i="4"/>
  <c r="K89" i="4"/>
  <c r="F89" i="4"/>
  <c r="B89" i="4"/>
  <c r="G77" i="4"/>
  <c r="B77" i="4"/>
  <c r="G76" i="4"/>
  <c r="B76" i="4"/>
  <c r="C76" i="4" s="1"/>
  <c r="M76" i="4" s="1"/>
  <c r="O76" i="4" s="1"/>
  <c r="G75" i="4"/>
  <c r="H75" i="4" s="1"/>
  <c r="J75" i="4" s="1"/>
  <c r="B75" i="4"/>
  <c r="G74" i="4"/>
  <c r="B74" i="4"/>
  <c r="G73" i="4"/>
  <c r="H73" i="4" s="1"/>
  <c r="B73" i="4"/>
  <c r="C73" i="4" s="1"/>
  <c r="E73" i="4" s="1"/>
  <c r="G72" i="4"/>
  <c r="G71" i="4"/>
  <c r="Q71" i="4" s="1"/>
  <c r="S71" i="4" s="1"/>
  <c r="B71" i="4"/>
  <c r="C71" i="4" s="1"/>
  <c r="G70" i="4"/>
  <c r="C70" i="4"/>
  <c r="M70" i="4" s="1"/>
  <c r="O70" i="4" s="1"/>
  <c r="G69" i="4"/>
  <c r="H69" i="4" s="1"/>
  <c r="J69" i="4" s="1"/>
  <c r="B69" i="4"/>
  <c r="G68" i="4"/>
  <c r="B68" i="4"/>
  <c r="C68" i="4" s="1"/>
  <c r="G67" i="4"/>
  <c r="B67" i="4"/>
  <c r="I54" i="4"/>
  <c r="I52" i="4"/>
  <c r="Q51" i="4"/>
  <c r="S51" i="4" s="1"/>
  <c r="I49" i="4"/>
  <c r="Q48" i="4"/>
  <c r="S48" i="4" s="1"/>
  <c r="I46" i="4"/>
  <c r="I45" i="4"/>
  <c r="W24" i="4"/>
  <c r="V24" i="4"/>
  <c r="T24" i="4"/>
  <c r="R24" i="4"/>
  <c r="Q24" i="4"/>
  <c r="P24" i="4"/>
  <c r="N24" i="4"/>
  <c r="W23" i="4"/>
  <c r="V23" i="4"/>
  <c r="T23" i="4"/>
  <c r="R23" i="4"/>
  <c r="Q23" i="4"/>
  <c r="P23" i="4"/>
  <c r="N23" i="4"/>
  <c r="W22" i="4"/>
  <c r="V22" i="4"/>
  <c r="T22" i="4"/>
  <c r="R22" i="4"/>
  <c r="Q22" i="4"/>
  <c r="P22" i="4"/>
  <c r="N22" i="4"/>
  <c r="W21" i="4"/>
  <c r="V21" i="4"/>
  <c r="T21" i="4"/>
  <c r="R21" i="4"/>
  <c r="Q21" i="4"/>
  <c r="P21" i="4"/>
  <c r="N21" i="4"/>
  <c r="W20" i="4"/>
  <c r="N180" i="4" s="1"/>
  <c r="T20" i="4"/>
  <c r="R20" i="4"/>
  <c r="Q20" i="4"/>
  <c r="P20" i="4"/>
  <c r="N20" i="4"/>
  <c r="W19" i="4"/>
  <c r="N179" i="4" s="1"/>
  <c r="T19" i="4"/>
  <c r="R19" i="4"/>
  <c r="Q19" i="4"/>
  <c r="J179" i="4" s="1"/>
  <c r="L179" i="4" s="1"/>
  <c r="N19" i="4"/>
  <c r="W18" i="4"/>
  <c r="N178" i="4" s="1"/>
  <c r="T18" i="4"/>
  <c r="R18" i="4"/>
  <c r="Q18" i="4"/>
  <c r="J178" i="4" s="1"/>
  <c r="L178" i="4" s="1"/>
  <c r="N18" i="4"/>
  <c r="W17" i="4"/>
  <c r="N177" i="4" s="1"/>
  <c r="T17" i="4"/>
  <c r="R17" i="4"/>
  <c r="Q17" i="4"/>
  <c r="J177" i="4" s="1"/>
  <c r="L177" i="4" s="1"/>
  <c r="N17" i="4"/>
  <c r="W16" i="4"/>
  <c r="N176" i="4" s="1"/>
  <c r="T16" i="4"/>
  <c r="R16" i="4"/>
  <c r="Q16" i="4"/>
  <c r="J176" i="4" s="1"/>
  <c r="L176" i="4" s="1"/>
  <c r="N16" i="4"/>
  <c r="W15" i="4"/>
  <c r="N175" i="4" s="1"/>
  <c r="T15" i="4"/>
  <c r="R15" i="4"/>
  <c r="Q15" i="4"/>
  <c r="J175" i="4" s="1"/>
  <c r="L175" i="4" s="1"/>
  <c r="N15" i="4"/>
  <c r="L15" i="4"/>
  <c r="L16" i="4" s="1"/>
  <c r="C15" i="4"/>
  <c r="C16" i="4" s="1"/>
  <c r="X14" i="4"/>
  <c r="W14" i="4"/>
  <c r="N174" i="4" s="1"/>
  <c r="N163" i="3" s="1"/>
  <c r="U14" i="4"/>
  <c r="T14" i="4"/>
  <c r="R14" i="4"/>
  <c r="Q14" i="4"/>
  <c r="J174" i="4" s="1"/>
  <c r="L174" i="4" s="1"/>
  <c r="O14" i="4"/>
  <c r="N14" i="4"/>
  <c r="I14" i="4"/>
  <c r="C45" i="4" s="1"/>
  <c r="E45" i="4" s="1"/>
  <c r="X12" i="4"/>
  <c r="W12" i="4"/>
  <c r="U12" i="4"/>
  <c r="T12" i="4"/>
  <c r="R12" i="4"/>
  <c r="Q12" i="4"/>
  <c r="O12" i="4"/>
  <c r="N12" i="4"/>
  <c r="X10" i="4"/>
  <c r="W10" i="4"/>
  <c r="U10" i="4"/>
  <c r="T10" i="4"/>
  <c r="R10" i="4"/>
  <c r="Q10" i="4"/>
  <c r="J170" i="4" s="1"/>
  <c r="L170" i="4" s="1"/>
  <c r="O10" i="4"/>
  <c r="N10" i="4"/>
  <c r="X9" i="4"/>
  <c r="P171" i="4" s="1"/>
  <c r="W9" i="4"/>
  <c r="U9" i="4"/>
  <c r="T9" i="4"/>
  <c r="R9" i="4"/>
  <c r="Q9" i="4"/>
  <c r="J169" i="4" s="1"/>
  <c r="L169" i="4" s="1"/>
  <c r="O9" i="4"/>
  <c r="N9" i="4"/>
  <c r="O110" i="3"/>
  <c r="K110" i="3"/>
  <c r="O109" i="3"/>
  <c r="K109" i="3"/>
  <c r="O108" i="3"/>
  <c r="K108" i="3"/>
  <c r="O107" i="3"/>
  <c r="K107" i="3"/>
  <c r="K106" i="3"/>
  <c r="O106" i="3"/>
  <c r="O105" i="3"/>
  <c r="K105" i="3"/>
  <c r="K104" i="3"/>
  <c r="O104" i="3"/>
  <c r="O103" i="3"/>
  <c r="K103" i="3"/>
  <c r="O102" i="3"/>
  <c r="K102" i="3"/>
  <c r="O101" i="3"/>
  <c r="K101" i="3"/>
  <c r="O100" i="3"/>
  <c r="K100" i="3"/>
  <c r="L68" i="3"/>
  <c r="I68" i="3"/>
  <c r="F68" i="3"/>
  <c r="C68" i="3"/>
  <c r="L67" i="3"/>
  <c r="I67" i="3"/>
  <c r="F67" i="3"/>
  <c r="C67" i="3"/>
  <c r="L66" i="3"/>
  <c r="F66" i="3"/>
  <c r="K65" i="3"/>
  <c r="H65" i="3"/>
  <c r="E65" i="3"/>
  <c r="B65" i="3"/>
  <c r="I64" i="3"/>
  <c r="C64" i="3"/>
  <c r="F63" i="3"/>
  <c r="L63" i="3" s="1"/>
  <c r="C63" i="3"/>
  <c r="I63" i="3" s="1"/>
  <c r="F62" i="3"/>
  <c r="L62" i="3" s="1"/>
  <c r="C62" i="3"/>
  <c r="I62" i="3" s="1"/>
  <c r="F61" i="3"/>
  <c r="L61" i="3" s="1"/>
  <c r="C61" i="3"/>
  <c r="I61" i="3" s="1"/>
  <c r="F60" i="3"/>
  <c r="L60" i="3" s="1"/>
  <c r="C60" i="3"/>
  <c r="I60" i="3" s="1"/>
  <c r="L58" i="3"/>
  <c r="K58" i="3"/>
  <c r="F48" i="3"/>
  <c r="C48" i="3"/>
  <c r="D89" i="3" s="1"/>
  <c r="L89" i="3" s="1"/>
  <c r="F47" i="3"/>
  <c r="C47" i="3"/>
  <c r="D88" i="3" s="1"/>
  <c r="L88" i="3" s="1"/>
  <c r="F46" i="3"/>
  <c r="C46" i="3"/>
  <c r="D87" i="3" s="1"/>
  <c r="L87" i="3" s="1"/>
  <c r="F45" i="3"/>
  <c r="C45" i="3"/>
  <c r="D86" i="3" s="1"/>
  <c r="L86" i="3" s="1"/>
  <c r="F44" i="3"/>
  <c r="C44" i="3"/>
  <c r="D85" i="3" s="1"/>
  <c r="L85" i="3" s="1"/>
  <c r="F43" i="3"/>
  <c r="C43" i="3"/>
  <c r="D84" i="3" s="1"/>
  <c r="L84" i="3" s="1"/>
  <c r="F42" i="3"/>
  <c r="C42" i="3"/>
  <c r="D83" i="3" s="1"/>
  <c r="L83" i="3" s="1"/>
  <c r="F41" i="3"/>
  <c r="C41" i="3"/>
  <c r="D82" i="3" s="1"/>
  <c r="L82" i="3" s="1"/>
  <c r="F40" i="3"/>
  <c r="C40" i="3"/>
  <c r="D81" i="3" s="1"/>
  <c r="L81" i="3" s="1"/>
  <c r="F39" i="3"/>
  <c r="C39" i="3"/>
  <c r="D80" i="3" s="1"/>
  <c r="L80" i="3" s="1"/>
  <c r="V25" i="3"/>
  <c r="P25" i="3"/>
  <c r="K25" i="3"/>
  <c r="F25" i="3"/>
  <c r="R25" i="3" s="1"/>
  <c r="E25" i="3"/>
  <c r="Q25" i="3" s="1"/>
  <c r="V24" i="3"/>
  <c r="P24" i="3"/>
  <c r="K24" i="3"/>
  <c r="F24" i="3"/>
  <c r="R24" i="3" s="1"/>
  <c r="E24" i="3"/>
  <c r="Q24" i="3" s="1"/>
  <c r="V23" i="3"/>
  <c r="P23" i="3"/>
  <c r="K23" i="3"/>
  <c r="F23" i="3"/>
  <c r="R23" i="3" s="1"/>
  <c r="E23" i="3"/>
  <c r="Q23" i="3" s="1"/>
  <c r="V22" i="3"/>
  <c r="P22" i="3"/>
  <c r="K22" i="3"/>
  <c r="F22" i="3"/>
  <c r="R22" i="3" s="1"/>
  <c r="E22" i="3"/>
  <c r="B22" i="3" s="1"/>
  <c r="N22" i="3" s="1"/>
  <c r="P21" i="3"/>
  <c r="K21" i="3"/>
  <c r="F21" i="3"/>
  <c r="R21" i="3" s="1"/>
  <c r="E21" i="3"/>
  <c r="K20" i="3"/>
  <c r="H20" i="3" s="1"/>
  <c r="T20" i="3" s="1"/>
  <c r="F20" i="3"/>
  <c r="R20" i="3" s="1"/>
  <c r="E20" i="3"/>
  <c r="K19" i="3"/>
  <c r="F19" i="3"/>
  <c r="R19" i="3" s="1"/>
  <c r="E19" i="3"/>
  <c r="K18" i="3"/>
  <c r="F18" i="3"/>
  <c r="R18" i="3" s="1"/>
  <c r="E18" i="3"/>
  <c r="K17" i="3"/>
  <c r="H17" i="3" s="1"/>
  <c r="T17" i="3" s="1"/>
  <c r="F17" i="3"/>
  <c r="R17" i="3" s="1"/>
  <c r="E17" i="3"/>
  <c r="B17" i="3" s="1"/>
  <c r="N17" i="3" s="1"/>
  <c r="L16" i="3"/>
  <c r="L17" i="3" s="1"/>
  <c r="K16" i="3"/>
  <c r="F16" i="3"/>
  <c r="R16" i="3" s="1"/>
  <c r="E16" i="3"/>
  <c r="Q16" i="3" s="1"/>
  <c r="X15" i="3"/>
  <c r="K15" i="3"/>
  <c r="F15" i="3"/>
  <c r="R15" i="3" s="1"/>
  <c r="E15" i="3"/>
  <c r="Q15" i="3" s="1"/>
  <c r="C15" i="3"/>
  <c r="U15" i="3" s="1"/>
  <c r="J318" i="1"/>
  <c r="V318" i="1" s="1"/>
  <c r="D318" i="1"/>
  <c r="P318" i="1" s="1"/>
  <c r="A318" i="1"/>
  <c r="J317" i="1"/>
  <c r="V317" i="1" s="1"/>
  <c r="D317" i="1"/>
  <c r="P317" i="1" s="1"/>
  <c r="A317" i="1"/>
  <c r="J316" i="1"/>
  <c r="V316" i="1" s="1"/>
  <c r="D316" i="1"/>
  <c r="P316" i="1" s="1"/>
  <c r="A316" i="1"/>
  <c r="J315" i="1"/>
  <c r="V315" i="1" s="1"/>
  <c r="D315" i="1"/>
  <c r="P315" i="1" s="1"/>
  <c r="A315" i="1"/>
  <c r="J314" i="1"/>
  <c r="V314" i="1" s="1"/>
  <c r="D314" i="1"/>
  <c r="P314" i="1" s="1"/>
  <c r="A314" i="1"/>
  <c r="J313" i="1"/>
  <c r="V313" i="1" s="1"/>
  <c r="D313" i="1"/>
  <c r="P313" i="1" s="1"/>
  <c r="A313" i="1"/>
  <c r="J312" i="1"/>
  <c r="V312" i="1" s="1"/>
  <c r="D312" i="1"/>
  <c r="P312" i="1" s="1"/>
  <c r="A312" i="1"/>
  <c r="J311" i="1"/>
  <c r="V311" i="1" s="1"/>
  <c r="D311" i="1"/>
  <c r="P311" i="1" s="1"/>
  <c r="A311" i="1"/>
  <c r="J310" i="1"/>
  <c r="V310" i="1" s="1"/>
  <c r="D310" i="1"/>
  <c r="P310" i="1" s="1"/>
  <c r="J309" i="1"/>
  <c r="V309" i="1" s="1"/>
  <c r="D309" i="1"/>
  <c r="P309" i="1" s="1"/>
  <c r="J308" i="1"/>
  <c r="V308" i="1" s="1"/>
  <c r="D308" i="1"/>
  <c r="P308" i="1" s="1"/>
  <c r="B308" i="1"/>
  <c r="C308" i="1" s="1"/>
  <c r="O308" i="1" s="1"/>
  <c r="J306" i="1"/>
  <c r="V306" i="1" s="1"/>
  <c r="H306" i="1"/>
  <c r="I306" i="1" s="1"/>
  <c r="U306" i="1" s="1"/>
  <c r="D306" i="1"/>
  <c r="P306" i="1" s="1"/>
  <c r="B306" i="1"/>
  <c r="T306" i="1" s="1"/>
  <c r="J304" i="1"/>
  <c r="V304" i="1" s="1"/>
  <c r="H304" i="1"/>
  <c r="I304" i="1" s="1"/>
  <c r="U304" i="1" s="1"/>
  <c r="D304" i="1"/>
  <c r="P304" i="1" s="1"/>
  <c r="B304" i="1"/>
  <c r="T304" i="1" s="1"/>
  <c r="J303" i="1"/>
  <c r="V303" i="1" s="1"/>
  <c r="H303" i="1"/>
  <c r="I303" i="1" s="1"/>
  <c r="U303" i="1" s="1"/>
  <c r="D303" i="1"/>
  <c r="P303" i="1" s="1"/>
  <c r="B303" i="1"/>
  <c r="T303" i="1" s="1"/>
  <c r="A292" i="1"/>
  <c r="A291" i="1"/>
  <c r="A290" i="1"/>
  <c r="A289" i="1"/>
  <c r="A288" i="1"/>
  <c r="A287" i="1"/>
  <c r="A286" i="1"/>
  <c r="A285" i="1"/>
  <c r="A284" i="1"/>
  <c r="A283" i="1"/>
  <c r="L266" i="1"/>
  <c r="B208" i="3" s="1"/>
  <c r="I266" i="1"/>
  <c r="G266" i="1"/>
  <c r="D266" i="1"/>
  <c r="A266" i="1"/>
  <c r="L265" i="1"/>
  <c r="B207" i="3" s="1"/>
  <c r="I265" i="1"/>
  <c r="J192" i="3" s="1"/>
  <c r="G265" i="1"/>
  <c r="D265" i="1"/>
  <c r="A265" i="1"/>
  <c r="L264" i="1"/>
  <c r="B206" i="3" s="1"/>
  <c r="I264" i="1"/>
  <c r="G264" i="1"/>
  <c r="H191" i="3" s="1"/>
  <c r="D264" i="1"/>
  <c r="A264" i="1"/>
  <c r="L263" i="1"/>
  <c r="B205" i="3" s="1"/>
  <c r="I263" i="1"/>
  <c r="G263" i="1"/>
  <c r="D263" i="1"/>
  <c r="A263" i="1"/>
  <c r="L262" i="1"/>
  <c r="B204" i="3" s="1"/>
  <c r="I262" i="1"/>
  <c r="G262" i="1"/>
  <c r="D262" i="1"/>
  <c r="A262" i="1"/>
  <c r="L261" i="1"/>
  <c r="B203" i="3" s="1"/>
  <c r="I261" i="1"/>
  <c r="G261" i="1"/>
  <c r="D261" i="1"/>
  <c r="A261" i="1"/>
  <c r="L260" i="1"/>
  <c r="B202" i="3" s="1"/>
  <c r="I260" i="1"/>
  <c r="G260" i="1"/>
  <c r="D260" i="1"/>
  <c r="A260" i="1"/>
  <c r="L259" i="1"/>
  <c r="B201" i="3" s="1"/>
  <c r="I259" i="1"/>
  <c r="J186" i="3" s="1"/>
  <c r="G259" i="1"/>
  <c r="D259" i="1"/>
  <c r="A259" i="1"/>
  <c r="L258" i="1"/>
  <c r="B200" i="3" s="1"/>
  <c r="I258" i="1"/>
  <c r="G258" i="1"/>
  <c r="D258" i="1"/>
  <c r="A258" i="1"/>
  <c r="L257" i="1"/>
  <c r="B199" i="3" s="1"/>
  <c r="I257" i="1"/>
  <c r="J184" i="3" s="1"/>
  <c r="G257" i="1"/>
  <c r="D257" i="1"/>
  <c r="A257" i="1"/>
  <c r="L256" i="1"/>
  <c r="B198" i="3" s="1"/>
  <c r="I256" i="1"/>
  <c r="G256" i="1"/>
  <c r="D256" i="1"/>
  <c r="L252" i="1"/>
  <c r="I252" i="1"/>
  <c r="K278" i="1" s="1"/>
  <c r="G252" i="1"/>
  <c r="Q252" i="1" s="1"/>
  <c r="D252" i="1"/>
  <c r="E304" i="1" s="1"/>
  <c r="L251" i="1"/>
  <c r="I251" i="1"/>
  <c r="K303" i="1" s="1"/>
  <c r="G251" i="1"/>
  <c r="Q251" i="1" s="1"/>
  <c r="D251" i="1"/>
  <c r="K241" i="1"/>
  <c r="K173" i="3" s="1"/>
  <c r="C241" i="1"/>
  <c r="C173" i="3" s="1"/>
  <c r="A241" i="1"/>
  <c r="K240" i="1"/>
  <c r="K172" i="3" s="1"/>
  <c r="A240" i="1"/>
  <c r="O239" i="1"/>
  <c r="O171" i="3" s="1"/>
  <c r="G239" i="1"/>
  <c r="G171" i="3" s="1"/>
  <c r="C239" i="1"/>
  <c r="C171" i="3" s="1"/>
  <c r="A239" i="1"/>
  <c r="K238" i="1"/>
  <c r="K170" i="3" s="1"/>
  <c r="C238" i="1"/>
  <c r="C170" i="3" s="1"/>
  <c r="A238" i="1"/>
  <c r="O237" i="1"/>
  <c r="O169" i="3" s="1"/>
  <c r="K237" i="1"/>
  <c r="K169" i="3" s="1"/>
  <c r="G237" i="1"/>
  <c r="G169" i="3" s="1"/>
  <c r="C237" i="1"/>
  <c r="C169" i="3" s="1"/>
  <c r="A237" i="1"/>
  <c r="K236" i="1"/>
  <c r="K168" i="3" s="1"/>
  <c r="A236" i="1"/>
  <c r="O235" i="1"/>
  <c r="O167" i="3" s="1"/>
  <c r="K235" i="1"/>
  <c r="K167" i="3" s="1"/>
  <c r="G235" i="1"/>
  <c r="G167" i="3" s="1"/>
  <c r="C235" i="1"/>
  <c r="C167" i="3" s="1"/>
  <c r="A235" i="1"/>
  <c r="K234" i="1"/>
  <c r="K166" i="3" s="1"/>
  <c r="A234" i="1"/>
  <c r="G233" i="1"/>
  <c r="G165" i="3" s="1"/>
  <c r="C233" i="1"/>
  <c r="C165" i="3" s="1"/>
  <c r="A233" i="1"/>
  <c r="K232" i="1"/>
  <c r="K164" i="3" s="1"/>
  <c r="A232" i="1"/>
  <c r="K231" i="1"/>
  <c r="K163" i="3" s="1"/>
  <c r="H229" i="1"/>
  <c r="K227" i="1"/>
  <c r="D227" i="1"/>
  <c r="K226" i="1"/>
  <c r="H226" i="1"/>
  <c r="P215" i="1"/>
  <c r="L215" i="1"/>
  <c r="A215" i="1"/>
  <c r="P214" i="1"/>
  <c r="L214" i="1"/>
  <c r="A214" i="1"/>
  <c r="P213" i="1"/>
  <c r="L213" i="1"/>
  <c r="A213" i="1"/>
  <c r="P212" i="1"/>
  <c r="L212" i="1"/>
  <c r="A212" i="1"/>
  <c r="P211" i="1"/>
  <c r="L211" i="1"/>
  <c r="A211" i="1"/>
  <c r="P210" i="1"/>
  <c r="L210" i="1"/>
  <c r="A210" i="1"/>
  <c r="P209" i="1"/>
  <c r="L209" i="1"/>
  <c r="A209" i="1"/>
  <c r="P208" i="1"/>
  <c r="L208" i="1"/>
  <c r="A208" i="1"/>
  <c r="P207" i="1"/>
  <c r="L207" i="1"/>
  <c r="A207" i="1"/>
  <c r="P206" i="1"/>
  <c r="L206" i="1"/>
  <c r="A206" i="1"/>
  <c r="P205" i="1"/>
  <c r="L205" i="1"/>
  <c r="C205" i="1"/>
  <c r="P203" i="1"/>
  <c r="L203" i="1"/>
  <c r="C203" i="1"/>
  <c r="K203" i="1" s="1"/>
  <c r="P201" i="1"/>
  <c r="L201" i="1"/>
  <c r="C201" i="1"/>
  <c r="K201" i="1" s="1"/>
  <c r="P200" i="1"/>
  <c r="L200" i="1"/>
  <c r="C200" i="1"/>
  <c r="K200" i="1" s="1"/>
  <c r="A189" i="1"/>
  <c r="A188" i="1"/>
  <c r="A187" i="1"/>
  <c r="A186" i="1"/>
  <c r="A185" i="1"/>
  <c r="A184" i="1"/>
  <c r="A183" i="1"/>
  <c r="A182" i="1"/>
  <c r="A181" i="1"/>
  <c r="C179" i="1"/>
  <c r="C175" i="1"/>
  <c r="C174" i="1"/>
  <c r="O163" i="1"/>
  <c r="K163" i="1"/>
  <c r="A163" i="1"/>
  <c r="O162" i="1"/>
  <c r="K162" i="1"/>
  <c r="A162" i="1"/>
  <c r="O161" i="1"/>
  <c r="K161" i="1"/>
  <c r="A161" i="1"/>
  <c r="O160" i="1"/>
  <c r="K160" i="1"/>
  <c r="A160" i="1"/>
  <c r="O159" i="1"/>
  <c r="K159" i="1"/>
  <c r="A159" i="1"/>
  <c r="O158" i="1"/>
  <c r="K158" i="1"/>
  <c r="A158" i="1"/>
  <c r="O157" i="1"/>
  <c r="K157" i="1"/>
  <c r="A157" i="1"/>
  <c r="O156" i="1"/>
  <c r="K156" i="1"/>
  <c r="A156" i="1"/>
  <c r="O155" i="1"/>
  <c r="K155" i="1"/>
  <c r="A155" i="1"/>
  <c r="O154" i="1"/>
  <c r="K154" i="1"/>
  <c r="O153" i="1"/>
  <c r="K153" i="1"/>
  <c r="D153" i="1"/>
  <c r="O149" i="1"/>
  <c r="K149" i="1"/>
  <c r="D149" i="1"/>
  <c r="L149" i="1" s="1"/>
  <c r="O148" i="1"/>
  <c r="K148" i="1"/>
  <c r="D148" i="1"/>
  <c r="L148" i="1" s="1"/>
  <c r="O137" i="1"/>
  <c r="K137" i="1"/>
  <c r="A137" i="1"/>
  <c r="O136" i="1"/>
  <c r="K136" i="1"/>
  <c r="A136" i="1"/>
  <c r="O135" i="1"/>
  <c r="K135" i="1"/>
  <c r="A135" i="1"/>
  <c r="O134" i="1"/>
  <c r="K134" i="1"/>
  <c r="A134" i="1"/>
  <c r="O133" i="1"/>
  <c r="K133" i="1"/>
  <c r="A133" i="1"/>
  <c r="O132" i="1"/>
  <c r="K132" i="1"/>
  <c r="A132" i="1"/>
  <c r="O131" i="1"/>
  <c r="K131" i="1"/>
  <c r="A131" i="1"/>
  <c r="O130" i="1"/>
  <c r="K130" i="1"/>
  <c r="A130" i="1"/>
  <c r="O129" i="1"/>
  <c r="K129" i="1"/>
  <c r="A129" i="1"/>
  <c r="D284" i="1"/>
  <c r="P284" i="1" s="1"/>
  <c r="I101" i="1"/>
  <c r="I99" i="1"/>
  <c r="I97" i="1"/>
  <c r="I96" i="1"/>
  <c r="L86" i="1"/>
  <c r="P137" i="1" s="1"/>
  <c r="K86" i="1"/>
  <c r="N137" i="1" s="1"/>
  <c r="I86" i="1"/>
  <c r="L137" i="1" s="1"/>
  <c r="H86" i="1"/>
  <c r="J137" i="1" s="1"/>
  <c r="A86" i="1"/>
  <c r="L85" i="1"/>
  <c r="P136" i="1" s="1"/>
  <c r="K85" i="1"/>
  <c r="N136" i="1" s="1"/>
  <c r="I85" i="1"/>
  <c r="L136" i="1" s="1"/>
  <c r="H85" i="1"/>
  <c r="J136" i="1" s="1"/>
  <c r="A85" i="1"/>
  <c r="L84" i="1"/>
  <c r="P135" i="1" s="1"/>
  <c r="K84" i="1"/>
  <c r="N135" i="1" s="1"/>
  <c r="I84" i="1"/>
  <c r="L135" i="1" s="1"/>
  <c r="H84" i="1"/>
  <c r="J135" i="1" s="1"/>
  <c r="A84" i="1"/>
  <c r="L83" i="1"/>
  <c r="P134" i="1" s="1"/>
  <c r="K83" i="1"/>
  <c r="N134" i="1" s="1"/>
  <c r="I83" i="1"/>
  <c r="L134" i="1" s="1"/>
  <c r="H83" i="1"/>
  <c r="J134" i="1" s="1"/>
  <c r="A83" i="1"/>
  <c r="L82" i="1"/>
  <c r="P133" i="1" s="1"/>
  <c r="K82" i="1"/>
  <c r="N133" i="1" s="1"/>
  <c r="I82" i="1"/>
  <c r="L133" i="1" s="1"/>
  <c r="H82" i="1"/>
  <c r="J133" i="1" s="1"/>
  <c r="A82" i="1"/>
  <c r="L81" i="1"/>
  <c r="P132" i="1" s="1"/>
  <c r="K81" i="1"/>
  <c r="N132" i="1" s="1"/>
  <c r="I81" i="1"/>
  <c r="L132" i="1" s="1"/>
  <c r="H81" i="1"/>
  <c r="J132" i="1" s="1"/>
  <c r="A81" i="1"/>
  <c r="L80" i="1"/>
  <c r="P131" i="1" s="1"/>
  <c r="K80" i="1"/>
  <c r="N131" i="1" s="1"/>
  <c r="I80" i="1"/>
  <c r="L131" i="1" s="1"/>
  <c r="H80" i="1"/>
  <c r="J131" i="1" s="1"/>
  <c r="A80" i="1"/>
  <c r="L79" i="1"/>
  <c r="P130" i="1" s="1"/>
  <c r="K79" i="1"/>
  <c r="N130" i="1" s="1"/>
  <c r="I79" i="1"/>
  <c r="L130" i="1" s="1"/>
  <c r="H79" i="1"/>
  <c r="J130" i="1" s="1"/>
  <c r="A79" i="1"/>
  <c r="L78" i="1"/>
  <c r="P129" i="1" s="1"/>
  <c r="K78" i="1"/>
  <c r="N129" i="1" s="1"/>
  <c r="I78" i="1"/>
  <c r="L129" i="1" s="1"/>
  <c r="H78" i="1"/>
  <c r="J129" i="1" s="1"/>
  <c r="A78" i="1"/>
  <c r="L77" i="1"/>
  <c r="P128" i="1" s="1"/>
  <c r="K77" i="1"/>
  <c r="N128" i="1" s="1"/>
  <c r="I77" i="1"/>
  <c r="L128" i="1" s="1"/>
  <c r="H77" i="1"/>
  <c r="J128" i="1" s="1"/>
  <c r="A77" i="1"/>
  <c r="L76" i="1"/>
  <c r="P127" i="1" s="1"/>
  <c r="K76" i="1"/>
  <c r="N127" i="1" s="1"/>
  <c r="I76" i="1"/>
  <c r="L127" i="1" s="1"/>
  <c r="H76" i="1"/>
  <c r="J127" i="1" s="1"/>
  <c r="L74" i="1"/>
  <c r="P125" i="1" s="1"/>
  <c r="K74" i="1"/>
  <c r="N125" i="1" s="1"/>
  <c r="I74" i="1"/>
  <c r="L125" i="1" s="1"/>
  <c r="L72" i="1"/>
  <c r="P123" i="1" s="1"/>
  <c r="K72" i="1"/>
  <c r="N123" i="1" s="1"/>
  <c r="I72" i="1"/>
  <c r="L123" i="1" s="1"/>
  <c r="H72" i="1"/>
  <c r="J123" i="1" s="1"/>
  <c r="L71" i="1"/>
  <c r="P122" i="1" s="1"/>
  <c r="K71" i="1"/>
  <c r="N122" i="1" s="1"/>
  <c r="I71" i="1"/>
  <c r="L122" i="1" s="1"/>
  <c r="H71" i="1"/>
  <c r="J122" i="1" s="1"/>
  <c r="W27" i="1"/>
  <c r="V27" i="1"/>
  <c r="R27" i="1"/>
  <c r="Q27" i="1"/>
  <c r="P27" i="1"/>
  <c r="H27" i="1"/>
  <c r="B27" i="1"/>
  <c r="N27" i="1" s="1"/>
  <c r="W26" i="1"/>
  <c r="V26" i="1"/>
  <c r="R26" i="1"/>
  <c r="Q26" i="1"/>
  <c r="P26" i="1"/>
  <c r="H26" i="1"/>
  <c r="H291" i="1" s="1"/>
  <c r="T291" i="1" s="1"/>
  <c r="B26" i="1"/>
  <c r="B291" i="1" s="1"/>
  <c r="W25" i="1"/>
  <c r="V25" i="1"/>
  <c r="R25" i="1"/>
  <c r="Q25" i="1"/>
  <c r="P25" i="1"/>
  <c r="H25" i="1"/>
  <c r="B25" i="1"/>
  <c r="B290" i="1" s="1"/>
  <c r="W24" i="1"/>
  <c r="V24" i="1"/>
  <c r="R24" i="1"/>
  <c r="Q24" i="1"/>
  <c r="P24" i="1"/>
  <c r="H24" i="1"/>
  <c r="B24" i="1"/>
  <c r="B289" i="1" s="1"/>
  <c r="W23" i="1"/>
  <c r="R23" i="1"/>
  <c r="Q23" i="1"/>
  <c r="P23" i="1"/>
  <c r="H23" i="1"/>
  <c r="B23" i="1"/>
  <c r="B288" i="1" s="1"/>
  <c r="C288" i="1" s="1"/>
  <c r="O288" i="1" s="1"/>
  <c r="W22" i="1"/>
  <c r="R22" i="1"/>
  <c r="Q22" i="1"/>
  <c r="P22" i="1"/>
  <c r="H22" i="1"/>
  <c r="B22" i="1"/>
  <c r="B287" i="1" s="1"/>
  <c r="N287" i="1" s="1"/>
  <c r="W21" i="1"/>
  <c r="R21" i="1"/>
  <c r="Q21" i="1"/>
  <c r="P21" i="1"/>
  <c r="H21" i="1"/>
  <c r="B21" i="1"/>
  <c r="W20" i="1"/>
  <c r="R20" i="1"/>
  <c r="Q20" i="1"/>
  <c r="P20" i="1"/>
  <c r="H20" i="1"/>
  <c r="B20" i="1"/>
  <c r="B285" i="1" s="1"/>
  <c r="N285" i="1" s="1"/>
  <c r="W19" i="1"/>
  <c r="V19" i="1"/>
  <c r="R19" i="1"/>
  <c r="Q19" i="1"/>
  <c r="P19" i="1"/>
  <c r="H19" i="1"/>
  <c r="B19" i="1"/>
  <c r="B284" i="1" s="1"/>
  <c r="W18" i="1"/>
  <c r="V18" i="1"/>
  <c r="R18" i="1"/>
  <c r="Q18" i="1"/>
  <c r="P18" i="1"/>
  <c r="L18" i="1"/>
  <c r="L19" i="1" s="1"/>
  <c r="H18" i="1"/>
  <c r="C18" i="1"/>
  <c r="U18" i="1" s="1"/>
  <c r="B18" i="1"/>
  <c r="B283" i="1" s="1"/>
  <c r="X17" i="1"/>
  <c r="W17" i="1"/>
  <c r="V17" i="1"/>
  <c r="R17" i="1"/>
  <c r="Q17" i="1"/>
  <c r="P17" i="1"/>
  <c r="O17" i="1"/>
  <c r="I17" i="1"/>
  <c r="H308" i="1" s="1"/>
  <c r="I308" i="1" s="1"/>
  <c r="U308" i="1" s="1"/>
  <c r="H17" i="1"/>
  <c r="B17" i="1"/>
  <c r="B282" i="1" s="1"/>
  <c r="C282" i="1" s="1"/>
  <c r="O282" i="1" s="1"/>
  <c r="X15" i="1"/>
  <c r="W15" i="1"/>
  <c r="V15" i="1"/>
  <c r="R15" i="1"/>
  <c r="Q15" i="1"/>
  <c r="P15" i="1"/>
  <c r="O15" i="1"/>
  <c r="H15" i="1"/>
  <c r="F177" i="1" s="1"/>
  <c r="B15" i="1"/>
  <c r="X13" i="1"/>
  <c r="W13" i="1"/>
  <c r="V13" i="1"/>
  <c r="R13" i="1"/>
  <c r="Q13" i="1"/>
  <c r="P13" i="1"/>
  <c r="O13" i="1"/>
  <c r="H13" i="1"/>
  <c r="B13" i="1"/>
  <c r="B278" i="1" s="1"/>
  <c r="X12" i="1"/>
  <c r="W12" i="1"/>
  <c r="V12" i="1"/>
  <c r="R12" i="1"/>
  <c r="Q12" i="1"/>
  <c r="P12" i="1"/>
  <c r="O12" i="1"/>
  <c r="H12" i="1"/>
  <c r="B12" i="1"/>
  <c r="B277" i="1" s="1"/>
  <c r="P227" i="1" l="1"/>
  <c r="N170" i="4"/>
  <c r="P170" i="4" s="1"/>
  <c r="P226" i="1"/>
  <c r="N169" i="4"/>
  <c r="P169" i="4" s="1"/>
  <c r="J173" i="4"/>
  <c r="L229" i="1" s="1"/>
  <c r="J172" i="4"/>
  <c r="L172" i="4" s="1"/>
  <c r="N173" i="4"/>
  <c r="P228" i="1" s="1"/>
  <c r="N172" i="4"/>
  <c r="P172" i="4" s="1"/>
  <c r="G232" i="1"/>
  <c r="G164" i="3" s="1"/>
  <c r="L226" i="1"/>
  <c r="P229" i="1"/>
  <c r="G234" i="1"/>
  <c r="G166" i="3" s="1"/>
  <c r="H227" i="1"/>
  <c r="C229" i="1"/>
  <c r="G229" i="1"/>
  <c r="O229" i="1"/>
  <c r="D233" i="1"/>
  <c r="D165" i="3" s="1"/>
  <c r="F165" i="3"/>
  <c r="G236" i="1"/>
  <c r="G168" i="3" s="1"/>
  <c r="G238" i="1"/>
  <c r="G170" i="3" s="1"/>
  <c r="D239" i="1"/>
  <c r="D171" i="3" s="1"/>
  <c r="F171" i="3"/>
  <c r="G240" i="1"/>
  <c r="G172" i="3" s="1"/>
  <c r="B173" i="3"/>
  <c r="H241" i="1"/>
  <c r="H173" i="3" s="1"/>
  <c r="J167" i="3"/>
  <c r="J163" i="3"/>
  <c r="L232" i="1"/>
  <c r="L164" i="3" s="1"/>
  <c r="J166" i="3"/>
  <c r="J168" i="3"/>
  <c r="D73" i="4"/>
  <c r="Q46" i="4"/>
  <c r="S46" i="4" s="1"/>
  <c r="Q49" i="4"/>
  <c r="S49" i="4" s="1"/>
  <c r="Q54" i="4"/>
  <c r="S54" i="4" s="1"/>
  <c r="D70" i="4"/>
  <c r="I75" i="4"/>
  <c r="L228" i="1"/>
  <c r="R69" i="4"/>
  <c r="T69" i="4" s="1"/>
  <c r="N110" i="4"/>
  <c r="N182" i="4"/>
  <c r="N171" i="3" s="1"/>
  <c r="J184" i="4"/>
  <c r="Q52" i="4"/>
  <c r="S52" i="4" s="1"/>
  <c r="I69" i="4"/>
  <c r="H71" i="4"/>
  <c r="J71" i="4" s="1"/>
  <c r="M73" i="4"/>
  <c r="O73" i="4" s="1"/>
  <c r="R75" i="4"/>
  <c r="T75" i="4" s="1"/>
  <c r="D76" i="4"/>
  <c r="L76" i="4"/>
  <c r="N76" i="4" s="1"/>
  <c r="D173" i="4"/>
  <c r="D228" i="1"/>
  <c r="H173" i="4"/>
  <c r="H228" i="1"/>
  <c r="K229" i="1"/>
  <c r="K228" i="1"/>
  <c r="Q19" i="3"/>
  <c r="B19" i="3"/>
  <c r="X55" i="1"/>
  <c r="L56" i="1"/>
  <c r="C55" i="1"/>
  <c r="U54" i="1"/>
  <c r="I54" i="1"/>
  <c r="O54" i="1"/>
  <c r="H177" i="1"/>
  <c r="N177" i="1"/>
  <c r="P177" i="1" s="1"/>
  <c r="B177" i="1"/>
  <c r="C17" i="4"/>
  <c r="G155" i="4" s="1"/>
  <c r="O155" i="4" s="1"/>
  <c r="B92" i="4"/>
  <c r="J92" i="4" s="1"/>
  <c r="U16" i="4"/>
  <c r="T12" i="1"/>
  <c r="F174" i="1"/>
  <c r="F121" i="3" s="1"/>
  <c r="H283" i="1"/>
  <c r="F125" i="3"/>
  <c r="N125" i="3" s="1"/>
  <c r="H284" i="1"/>
  <c r="F181" i="1"/>
  <c r="F126" i="3" s="1"/>
  <c r="H292" i="1"/>
  <c r="I292" i="1" s="1"/>
  <c r="U292" i="1" s="1"/>
  <c r="H285" i="1"/>
  <c r="T285" i="1" s="1"/>
  <c r="F182" i="1"/>
  <c r="F127" i="3" s="1"/>
  <c r="H286" i="1"/>
  <c r="I286" i="1" s="1"/>
  <c r="U286" i="1" s="1"/>
  <c r="F183" i="1"/>
  <c r="F128" i="3" s="1"/>
  <c r="H287" i="1"/>
  <c r="F184" i="1"/>
  <c r="F129" i="3" s="1"/>
  <c r="H288" i="1"/>
  <c r="F185" i="1"/>
  <c r="F130" i="3" s="1"/>
  <c r="H289" i="1"/>
  <c r="T289" i="1" s="1"/>
  <c r="F186" i="1"/>
  <c r="F131" i="3" s="1"/>
  <c r="T24" i="1"/>
  <c r="T25" i="1"/>
  <c r="F187" i="1"/>
  <c r="D231" i="1"/>
  <c r="D163" i="3" s="1"/>
  <c r="B163" i="3"/>
  <c r="H231" i="1"/>
  <c r="H163" i="3" s="1"/>
  <c r="F163" i="3"/>
  <c r="L231" i="1"/>
  <c r="L163" i="3" s="1"/>
  <c r="P231" i="1"/>
  <c r="P163" i="3" s="1"/>
  <c r="D232" i="1"/>
  <c r="D164" i="3" s="1"/>
  <c r="B164" i="3"/>
  <c r="H232" i="1"/>
  <c r="H164" i="3" s="1"/>
  <c r="F164" i="3"/>
  <c r="J164" i="3"/>
  <c r="P232" i="1"/>
  <c r="P164" i="3" s="1"/>
  <c r="N164" i="3"/>
  <c r="H233" i="1"/>
  <c r="H165" i="3" s="1"/>
  <c r="D234" i="1"/>
  <c r="D166" i="3" s="1"/>
  <c r="B166" i="3"/>
  <c r="H234" i="1"/>
  <c r="H166" i="3" s="1"/>
  <c r="F166" i="3"/>
  <c r="D235" i="1"/>
  <c r="D167" i="3" s="1"/>
  <c r="B167" i="3"/>
  <c r="H235" i="1"/>
  <c r="H167" i="3" s="1"/>
  <c r="F167" i="3"/>
  <c r="L235" i="1"/>
  <c r="L167" i="3" s="1"/>
  <c r="P235" i="1"/>
  <c r="P167" i="3" s="1"/>
  <c r="N167" i="3"/>
  <c r="D237" i="1"/>
  <c r="D169" i="3" s="1"/>
  <c r="B169" i="3"/>
  <c r="H237" i="1"/>
  <c r="H169" i="3" s="1"/>
  <c r="F169" i="3"/>
  <c r="P237" i="1"/>
  <c r="P169" i="3" s="1"/>
  <c r="N169" i="3"/>
  <c r="H239" i="1"/>
  <c r="H171" i="3" s="1"/>
  <c r="D241" i="1"/>
  <c r="D173" i="3" s="1"/>
  <c r="E282" i="1"/>
  <c r="D183" i="3"/>
  <c r="K308" i="1"/>
  <c r="J183" i="3"/>
  <c r="Q257" i="1"/>
  <c r="H199" i="3" s="1"/>
  <c r="H184" i="3"/>
  <c r="E284" i="1"/>
  <c r="D185" i="3"/>
  <c r="K310" i="1"/>
  <c r="J185" i="3"/>
  <c r="Q259" i="1"/>
  <c r="H201" i="3" s="1"/>
  <c r="H186" i="3"/>
  <c r="N260" i="1"/>
  <c r="D202" i="3" s="1"/>
  <c r="D187" i="3"/>
  <c r="K286" i="1"/>
  <c r="J187" i="3"/>
  <c r="Q261" i="1"/>
  <c r="H203" i="3" s="1"/>
  <c r="H188" i="3"/>
  <c r="E288" i="1"/>
  <c r="D189" i="3"/>
  <c r="K288" i="1"/>
  <c r="J189" i="3"/>
  <c r="Q263" i="1"/>
  <c r="H205" i="3" s="1"/>
  <c r="H190" i="3"/>
  <c r="E316" i="1"/>
  <c r="D191" i="3"/>
  <c r="S264" i="1"/>
  <c r="J206" i="3" s="1"/>
  <c r="J191" i="3"/>
  <c r="N264" i="1"/>
  <c r="Q265" i="1"/>
  <c r="H207" i="3" s="1"/>
  <c r="H192" i="3"/>
  <c r="E318" i="1"/>
  <c r="D193" i="3"/>
  <c r="K292" i="1"/>
  <c r="J193" i="3"/>
  <c r="H290" i="1"/>
  <c r="I290" i="1" s="1"/>
  <c r="U290" i="1" s="1"/>
  <c r="I15" i="4"/>
  <c r="U15" i="4"/>
  <c r="X15" i="4"/>
  <c r="D45" i="4"/>
  <c r="L45" i="4"/>
  <c r="N45" i="4" s="1"/>
  <c r="I47" i="4"/>
  <c r="Q47" i="4"/>
  <c r="S47" i="4" s="1"/>
  <c r="I53" i="4"/>
  <c r="Q53" i="4"/>
  <c r="S53" i="4" s="1"/>
  <c r="L69" i="4"/>
  <c r="N69" i="4" s="1"/>
  <c r="C69" i="4"/>
  <c r="Q77" i="4"/>
  <c r="S77" i="4" s="1"/>
  <c r="I77" i="4"/>
  <c r="D90" i="4"/>
  <c r="H90" i="4" s="1"/>
  <c r="P90" i="4" s="1"/>
  <c r="J90" i="4"/>
  <c r="D110" i="4"/>
  <c r="L110" i="4" s="1"/>
  <c r="H112" i="4"/>
  <c r="P112" i="4" s="1"/>
  <c r="N112" i="4"/>
  <c r="D113" i="4"/>
  <c r="L113" i="4" s="1"/>
  <c r="O116" i="4"/>
  <c r="H116" i="4"/>
  <c r="P116" i="4" s="1"/>
  <c r="N116" i="4"/>
  <c r="N117" i="4"/>
  <c r="H117" i="4"/>
  <c r="P117" i="4" s="1"/>
  <c r="N119" i="4"/>
  <c r="H119" i="4"/>
  <c r="P119" i="4" s="1"/>
  <c r="D132" i="4"/>
  <c r="L132" i="4" s="1"/>
  <c r="H133" i="4"/>
  <c r="P133" i="4" s="1"/>
  <c r="H135" i="4"/>
  <c r="P135" i="4" s="1"/>
  <c r="H278" i="1"/>
  <c r="T278" i="1" s="1"/>
  <c r="F175" i="1"/>
  <c r="F122" i="3" s="1"/>
  <c r="F123" i="3"/>
  <c r="N123" i="3" s="1"/>
  <c r="T17" i="1"/>
  <c r="F124" i="3"/>
  <c r="N124" i="3" s="1"/>
  <c r="N25" i="1"/>
  <c r="T27" i="1"/>
  <c r="L233" i="1"/>
  <c r="L165" i="3" s="1"/>
  <c r="J165" i="3"/>
  <c r="P233" i="1"/>
  <c r="P165" i="3" s="1"/>
  <c r="N165" i="3"/>
  <c r="P234" i="1"/>
  <c r="P166" i="3" s="1"/>
  <c r="N166" i="3"/>
  <c r="D236" i="1"/>
  <c r="D168" i="3" s="1"/>
  <c r="B168" i="3"/>
  <c r="H236" i="1"/>
  <c r="H168" i="3" s="1"/>
  <c r="F168" i="3"/>
  <c r="L236" i="1"/>
  <c r="L168" i="3" s="1"/>
  <c r="P236" i="1"/>
  <c r="P168" i="3" s="1"/>
  <c r="N168" i="3"/>
  <c r="D238" i="1"/>
  <c r="D170" i="3" s="1"/>
  <c r="B170" i="3"/>
  <c r="P239" i="1"/>
  <c r="P171" i="3" s="1"/>
  <c r="D240" i="1"/>
  <c r="D172" i="3" s="1"/>
  <c r="B172" i="3"/>
  <c r="H240" i="1"/>
  <c r="H172" i="3" s="1"/>
  <c r="F172" i="3"/>
  <c r="F173" i="3"/>
  <c r="Q256" i="1"/>
  <c r="H198" i="3" s="1"/>
  <c r="H183" i="3"/>
  <c r="E309" i="1"/>
  <c r="D184" i="3"/>
  <c r="Q258" i="1"/>
  <c r="H200" i="3" s="1"/>
  <c r="H185" i="3"/>
  <c r="E285" i="1"/>
  <c r="D186" i="3"/>
  <c r="Q260" i="1"/>
  <c r="H202" i="3" s="1"/>
  <c r="H187" i="3"/>
  <c r="E313" i="1"/>
  <c r="D188" i="3"/>
  <c r="S261" i="1"/>
  <c r="W287" i="1" s="1"/>
  <c r="J188" i="3"/>
  <c r="Q262" i="1"/>
  <c r="H204" i="3" s="1"/>
  <c r="H189" i="3"/>
  <c r="E315" i="1"/>
  <c r="D190" i="3"/>
  <c r="K315" i="1"/>
  <c r="J190" i="3"/>
  <c r="Q264" i="1"/>
  <c r="H206" i="3" s="1"/>
  <c r="E291" i="1"/>
  <c r="D192" i="3"/>
  <c r="Q266" i="1"/>
  <c r="H208" i="3" s="1"/>
  <c r="H193" i="3"/>
  <c r="I50" i="4"/>
  <c r="Q50" i="4"/>
  <c r="S50" i="4" s="1"/>
  <c r="C67" i="4"/>
  <c r="L67" i="4"/>
  <c r="N67" i="4" s="1"/>
  <c r="D67" i="4"/>
  <c r="I68" i="4"/>
  <c r="Q68" i="4"/>
  <c r="S68" i="4" s="1"/>
  <c r="R71" i="4"/>
  <c r="T71" i="4" s="1"/>
  <c r="H72" i="4"/>
  <c r="Q72" i="4"/>
  <c r="S72" i="4" s="1"/>
  <c r="I72" i="4"/>
  <c r="L74" i="4"/>
  <c r="N74" i="4" s="1"/>
  <c r="C74" i="4"/>
  <c r="M74" i="4" s="1"/>
  <c r="O74" i="4" s="1"/>
  <c r="Q76" i="4"/>
  <c r="S76" i="4" s="1"/>
  <c r="H76" i="4"/>
  <c r="J76" i="4" s="1"/>
  <c r="L77" i="4"/>
  <c r="N77" i="4" s="1"/>
  <c r="C77" i="4"/>
  <c r="E77" i="4" s="1"/>
  <c r="J89" i="4"/>
  <c r="D89" i="4"/>
  <c r="L89" i="4" s="1"/>
  <c r="D111" i="4"/>
  <c r="L111" i="4" s="1"/>
  <c r="J111" i="4"/>
  <c r="O111" i="4"/>
  <c r="H111" i="4"/>
  <c r="P111" i="4" s="1"/>
  <c r="N111" i="4"/>
  <c r="J116" i="4"/>
  <c r="D118" i="4"/>
  <c r="L118" i="4" s="1"/>
  <c r="D136" i="4"/>
  <c r="L136" i="4" s="1"/>
  <c r="J136" i="4"/>
  <c r="H136" i="4"/>
  <c r="P136" i="4" s="1"/>
  <c r="L19" i="5"/>
  <c r="X18" i="5"/>
  <c r="J180" i="4"/>
  <c r="J181" i="4"/>
  <c r="L181" i="4" s="1"/>
  <c r="N181" i="4"/>
  <c r="N183" i="4"/>
  <c r="Q45" i="4"/>
  <c r="S45" i="4" s="1"/>
  <c r="Q69" i="4"/>
  <c r="S69" i="4" s="1"/>
  <c r="E70" i="4"/>
  <c r="L70" i="4"/>
  <c r="N70" i="4" s="1"/>
  <c r="I71" i="4"/>
  <c r="L73" i="4"/>
  <c r="N73" i="4" s="1"/>
  <c r="Q75" i="4"/>
  <c r="S75" i="4" s="1"/>
  <c r="E76" i="4"/>
  <c r="D112" i="4"/>
  <c r="L112" i="4" s="1"/>
  <c r="N114" i="4"/>
  <c r="H114" i="4"/>
  <c r="P114" i="4" s="1"/>
  <c r="J114" i="4"/>
  <c r="N115" i="4"/>
  <c r="H115" i="4"/>
  <c r="P115" i="4" s="1"/>
  <c r="O118" i="4"/>
  <c r="H118" i="4"/>
  <c r="P118" i="4" s="1"/>
  <c r="D119" i="4"/>
  <c r="L119" i="4" s="1"/>
  <c r="J131" i="4"/>
  <c r="D133" i="4"/>
  <c r="L133" i="4" s="1"/>
  <c r="J134" i="4"/>
  <c r="H140" i="4"/>
  <c r="P140" i="4" s="1"/>
  <c r="O16" i="5"/>
  <c r="X16" i="5"/>
  <c r="D138" i="4"/>
  <c r="L138" i="4" s="1"/>
  <c r="D139" i="4"/>
  <c r="L139" i="4" s="1"/>
  <c r="D226" i="1"/>
  <c r="C109" i="1"/>
  <c r="E110" i="1"/>
  <c r="K179" i="1"/>
  <c r="C124" i="3"/>
  <c r="K124" i="3" s="1"/>
  <c r="K175" i="1"/>
  <c r="C122" i="3"/>
  <c r="K122" i="3" s="1"/>
  <c r="L153" i="1"/>
  <c r="D100" i="3"/>
  <c r="C123" i="3"/>
  <c r="K123" i="3" s="1"/>
  <c r="K205" i="1"/>
  <c r="C142" i="3"/>
  <c r="K142" i="3" s="1"/>
  <c r="K174" i="1"/>
  <c r="C121" i="3"/>
  <c r="K121" i="3" s="1"/>
  <c r="H25" i="3"/>
  <c r="T25" i="3" s="1"/>
  <c r="X17" i="3"/>
  <c r="L18" i="3"/>
  <c r="L19" i="3" s="1"/>
  <c r="X19" i="3" s="1"/>
  <c r="H82" i="3"/>
  <c r="P82" i="3" s="1"/>
  <c r="L41" i="3"/>
  <c r="H81" i="3"/>
  <c r="P81" i="3" s="1"/>
  <c r="L40" i="3"/>
  <c r="H87" i="3"/>
  <c r="P87" i="3" s="1"/>
  <c r="L46" i="3"/>
  <c r="X16" i="3"/>
  <c r="L47" i="3"/>
  <c r="H88" i="3"/>
  <c r="P88" i="3" s="1"/>
  <c r="L48" i="3"/>
  <c r="H89" i="3"/>
  <c r="P89" i="3" s="1"/>
  <c r="L42" i="3"/>
  <c r="H83" i="3"/>
  <c r="P83" i="3" s="1"/>
  <c r="Q20" i="3"/>
  <c r="H84" i="3"/>
  <c r="P84" i="3" s="1"/>
  <c r="L43" i="3"/>
  <c r="L44" i="3"/>
  <c r="H85" i="3"/>
  <c r="P85" i="3" s="1"/>
  <c r="H80" i="3"/>
  <c r="P80" i="3" s="1"/>
  <c r="L39" i="3"/>
  <c r="H86" i="3"/>
  <c r="P86" i="3" s="1"/>
  <c r="L45" i="3"/>
  <c r="F65" i="3"/>
  <c r="W17" i="3"/>
  <c r="W22" i="3"/>
  <c r="W16" i="3"/>
  <c r="W23" i="3"/>
  <c r="N103" i="3"/>
  <c r="W25" i="3"/>
  <c r="W19" i="3"/>
  <c r="E283" i="1"/>
  <c r="T22" i="1"/>
  <c r="K316" i="1"/>
  <c r="C306" i="1"/>
  <c r="O306" i="1" s="1"/>
  <c r="T19" i="1"/>
  <c r="I15" i="3"/>
  <c r="N15" i="1"/>
  <c r="N17" i="1"/>
  <c r="N261" i="1"/>
  <c r="O15" i="3"/>
  <c r="C303" i="1"/>
  <c r="O303" i="1" s="1"/>
  <c r="B15" i="3"/>
  <c r="N15" i="3" s="1"/>
  <c r="E289" i="1"/>
  <c r="N13" i="1"/>
  <c r="N258" i="1"/>
  <c r="N266" i="1"/>
  <c r="I289" i="1"/>
  <c r="U289" i="1" s="1"/>
  <c r="K313" i="1"/>
  <c r="Q17" i="3"/>
  <c r="N263" i="1"/>
  <c r="K277" i="1"/>
  <c r="N12" i="1"/>
  <c r="E278" i="1"/>
  <c r="E290" i="1"/>
  <c r="E311" i="1"/>
  <c r="B24" i="3"/>
  <c r="N24" i="3" s="1"/>
  <c r="I107" i="1"/>
  <c r="I278" i="1"/>
  <c r="U278" i="1" s="1"/>
  <c r="N303" i="1"/>
  <c r="B18" i="3"/>
  <c r="N18" i="3" s="1"/>
  <c r="X18" i="1"/>
  <c r="N20" i="1"/>
  <c r="N257" i="1"/>
  <c r="D199" i="3" s="1"/>
  <c r="N265" i="1"/>
  <c r="D207" i="3" s="1"/>
  <c r="C287" i="1"/>
  <c r="O287" i="1" s="1"/>
  <c r="B205" i="1"/>
  <c r="H109" i="1"/>
  <c r="N262" i="1"/>
  <c r="E287" i="1"/>
  <c r="E312" i="1"/>
  <c r="G200" i="1"/>
  <c r="O200" i="1" s="1"/>
  <c r="N252" i="1"/>
  <c r="Q304" i="1" s="1"/>
  <c r="H282" i="1"/>
  <c r="T282" i="1" s="1"/>
  <c r="K287" i="1"/>
  <c r="E292" i="1"/>
  <c r="N19" i="1"/>
  <c r="B207" i="1"/>
  <c r="N259" i="1"/>
  <c r="D201" i="3" s="1"/>
  <c r="K282" i="1"/>
  <c r="T292" i="1"/>
  <c r="C304" i="1"/>
  <c r="O304" i="1" s="1"/>
  <c r="E317" i="1"/>
  <c r="Q18" i="3"/>
  <c r="B21" i="3"/>
  <c r="N21" i="3" s="1"/>
  <c r="N306" i="1"/>
  <c r="B25" i="3"/>
  <c r="N25" i="3" s="1"/>
  <c r="G205" i="1"/>
  <c r="G179" i="1"/>
  <c r="C278" i="1"/>
  <c r="O278" i="1" s="1"/>
  <c r="N278" i="1"/>
  <c r="D286" i="1"/>
  <c r="P286" i="1" s="1"/>
  <c r="B183" i="1"/>
  <c r="B125" i="3" s="1"/>
  <c r="J125" i="3" s="1"/>
  <c r="B157" i="1"/>
  <c r="H105" i="1"/>
  <c r="B209" i="1"/>
  <c r="X19" i="1"/>
  <c r="L20" i="1"/>
  <c r="N290" i="1"/>
  <c r="C290" i="1"/>
  <c r="O290" i="1" s="1"/>
  <c r="I284" i="1"/>
  <c r="U284" i="1" s="1"/>
  <c r="T284" i="1"/>
  <c r="H100" i="3"/>
  <c r="P100" i="3" s="1"/>
  <c r="N100" i="3"/>
  <c r="T18" i="1"/>
  <c r="T23" i="1"/>
  <c r="B181" i="1"/>
  <c r="B123" i="3" s="1"/>
  <c r="J123" i="3" s="1"/>
  <c r="K306" i="1"/>
  <c r="Q312" i="1"/>
  <c r="Q286" i="1"/>
  <c r="K289" i="1"/>
  <c r="S263" i="1"/>
  <c r="J205" i="3" s="1"/>
  <c r="N282" i="1"/>
  <c r="C285" i="1"/>
  <c r="O285" i="1" s="1"/>
  <c r="B292" i="1"/>
  <c r="L17" i="4"/>
  <c r="X16" i="4"/>
  <c r="H181" i="4"/>
  <c r="P181" i="4" s="1"/>
  <c r="C277" i="1"/>
  <c r="O277" i="1" s="1"/>
  <c r="N277" i="1"/>
  <c r="I285" i="1"/>
  <c r="U285" i="1" s="1"/>
  <c r="D292" i="1"/>
  <c r="P292" i="1" s="1"/>
  <c r="N283" i="1"/>
  <c r="C283" i="1"/>
  <c r="O283" i="1" s="1"/>
  <c r="T287" i="1"/>
  <c r="I287" i="1"/>
  <c r="U287" i="1" s="1"/>
  <c r="N308" i="1"/>
  <c r="Q22" i="3"/>
  <c r="P103" i="3"/>
  <c r="L227" i="1"/>
  <c r="C291" i="1"/>
  <c r="O291" i="1" s="1"/>
  <c r="N291" i="1"/>
  <c r="B309" i="1"/>
  <c r="C16" i="3"/>
  <c r="N21" i="1"/>
  <c r="N26" i="1"/>
  <c r="K283" i="1"/>
  <c r="S257" i="1"/>
  <c r="J199" i="3" s="1"/>
  <c r="H277" i="1"/>
  <c r="T308" i="1"/>
  <c r="L20" i="3"/>
  <c r="P101" i="3"/>
  <c r="N101" i="3"/>
  <c r="I18" i="1"/>
  <c r="H309" i="1" s="1"/>
  <c r="I309" i="1" s="1"/>
  <c r="U309" i="1" s="1"/>
  <c r="C284" i="1"/>
  <c r="O284" i="1" s="1"/>
  <c r="N284" i="1"/>
  <c r="N22" i="1"/>
  <c r="B286" i="1"/>
  <c r="N288" i="1"/>
  <c r="L65" i="3"/>
  <c r="I283" i="1"/>
  <c r="U283" i="1" s="1"/>
  <c r="T283" i="1"/>
  <c r="C19" i="1"/>
  <c r="U19" i="1" s="1"/>
  <c r="T20" i="1"/>
  <c r="B155" i="1"/>
  <c r="K285" i="1"/>
  <c r="K311" i="1"/>
  <c r="S259" i="1"/>
  <c r="J201" i="3" s="1"/>
  <c r="H89" i="4"/>
  <c r="P89" i="4" s="1"/>
  <c r="N89" i="4"/>
  <c r="C289" i="1"/>
  <c r="O289" i="1" s="1"/>
  <c r="N289" i="1"/>
  <c r="N18" i="1"/>
  <c r="N23" i="1"/>
  <c r="N131" i="4"/>
  <c r="H131" i="4"/>
  <c r="P131" i="4" s="1"/>
  <c r="I288" i="1"/>
  <c r="U288" i="1" s="1"/>
  <c r="T288" i="1"/>
  <c r="T13" i="1"/>
  <c r="T15" i="1"/>
  <c r="O18" i="1"/>
  <c r="T21" i="1"/>
  <c r="T26" i="1"/>
  <c r="H103" i="1"/>
  <c r="H111" i="1"/>
  <c r="W316" i="1"/>
  <c r="W290" i="1"/>
  <c r="T286" i="1"/>
  <c r="I291" i="1"/>
  <c r="U291" i="1" s="1"/>
  <c r="K317" i="1"/>
  <c r="S265" i="1"/>
  <c r="J207" i="3" s="1"/>
  <c r="N24" i="1"/>
  <c r="B215" i="1"/>
  <c r="E277" i="1"/>
  <c r="N251" i="1"/>
  <c r="E303" i="1"/>
  <c r="D282" i="1"/>
  <c r="P282" i="1" s="1"/>
  <c r="K291" i="1"/>
  <c r="K309" i="1"/>
  <c r="W15" i="3"/>
  <c r="H15" i="3"/>
  <c r="T15" i="3" s="1"/>
  <c r="B121" i="3"/>
  <c r="H21" i="3"/>
  <c r="T21" i="3" s="1"/>
  <c r="W21" i="3"/>
  <c r="O184" i="4"/>
  <c r="O241" i="1" s="1"/>
  <c r="O173" i="3" s="1"/>
  <c r="G241" i="1"/>
  <c r="G173" i="3" s="1"/>
  <c r="K284" i="1"/>
  <c r="K304" i="1"/>
  <c r="E314" i="1"/>
  <c r="K318" i="1"/>
  <c r="B16" i="3"/>
  <c r="N16" i="3" s="1"/>
  <c r="H18" i="3"/>
  <c r="T18" i="3" s="1"/>
  <c r="N19" i="3"/>
  <c r="B23" i="3"/>
  <c r="N23" i="3" s="1"/>
  <c r="P110" i="3"/>
  <c r="N110" i="3"/>
  <c r="N129" i="3"/>
  <c r="M68" i="4"/>
  <c r="O68" i="4" s="1"/>
  <c r="E68" i="4"/>
  <c r="N304" i="1"/>
  <c r="E306" i="1"/>
  <c r="H22" i="3"/>
  <c r="T22" i="3" s="1"/>
  <c r="P105" i="3"/>
  <c r="N105" i="3"/>
  <c r="N127" i="3"/>
  <c r="L72" i="4"/>
  <c r="N72" i="4" s="1"/>
  <c r="D72" i="4"/>
  <c r="C72" i="4"/>
  <c r="N122" i="3"/>
  <c r="S252" i="1"/>
  <c r="S258" i="1"/>
  <c r="J200" i="3" s="1"/>
  <c r="S262" i="1"/>
  <c r="J204" i="3" s="1"/>
  <c r="S266" i="1"/>
  <c r="J208" i="3" s="1"/>
  <c r="E310" i="1"/>
  <c r="K314" i="1"/>
  <c r="H16" i="3"/>
  <c r="T16" i="3" s="1"/>
  <c r="H19" i="3"/>
  <c r="T19" i="3" s="1"/>
  <c r="B20" i="3"/>
  <c r="N20" i="3" s="1"/>
  <c r="Q21" i="3"/>
  <c r="H23" i="3"/>
  <c r="T23" i="3" s="1"/>
  <c r="W24" i="3"/>
  <c r="Q74" i="4"/>
  <c r="S74" i="4" s="1"/>
  <c r="I74" i="4"/>
  <c r="H74" i="4"/>
  <c r="O113" i="4"/>
  <c r="N113" i="4"/>
  <c r="E286" i="1"/>
  <c r="K290" i="1"/>
  <c r="E308" i="1"/>
  <c r="K312" i="1"/>
  <c r="Q316" i="1"/>
  <c r="B66" i="3"/>
  <c r="N126" i="3"/>
  <c r="H24" i="3"/>
  <c r="T24" i="3" s="1"/>
  <c r="C65" i="3"/>
  <c r="N128" i="3"/>
  <c r="N130" i="3"/>
  <c r="L75" i="4"/>
  <c r="N75" i="4" s="1"/>
  <c r="D75" i="4"/>
  <c r="C75" i="4"/>
  <c r="S251" i="1"/>
  <c r="N256" i="1"/>
  <c r="D198" i="3" s="1"/>
  <c r="F92" i="4"/>
  <c r="N92" i="4" s="1"/>
  <c r="C155" i="4"/>
  <c r="K155" i="4" s="1"/>
  <c r="B93" i="4"/>
  <c r="U17" i="4"/>
  <c r="O17" i="4"/>
  <c r="D155" i="4"/>
  <c r="L155" i="4" s="1"/>
  <c r="I17" i="4"/>
  <c r="C18" i="4"/>
  <c r="F93" i="4" s="1"/>
  <c r="S256" i="1"/>
  <c r="J198" i="3" s="1"/>
  <c r="S260" i="1"/>
  <c r="J202" i="3" s="1"/>
  <c r="W18" i="3"/>
  <c r="W20" i="3"/>
  <c r="I65" i="3"/>
  <c r="H66" i="3"/>
  <c r="M45" i="4"/>
  <c r="O45" i="4" s="1"/>
  <c r="N184" i="4"/>
  <c r="N131" i="3"/>
  <c r="P174" i="4"/>
  <c r="L71" i="4"/>
  <c r="N71" i="4" s="1"/>
  <c r="D71" i="4"/>
  <c r="Q73" i="4"/>
  <c r="S73" i="4" s="1"/>
  <c r="I73" i="4"/>
  <c r="J140" i="4"/>
  <c r="D140" i="4"/>
  <c r="L140" i="4" s="1"/>
  <c r="D154" i="4"/>
  <c r="L154" i="4" s="1"/>
  <c r="G154" i="4"/>
  <c r="O154" i="4" s="1"/>
  <c r="F91" i="4"/>
  <c r="N91" i="4" s="1"/>
  <c r="M71" i="4"/>
  <c r="O71" i="4" s="1"/>
  <c r="E71" i="4"/>
  <c r="R73" i="4"/>
  <c r="T73" i="4" s="1"/>
  <c r="J73" i="4"/>
  <c r="J135" i="4"/>
  <c r="D135" i="4"/>
  <c r="L135" i="4" s="1"/>
  <c r="C153" i="4"/>
  <c r="K153" i="4" s="1"/>
  <c r="B91" i="4"/>
  <c r="G153" i="4"/>
  <c r="O153" i="4" s="1"/>
  <c r="I16" i="4"/>
  <c r="L68" i="4"/>
  <c r="N68" i="4" s="1"/>
  <c r="D68" i="4"/>
  <c r="D69" i="4"/>
  <c r="H77" i="4"/>
  <c r="N138" i="4"/>
  <c r="H138" i="4"/>
  <c r="P138" i="4" s="1"/>
  <c r="D153" i="4"/>
  <c r="L153" i="4" s="1"/>
  <c r="J182" i="4"/>
  <c r="Q70" i="4"/>
  <c r="S70" i="4" s="1"/>
  <c r="I70" i="4"/>
  <c r="F90" i="4"/>
  <c r="N90" i="4" s="1"/>
  <c r="J115" i="4"/>
  <c r="D115" i="4"/>
  <c r="L115" i="4" s="1"/>
  <c r="O16" i="4"/>
  <c r="J183" i="4"/>
  <c r="H68" i="4"/>
  <c r="H70" i="4"/>
  <c r="O15" i="4"/>
  <c r="H45" i="4"/>
  <c r="Q67" i="4"/>
  <c r="S67" i="4" s="1"/>
  <c r="I67" i="4"/>
  <c r="N118" i="4"/>
  <c r="D137" i="4"/>
  <c r="L137" i="4" s="1"/>
  <c r="H46" i="4"/>
  <c r="I48" i="4"/>
  <c r="I51" i="4"/>
  <c r="H67" i="4"/>
  <c r="D117" i="4"/>
  <c r="L117" i="4" s="1"/>
  <c r="C154" i="4"/>
  <c r="K154" i="4" s="1"/>
  <c r="D74" i="4"/>
  <c r="I76" i="4"/>
  <c r="D77" i="4"/>
  <c r="H132" i="4"/>
  <c r="P132" i="4" s="1"/>
  <c r="I16" i="5"/>
  <c r="C17" i="5"/>
  <c r="X17" i="5"/>
  <c r="H139" i="4"/>
  <c r="P139" i="4" s="1"/>
  <c r="O117" i="4"/>
  <c r="H137" i="4"/>
  <c r="P137" i="4" s="1"/>
  <c r="H134" i="4"/>
  <c r="P134" i="4" s="1"/>
  <c r="C46" i="4" l="1"/>
  <c r="L48" i="4"/>
  <c r="N48" i="4" s="1"/>
  <c r="P173" i="4"/>
  <c r="D92" i="4"/>
  <c r="L173" i="4"/>
  <c r="L234" i="1"/>
  <c r="L166" i="3" s="1"/>
  <c r="E74" i="4"/>
  <c r="L90" i="4"/>
  <c r="L46" i="4"/>
  <c r="N46" i="4" s="1"/>
  <c r="B171" i="3"/>
  <c r="R76" i="4"/>
  <c r="T76" i="4" s="1"/>
  <c r="B165" i="3"/>
  <c r="H47" i="4"/>
  <c r="R47" i="4" s="1"/>
  <c r="T47" i="4" s="1"/>
  <c r="M77" i="4"/>
  <c r="O77" i="4" s="1"/>
  <c r="D46" i="4"/>
  <c r="L238" i="1"/>
  <c r="L170" i="3" s="1"/>
  <c r="L184" i="4"/>
  <c r="X56" i="1"/>
  <c r="L57" i="1"/>
  <c r="C56" i="1"/>
  <c r="U55" i="1"/>
  <c r="I55" i="1"/>
  <c r="O55" i="1"/>
  <c r="T290" i="1"/>
  <c r="D177" i="1"/>
  <c r="J177" i="1"/>
  <c r="L177" i="1" s="1"/>
  <c r="H48" i="4"/>
  <c r="P241" i="1"/>
  <c r="P173" i="3" s="1"/>
  <c r="N173" i="3"/>
  <c r="Q284" i="1"/>
  <c r="D200" i="3"/>
  <c r="Q287" i="1"/>
  <c r="D203" i="3"/>
  <c r="P238" i="1"/>
  <c r="P170" i="3" s="1"/>
  <c r="N170" i="3"/>
  <c r="L180" i="4"/>
  <c r="X19" i="5"/>
  <c r="L20" i="5"/>
  <c r="W313" i="1"/>
  <c r="J203" i="3"/>
  <c r="M69" i="4"/>
  <c r="O69" i="4" s="1"/>
  <c r="E69" i="4"/>
  <c r="H238" i="1"/>
  <c r="H170" i="3" s="1"/>
  <c r="F170" i="3"/>
  <c r="Q314" i="1"/>
  <c r="D204" i="3"/>
  <c r="Q289" i="1"/>
  <c r="D205" i="3"/>
  <c r="Q292" i="1"/>
  <c r="D208" i="3"/>
  <c r="P240" i="1"/>
  <c r="P172" i="3" s="1"/>
  <c r="N172" i="3"/>
  <c r="R72" i="4"/>
  <c r="T72" i="4" s="1"/>
  <c r="J72" i="4"/>
  <c r="E67" i="4"/>
  <c r="M67" i="4"/>
  <c r="O67" i="4" s="1"/>
  <c r="Q290" i="1"/>
  <c r="D206" i="3"/>
  <c r="J215" i="1"/>
  <c r="B152" i="3"/>
  <c r="J152" i="3" s="1"/>
  <c r="F188" i="1"/>
  <c r="F110" i="1"/>
  <c r="F162" i="1"/>
  <c r="F109" i="3" s="1"/>
  <c r="H109" i="3" s="1"/>
  <c r="P109" i="3" s="1"/>
  <c r="J209" i="1"/>
  <c r="B146" i="3"/>
  <c r="J146" i="3" s="1"/>
  <c r="J157" i="1"/>
  <c r="B104" i="3"/>
  <c r="J104" i="3" s="1"/>
  <c r="L104" i="3" s="1"/>
  <c r="J155" i="1"/>
  <c r="B102" i="3"/>
  <c r="J102" i="3" s="1"/>
  <c r="L102" i="3" s="1"/>
  <c r="J207" i="1"/>
  <c r="B144" i="3"/>
  <c r="J144" i="3" s="1"/>
  <c r="J205" i="1"/>
  <c r="B142" i="3"/>
  <c r="J142" i="3" s="1"/>
  <c r="O179" i="1"/>
  <c r="G124" i="3"/>
  <c r="O124" i="3" s="1"/>
  <c r="O205" i="1"/>
  <c r="G142" i="3"/>
  <c r="O142" i="3" s="1"/>
  <c r="G123" i="3"/>
  <c r="O123" i="3" s="1"/>
  <c r="X18" i="3"/>
  <c r="G174" i="1"/>
  <c r="L96" i="1"/>
  <c r="Q315" i="1"/>
  <c r="L101" i="1"/>
  <c r="H148" i="1"/>
  <c r="P148" i="1" s="1"/>
  <c r="Q278" i="1"/>
  <c r="Q318" i="1"/>
  <c r="Q310" i="1"/>
  <c r="B153" i="1"/>
  <c r="B58" i="3" s="1"/>
  <c r="Q306" i="1"/>
  <c r="Q288" i="1"/>
  <c r="H101" i="1"/>
  <c r="C213" i="1"/>
  <c r="B161" i="1"/>
  <c r="Q313" i="1"/>
  <c r="B187" i="1"/>
  <c r="D290" i="1"/>
  <c r="P290" i="1" s="1"/>
  <c r="Q317" i="1"/>
  <c r="Q291" i="1"/>
  <c r="L97" i="1"/>
  <c r="G201" i="1"/>
  <c r="O201" i="1" s="1"/>
  <c r="B159" i="1"/>
  <c r="Q309" i="1"/>
  <c r="Q283" i="1"/>
  <c r="Q311" i="1"/>
  <c r="Q285" i="1"/>
  <c r="B185" i="1"/>
  <c r="B127" i="3" s="1"/>
  <c r="J127" i="3" s="1"/>
  <c r="D288" i="1"/>
  <c r="P288" i="1" s="1"/>
  <c r="B131" i="3"/>
  <c r="J131" i="3" s="1"/>
  <c r="B163" i="1"/>
  <c r="I282" i="1"/>
  <c r="U282" i="1" s="1"/>
  <c r="B211" i="1"/>
  <c r="L99" i="1"/>
  <c r="G203" i="1"/>
  <c r="O203" i="1" s="1"/>
  <c r="D159" i="1"/>
  <c r="C211" i="1"/>
  <c r="H107" i="1"/>
  <c r="C185" i="1"/>
  <c r="I111" i="1"/>
  <c r="B213" i="1"/>
  <c r="G175" i="1"/>
  <c r="U17" i="5"/>
  <c r="O17" i="5"/>
  <c r="C18" i="5"/>
  <c r="I17" i="5"/>
  <c r="J47" i="4"/>
  <c r="J91" i="4"/>
  <c r="D91" i="4"/>
  <c r="G156" i="4"/>
  <c r="O156" i="4" s="1"/>
  <c r="D156" i="4"/>
  <c r="L156" i="4" s="1"/>
  <c r="C156" i="4"/>
  <c r="K156" i="4" s="1"/>
  <c r="U18" i="4"/>
  <c r="B94" i="4"/>
  <c r="I18" i="4"/>
  <c r="N93" i="4"/>
  <c r="C19" i="4"/>
  <c r="O18" i="4"/>
  <c r="E75" i="4"/>
  <c r="M75" i="4"/>
  <c r="O75" i="4" s="1"/>
  <c r="P102" i="3"/>
  <c r="N102" i="3"/>
  <c r="W304" i="1"/>
  <c r="W278" i="1"/>
  <c r="J291" i="1"/>
  <c r="V291" i="1" s="1"/>
  <c r="F214" i="1"/>
  <c r="K110" i="1"/>
  <c r="I16" i="3"/>
  <c r="U16" i="3"/>
  <c r="O16" i="3"/>
  <c r="L18" i="4"/>
  <c r="X17" i="4"/>
  <c r="X20" i="1"/>
  <c r="L21" i="1"/>
  <c r="J45" i="4"/>
  <c r="R45" i="4"/>
  <c r="T45" i="4" s="1"/>
  <c r="C48" i="4"/>
  <c r="J74" i="4"/>
  <c r="R74" i="4"/>
  <c r="T74" i="4" s="1"/>
  <c r="F215" i="1"/>
  <c r="J292" i="1"/>
  <c r="V292" i="1" s="1"/>
  <c r="K111" i="1"/>
  <c r="T309" i="1"/>
  <c r="N309" i="1"/>
  <c r="C309" i="1"/>
  <c r="O309" i="1" s="1"/>
  <c r="D289" i="1"/>
  <c r="P289" i="1" s="1"/>
  <c r="B212" i="1"/>
  <c r="H108" i="1"/>
  <c r="B186" i="1"/>
  <c r="B128" i="3" s="1"/>
  <c r="B160" i="1"/>
  <c r="R46" i="4"/>
  <c r="T46" i="4" s="1"/>
  <c r="J46" i="4"/>
  <c r="L182" i="4"/>
  <c r="P108" i="3"/>
  <c r="N108" i="3"/>
  <c r="P104" i="3"/>
  <c r="N104" i="3"/>
  <c r="W291" i="1"/>
  <c r="W317" i="1"/>
  <c r="F207" i="1"/>
  <c r="J284" i="1"/>
  <c r="V284" i="1" s="1"/>
  <c r="K103" i="1"/>
  <c r="C286" i="1"/>
  <c r="O286" i="1" s="1"/>
  <c r="N286" i="1"/>
  <c r="X20" i="3"/>
  <c r="L21" i="3"/>
  <c r="B208" i="1"/>
  <c r="B182" i="1"/>
  <c r="B124" i="3" s="1"/>
  <c r="J124" i="3" s="1"/>
  <c r="D285" i="1"/>
  <c r="P285" i="1" s="1"/>
  <c r="B156" i="1"/>
  <c r="H104" i="1"/>
  <c r="W306" i="1"/>
  <c r="I66" i="3"/>
  <c r="J121" i="3"/>
  <c r="E72" i="4"/>
  <c r="M72" i="4"/>
  <c r="O72" i="4" s="1"/>
  <c r="D291" i="1"/>
  <c r="P291" i="1" s="1"/>
  <c r="B214" i="1"/>
  <c r="B130" i="3"/>
  <c r="J130" i="3" s="1"/>
  <c r="B162" i="1"/>
  <c r="H110" i="1"/>
  <c r="C66" i="3"/>
  <c r="C187" i="1"/>
  <c r="K187" i="1" s="1"/>
  <c r="I109" i="1"/>
  <c r="D287" i="1"/>
  <c r="P287" i="1" s="1"/>
  <c r="B210" i="1"/>
  <c r="B184" i="1"/>
  <c r="B126" i="3" s="1"/>
  <c r="J126" i="3" s="1"/>
  <c r="B158" i="1"/>
  <c r="H106" i="1"/>
  <c r="I277" i="1"/>
  <c r="U277" i="1" s="1"/>
  <c r="T277" i="1"/>
  <c r="J181" i="1"/>
  <c r="L181" i="1" s="1"/>
  <c r="D181" i="1"/>
  <c r="D126" i="3" s="1"/>
  <c r="L126" i="3" s="1"/>
  <c r="J48" i="4"/>
  <c r="P107" i="3"/>
  <c r="N107" i="3"/>
  <c r="R70" i="4"/>
  <c r="T70" i="4" s="1"/>
  <c r="J70" i="4"/>
  <c r="D93" i="4"/>
  <c r="J93" i="4"/>
  <c r="D283" i="1"/>
  <c r="P283" i="1" s="1"/>
  <c r="B206" i="1"/>
  <c r="B154" i="1"/>
  <c r="B59" i="3" s="1"/>
  <c r="B122" i="3"/>
  <c r="J122" i="3" s="1"/>
  <c r="H102" i="1"/>
  <c r="C17" i="3"/>
  <c r="B310" i="1"/>
  <c r="C20" i="1"/>
  <c r="I19" i="1"/>
  <c r="H310" i="1" s="1"/>
  <c r="I310" i="1" s="1"/>
  <c r="U310" i="1" s="1"/>
  <c r="O19" i="1"/>
  <c r="C181" i="1"/>
  <c r="C207" i="1"/>
  <c r="I103" i="1"/>
  <c r="D155" i="1"/>
  <c r="W283" i="1"/>
  <c r="W309" i="1"/>
  <c r="C292" i="1"/>
  <c r="O292" i="1" s="1"/>
  <c r="N292" i="1"/>
  <c r="C209" i="1"/>
  <c r="C183" i="1"/>
  <c r="D157" i="1"/>
  <c r="I105" i="1"/>
  <c r="J179" i="1"/>
  <c r="L179" i="1" s="1"/>
  <c r="D179" i="1"/>
  <c r="D124" i="3" s="1"/>
  <c r="L124" i="3" s="1"/>
  <c r="J68" i="4"/>
  <c r="R68" i="4"/>
  <c r="T68" i="4" s="1"/>
  <c r="J77" i="4"/>
  <c r="R77" i="4"/>
  <c r="T77" i="4" s="1"/>
  <c r="P106" i="3"/>
  <c r="N106" i="3"/>
  <c r="D278" i="1"/>
  <c r="P278" i="1" s="1"/>
  <c r="B175" i="1"/>
  <c r="B149" i="1"/>
  <c r="J149" i="1" s="1"/>
  <c r="H97" i="1"/>
  <c r="B201" i="1"/>
  <c r="J201" i="1" s="1"/>
  <c r="W285" i="1"/>
  <c r="W311" i="1"/>
  <c r="G186" i="1"/>
  <c r="L108" i="1"/>
  <c r="G212" i="1"/>
  <c r="F210" i="1"/>
  <c r="J287" i="1"/>
  <c r="V287" i="1" s="1"/>
  <c r="K106" i="1"/>
  <c r="L183" i="4"/>
  <c r="N121" i="3"/>
  <c r="J183" i="1"/>
  <c r="L183" i="1" s="1"/>
  <c r="D183" i="1"/>
  <c r="D128" i="3" s="1"/>
  <c r="W286" i="1"/>
  <c r="W312" i="1"/>
  <c r="Q282" i="1"/>
  <c r="Q308" i="1"/>
  <c r="L92" i="4"/>
  <c r="H92" i="4"/>
  <c r="P92" i="4" s="1"/>
  <c r="F212" i="1"/>
  <c r="J289" i="1"/>
  <c r="V289" i="1" s="1"/>
  <c r="K108" i="1"/>
  <c r="W315" i="1"/>
  <c r="W289" i="1"/>
  <c r="K105" i="1"/>
  <c r="J286" i="1"/>
  <c r="V286" i="1" s="1"/>
  <c r="F209" i="1"/>
  <c r="W282" i="1"/>
  <c r="W308" i="1"/>
  <c r="W277" i="1"/>
  <c r="W303" i="1"/>
  <c r="W318" i="1"/>
  <c r="W292" i="1"/>
  <c r="Q277" i="1"/>
  <c r="Q303" i="1"/>
  <c r="B203" i="1"/>
  <c r="J203" i="1" s="1"/>
  <c r="H99" i="1"/>
  <c r="J282" i="1"/>
  <c r="V282" i="1" s="1"/>
  <c r="K101" i="1"/>
  <c r="F205" i="1"/>
  <c r="W284" i="1"/>
  <c r="W310" i="1"/>
  <c r="R67" i="4"/>
  <c r="T67" i="4" s="1"/>
  <c r="J67" i="4"/>
  <c r="D47" i="4"/>
  <c r="C47" i="4"/>
  <c r="L47" i="4"/>
  <c r="N47" i="4" s="1"/>
  <c r="W288" i="1"/>
  <c r="W314" i="1"/>
  <c r="D277" i="1"/>
  <c r="P277" i="1" s="1"/>
  <c r="B200" i="1"/>
  <c r="J200" i="1" s="1"/>
  <c r="B174" i="1"/>
  <c r="H96" i="1"/>
  <c r="B148" i="1"/>
  <c r="J148" i="1" s="1"/>
  <c r="D48" i="4" l="1"/>
  <c r="M46" i="4"/>
  <c r="O46" i="4" s="1"/>
  <c r="E46" i="4"/>
  <c r="R48" i="4"/>
  <c r="T48" i="4" s="1"/>
  <c r="J170" i="3"/>
  <c r="J173" i="3"/>
  <c r="L241" i="1"/>
  <c r="L173" i="3" s="1"/>
  <c r="L58" i="1"/>
  <c r="X57" i="1"/>
  <c r="C57" i="1"/>
  <c r="U56" i="1"/>
  <c r="I56" i="1"/>
  <c r="O56" i="1"/>
  <c r="J162" i="1"/>
  <c r="B109" i="3"/>
  <c r="J109" i="3" s="1"/>
  <c r="L109" i="3" s="1"/>
  <c r="J214" i="1"/>
  <c r="B151" i="3"/>
  <c r="J151" i="3" s="1"/>
  <c r="L240" i="1"/>
  <c r="L172" i="3" s="1"/>
  <c r="J172" i="3"/>
  <c r="H59" i="3"/>
  <c r="C59" i="3"/>
  <c r="I59" i="3" s="1"/>
  <c r="L239" i="1"/>
  <c r="L171" i="3" s="1"/>
  <c r="J171" i="3"/>
  <c r="N215" i="1"/>
  <c r="F152" i="3"/>
  <c r="N152" i="3" s="1"/>
  <c r="C58" i="3"/>
  <c r="I58" i="3" s="1"/>
  <c r="H58" i="3"/>
  <c r="X20" i="5"/>
  <c r="L21" i="5"/>
  <c r="L237" i="1"/>
  <c r="L169" i="3" s="1"/>
  <c r="J169" i="3"/>
  <c r="J163" i="1"/>
  <c r="B110" i="3"/>
  <c r="J110" i="3" s="1"/>
  <c r="L110" i="3" s="1"/>
  <c r="J187" i="1"/>
  <c r="L187" i="1" s="1"/>
  <c r="B129" i="3"/>
  <c r="J161" i="1"/>
  <c r="B108" i="3"/>
  <c r="K211" i="1"/>
  <c r="C148" i="3"/>
  <c r="K148" i="3" s="1"/>
  <c r="K213" i="1"/>
  <c r="C150" i="3"/>
  <c r="K150" i="3" s="1"/>
  <c r="K185" i="1"/>
  <c r="C130" i="3"/>
  <c r="K130" i="3" s="1"/>
  <c r="N109" i="3"/>
  <c r="L159" i="1"/>
  <c r="D106" i="3"/>
  <c r="J160" i="1"/>
  <c r="B107" i="3"/>
  <c r="J107" i="3" s="1"/>
  <c r="L107" i="3" s="1"/>
  <c r="J159" i="1"/>
  <c r="B106" i="3"/>
  <c r="J106" i="3" s="1"/>
  <c r="L106" i="3" s="1"/>
  <c r="J211" i="1"/>
  <c r="B148" i="3"/>
  <c r="J148" i="3" s="1"/>
  <c r="J213" i="1"/>
  <c r="B150" i="3"/>
  <c r="J150" i="3" s="1"/>
  <c r="J212" i="1"/>
  <c r="B149" i="3"/>
  <c r="J149" i="3" s="1"/>
  <c r="J156" i="1"/>
  <c r="B103" i="3"/>
  <c r="J103" i="3" s="1"/>
  <c r="L103" i="3" s="1"/>
  <c r="J208" i="1"/>
  <c r="B145" i="3"/>
  <c r="J145" i="3" s="1"/>
  <c r="J158" i="1"/>
  <c r="B105" i="3"/>
  <c r="J105" i="3" s="1"/>
  <c r="L105" i="3" s="1"/>
  <c r="J210" i="1"/>
  <c r="B147" i="3"/>
  <c r="J147" i="3" s="1"/>
  <c r="L157" i="1"/>
  <c r="D104" i="3"/>
  <c r="K183" i="1"/>
  <c r="C128" i="3"/>
  <c r="K128" i="3" s="1"/>
  <c r="K209" i="1"/>
  <c r="C146" i="3"/>
  <c r="K146" i="3" s="1"/>
  <c r="L155" i="1"/>
  <c r="D102" i="3"/>
  <c r="K207" i="1"/>
  <c r="C144" i="3"/>
  <c r="K144" i="3" s="1"/>
  <c r="K181" i="1"/>
  <c r="C126" i="3"/>
  <c r="K126" i="3" s="1"/>
  <c r="J153" i="1"/>
  <c r="B100" i="3"/>
  <c r="J100" i="3" s="1"/>
  <c r="L100" i="3" s="1"/>
  <c r="J154" i="1"/>
  <c r="B101" i="3"/>
  <c r="J101" i="3" s="1"/>
  <c r="L101" i="3" s="1"/>
  <c r="J206" i="1"/>
  <c r="B143" i="3"/>
  <c r="J143" i="3" s="1"/>
  <c r="N214" i="1"/>
  <c r="F151" i="3"/>
  <c r="N151" i="3" s="1"/>
  <c r="O186" i="1"/>
  <c r="G131" i="3"/>
  <c r="O131" i="3" s="1"/>
  <c r="N212" i="1"/>
  <c r="F149" i="3"/>
  <c r="N149" i="3" s="1"/>
  <c r="O212" i="1"/>
  <c r="G149" i="3"/>
  <c r="O149" i="3" s="1"/>
  <c r="N210" i="1"/>
  <c r="F147" i="3"/>
  <c r="N147" i="3" s="1"/>
  <c r="N209" i="1"/>
  <c r="F146" i="3"/>
  <c r="N146" i="3" s="1"/>
  <c r="N207" i="1"/>
  <c r="F144" i="3"/>
  <c r="N144" i="3" s="1"/>
  <c r="N205" i="1"/>
  <c r="F142" i="3"/>
  <c r="N142" i="3" s="1"/>
  <c r="O175" i="1"/>
  <c r="G122" i="3"/>
  <c r="O122" i="3" s="1"/>
  <c r="O174" i="1"/>
  <c r="G121" i="3"/>
  <c r="O121" i="3" s="1"/>
  <c r="D187" i="1"/>
  <c r="C215" i="1"/>
  <c r="C189" i="1"/>
  <c r="K189" i="1" s="1"/>
  <c r="D185" i="1"/>
  <c r="D130" i="3" s="1"/>
  <c r="L130" i="3" s="1"/>
  <c r="D161" i="1"/>
  <c r="D163" i="1"/>
  <c r="J185" i="1"/>
  <c r="L185" i="1" s="1"/>
  <c r="J189" i="1"/>
  <c r="L189" i="1" s="1"/>
  <c r="D189" i="1"/>
  <c r="J285" i="1"/>
  <c r="V285" i="1" s="1"/>
  <c r="F208" i="1"/>
  <c r="K104" i="1"/>
  <c r="F213" i="1"/>
  <c r="J290" i="1"/>
  <c r="V290" i="1" s="1"/>
  <c r="K109" i="1"/>
  <c r="L19" i="4"/>
  <c r="X18" i="4"/>
  <c r="N160" i="1"/>
  <c r="H160" i="1"/>
  <c r="P160" i="1" s="1"/>
  <c r="N183" i="1"/>
  <c r="P183" i="1" s="1"/>
  <c r="H183" i="1"/>
  <c r="H128" i="3" s="1"/>
  <c r="P128" i="3" s="1"/>
  <c r="H93" i="4"/>
  <c r="P93" i="4" s="1"/>
  <c r="L93" i="4"/>
  <c r="J288" i="1"/>
  <c r="V288" i="1" s="1"/>
  <c r="F211" i="1"/>
  <c r="K107" i="1"/>
  <c r="J186" i="1"/>
  <c r="L186" i="1" s="1"/>
  <c r="D186" i="1"/>
  <c r="D131" i="3" s="1"/>
  <c r="L131" i="3" s="1"/>
  <c r="F200" i="1"/>
  <c r="N200" i="1" s="1"/>
  <c r="J277" i="1"/>
  <c r="V277" i="1" s="1"/>
  <c r="K96" i="1"/>
  <c r="F148" i="1"/>
  <c r="N148" i="1" s="1"/>
  <c r="M47" i="4"/>
  <c r="O47" i="4" s="1"/>
  <c r="E47" i="4"/>
  <c r="F203" i="1"/>
  <c r="N203" i="1" s="1"/>
  <c r="K99" i="1"/>
  <c r="B311" i="1"/>
  <c r="C21" i="1"/>
  <c r="I20" i="1"/>
  <c r="H311" i="1" s="1"/>
  <c r="I311" i="1" s="1"/>
  <c r="U311" i="1" s="1"/>
  <c r="C18" i="3"/>
  <c r="U20" i="1"/>
  <c r="O20" i="1"/>
  <c r="D158" i="1"/>
  <c r="C210" i="1"/>
  <c r="I106" i="1"/>
  <c r="C212" i="1"/>
  <c r="I108" i="1"/>
  <c r="C186" i="1"/>
  <c r="D160" i="1"/>
  <c r="D157" i="4"/>
  <c r="L157" i="4" s="1"/>
  <c r="C157" i="4"/>
  <c r="K157" i="4" s="1"/>
  <c r="F94" i="4"/>
  <c r="N94" i="4" s="1"/>
  <c r="B95" i="4"/>
  <c r="U19" i="4"/>
  <c r="O19" i="4"/>
  <c r="I19" i="4"/>
  <c r="G157" i="4"/>
  <c r="O157" i="4" s="1"/>
  <c r="C20" i="4"/>
  <c r="J184" i="1"/>
  <c r="L184" i="1" s="1"/>
  <c r="D184" i="1"/>
  <c r="D129" i="3" s="1"/>
  <c r="J182" i="1"/>
  <c r="L182" i="1" s="1"/>
  <c r="D182" i="1"/>
  <c r="D127" i="3" s="1"/>
  <c r="L127" i="3" s="1"/>
  <c r="E48" i="4"/>
  <c r="M48" i="4"/>
  <c r="O48" i="4" s="1"/>
  <c r="C310" i="1"/>
  <c r="O310" i="1" s="1"/>
  <c r="T310" i="1"/>
  <c r="N310" i="1"/>
  <c r="D174" i="1"/>
  <c r="D121" i="3" s="1"/>
  <c r="L121" i="3" s="1"/>
  <c r="J174" i="1"/>
  <c r="L174" i="1" s="1"/>
  <c r="D123" i="3"/>
  <c r="L123" i="3" s="1"/>
  <c r="U17" i="3"/>
  <c r="O17" i="3"/>
  <c r="I17" i="3"/>
  <c r="N162" i="1"/>
  <c r="H162" i="1"/>
  <c r="P162" i="1" s="1"/>
  <c r="H49" i="4"/>
  <c r="H187" i="1"/>
  <c r="N187" i="1"/>
  <c r="P187" i="1" s="1"/>
  <c r="G209" i="1"/>
  <c r="L105" i="1"/>
  <c r="G183" i="1"/>
  <c r="X21" i="3"/>
  <c r="L22" i="3"/>
  <c r="J94" i="4"/>
  <c r="D94" i="4"/>
  <c r="N179" i="1"/>
  <c r="P179" i="1" s="1"/>
  <c r="H179" i="1"/>
  <c r="H124" i="3" s="1"/>
  <c r="P124" i="3" s="1"/>
  <c r="G181" i="1"/>
  <c r="L103" i="1"/>
  <c r="G207" i="1"/>
  <c r="J180" i="1"/>
  <c r="L180" i="1" s="1"/>
  <c r="D180" i="1"/>
  <c r="D125" i="3" s="1"/>
  <c r="L125" i="3" s="1"/>
  <c r="L128" i="3"/>
  <c r="J128" i="3"/>
  <c r="N181" i="1"/>
  <c r="P181" i="1" s="1"/>
  <c r="H181" i="1"/>
  <c r="H126" i="3" s="1"/>
  <c r="P126" i="3" s="1"/>
  <c r="N185" i="1"/>
  <c r="P185" i="1" s="1"/>
  <c r="H185" i="1"/>
  <c r="H130" i="3" s="1"/>
  <c r="P130" i="3" s="1"/>
  <c r="G215" i="1"/>
  <c r="G189" i="1"/>
  <c r="O189" i="1" s="1"/>
  <c r="L111" i="1"/>
  <c r="H153" i="1"/>
  <c r="P153" i="1" s="1"/>
  <c r="N153" i="1"/>
  <c r="H157" i="1"/>
  <c r="P157" i="1" s="1"/>
  <c r="N157" i="1"/>
  <c r="F201" i="1"/>
  <c r="N201" i="1" s="1"/>
  <c r="J278" i="1"/>
  <c r="V278" i="1" s="1"/>
  <c r="K97" i="1"/>
  <c r="C206" i="1"/>
  <c r="D154" i="1"/>
  <c r="C180" i="1"/>
  <c r="I102" i="1"/>
  <c r="J108" i="3"/>
  <c r="L108" i="3" s="1"/>
  <c r="G188" i="1"/>
  <c r="O188" i="1" s="1"/>
  <c r="G214" i="1"/>
  <c r="L110" i="1"/>
  <c r="C214" i="1"/>
  <c r="C188" i="1"/>
  <c r="K188" i="1" s="1"/>
  <c r="D162" i="1"/>
  <c r="I110" i="1"/>
  <c r="L22" i="1"/>
  <c r="X21" i="1"/>
  <c r="O18" i="5"/>
  <c r="I18" i="5"/>
  <c r="U18" i="5"/>
  <c r="C19" i="5"/>
  <c r="N158" i="1"/>
  <c r="H158" i="1"/>
  <c r="P158" i="1" s="1"/>
  <c r="N163" i="1"/>
  <c r="H163" i="1"/>
  <c r="P163" i="1" s="1"/>
  <c r="D175" i="1"/>
  <c r="D122" i="3" s="1"/>
  <c r="L122" i="3" s="1"/>
  <c r="J175" i="1"/>
  <c r="L175" i="1" s="1"/>
  <c r="G184" i="1"/>
  <c r="G210" i="1"/>
  <c r="L106" i="1"/>
  <c r="J283" i="1"/>
  <c r="V283" i="1" s="1"/>
  <c r="F206" i="1"/>
  <c r="K102" i="1"/>
  <c r="J188" i="1"/>
  <c r="L188" i="1" s="1"/>
  <c r="D188" i="1"/>
  <c r="D156" i="1"/>
  <c r="I104" i="1"/>
  <c r="C208" i="1"/>
  <c r="C182" i="1"/>
  <c r="H155" i="1"/>
  <c r="P155" i="1" s="1"/>
  <c r="N155" i="1"/>
  <c r="H91" i="4"/>
  <c r="P91" i="4" s="1"/>
  <c r="L91" i="4"/>
  <c r="U57" i="1" l="1"/>
  <c r="I57" i="1"/>
  <c r="C58" i="1"/>
  <c r="O57" i="1"/>
  <c r="X58" i="1"/>
  <c r="L59" i="1"/>
  <c r="L162" i="1"/>
  <c r="D109" i="3"/>
  <c r="K214" i="1"/>
  <c r="C151" i="3"/>
  <c r="K151" i="3" s="1"/>
  <c r="N213" i="1"/>
  <c r="F150" i="3"/>
  <c r="N150" i="3" s="1"/>
  <c r="X21" i="5"/>
  <c r="L22" i="5"/>
  <c r="O215" i="1"/>
  <c r="G152" i="3"/>
  <c r="O152" i="3" s="1"/>
  <c r="L163" i="1"/>
  <c r="D110" i="3"/>
  <c r="K215" i="1"/>
  <c r="C152" i="3"/>
  <c r="K152" i="3" s="1"/>
  <c r="K212" i="1"/>
  <c r="C149" i="3"/>
  <c r="K149" i="3" s="1"/>
  <c r="L160" i="1"/>
  <c r="D107" i="3"/>
  <c r="L161" i="1"/>
  <c r="D108" i="3"/>
  <c r="K186" i="1"/>
  <c r="C131" i="3"/>
  <c r="K131" i="3" s="1"/>
  <c r="L156" i="1"/>
  <c r="D103" i="3"/>
  <c r="K210" i="1"/>
  <c r="C147" i="3"/>
  <c r="K147" i="3" s="1"/>
  <c r="L158" i="1"/>
  <c r="D105" i="3"/>
  <c r="K184" i="1"/>
  <c r="C129" i="3"/>
  <c r="K129" i="3" s="1"/>
  <c r="K182" i="1"/>
  <c r="C127" i="3"/>
  <c r="K127" i="3" s="1"/>
  <c r="K208" i="1"/>
  <c r="C145" i="3"/>
  <c r="K145" i="3" s="1"/>
  <c r="K206" i="1"/>
  <c r="C143" i="3"/>
  <c r="K143" i="3" s="1"/>
  <c r="L154" i="1"/>
  <c r="D101" i="3"/>
  <c r="K180" i="1"/>
  <c r="C125" i="3"/>
  <c r="K125" i="3" s="1"/>
  <c r="O214" i="1"/>
  <c r="G151" i="3"/>
  <c r="O151" i="3" s="1"/>
  <c r="N211" i="1"/>
  <c r="F148" i="3"/>
  <c r="N148" i="3" s="1"/>
  <c r="O210" i="1"/>
  <c r="G147" i="3"/>
  <c r="O147" i="3" s="1"/>
  <c r="O184" i="1"/>
  <c r="G129" i="3"/>
  <c r="O129" i="3" s="1"/>
  <c r="O209" i="1"/>
  <c r="G146" i="3"/>
  <c r="O146" i="3" s="1"/>
  <c r="O183" i="1"/>
  <c r="G128" i="3"/>
  <c r="O128" i="3" s="1"/>
  <c r="N208" i="1"/>
  <c r="F145" i="3"/>
  <c r="N145" i="3" s="1"/>
  <c r="O207" i="1"/>
  <c r="G144" i="3"/>
  <c r="O144" i="3" s="1"/>
  <c r="O181" i="1"/>
  <c r="G126" i="3"/>
  <c r="O126" i="3" s="1"/>
  <c r="N206" i="1"/>
  <c r="F143" i="3"/>
  <c r="N143" i="3" s="1"/>
  <c r="N189" i="1"/>
  <c r="P189" i="1" s="1"/>
  <c r="H189" i="1"/>
  <c r="H184" i="1"/>
  <c r="H129" i="3" s="1"/>
  <c r="P129" i="3" s="1"/>
  <c r="N184" i="1"/>
  <c r="P184" i="1" s="1"/>
  <c r="N188" i="1"/>
  <c r="P188" i="1" s="1"/>
  <c r="H188" i="1"/>
  <c r="R49" i="4"/>
  <c r="T49" i="4" s="1"/>
  <c r="J49" i="4"/>
  <c r="B96" i="4"/>
  <c r="G158" i="4"/>
  <c r="O158" i="4" s="1"/>
  <c r="D158" i="4"/>
  <c r="L158" i="4" s="1"/>
  <c r="C158" i="4"/>
  <c r="K158" i="4" s="1"/>
  <c r="U20" i="4"/>
  <c r="O20" i="4"/>
  <c r="C21" i="4"/>
  <c r="F95" i="4"/>
  <c r="N95" i="4" s="1"/>
  <c r="I20" i="4"/>
  <c r="C311" i="1"/>
  <c r="O311" i="1" s="1"/>
  <c r="T311" i="1"/>
  <c r="N311" i="1"/>
  <c r="H186" i="1"/>
  <c r="H131" i="3" s="1"/>
  <c r="P131" i="3" s="1"/>
  <c r="N186" i="1"/>
  <c r="P186" i="1" s="1"/>
  <c r="N149" i="1"/>
  <c r="H149" i="1"/>
  <c r="P149" i="1" s="1"/>
  <c r="H94" i="4"/>
  <c r="P94" i="4" s="1"/>
  <c r="L94" i="4"/>
  <c r="C49" i="4"/>
  <c r="L49" i="4"/>
  <c r="N49" i="4" s="1"/>
  <c r="D49" i="4"/>
  <c r="X19" i="4"/>
  <c r="L20" i="4"/>
  <c r="H50" i="4"/>
  <c r="N161" i="1"/>
  <c r="H161" i="1"/>
  <c r="P161" i="1" s="1"/>
  <c r="X22" i="3"/>
  <c r="L23" i="3"/>
  <c r="H154" i="1"/>
  <c r="P154" i="1" s="1"/>
  <c r="N154" i="1"/>
  <c r="L129" i="3"/>
  <c r="J129" i="3"/>
  <c r="J95" i="4"/>
  <c r="D95" i="4"/>
  <c r="G211" i="1"/>
  <c r="G185" i="1"/>
  <c r="L107" i="1"/>
  <c r="N175" i="1"/>
  <c r="P175" i="1" s="1"/>
  <c r="H175" i="1"/>
  <c r="H122" i="3" s="1"/>
  <c r="P122" i="3" s="1"/>
  <c r="C20" i="5"/>
  <c r="I19" i="5"/>
  <c r="U19" i="5"/>
  <c r="O19" i="5"/>
  <c r="N180" i="1"/>
  <c r="P180" i="1" s="1"/>
  <c r="H180" i="1"/>
  <c r="H125" i="3" s="1"/>
  <c r="P125" i="3" s="1"/>
  <c r="N159" i="1"/>
  <c r="H159" i="1"/>
  <c r="P159" i="1" s="1"/>
  <c r="H123" i="3"/>
  <c r="P123" i="3" s="1"/>
  <c r="N182" i="1"/>
  <c r="P182" i="1" s="1"/>
  <c r="H182" i="1"/>
  <c r="H127" i="3" s="1"/>
  <c r="P127" i="3" s="1"/>
  <c r="H156" i="1"/>
  <c r="P156" i="1" s="1"/>
  <c r="N156" i="1"/>
  <c r="G208" i="1"/>
  <c r="L104" i="1"/>
  <c r="G182" i="1"/>
  <c r="L23" i="1"/>
  <c r="X22" i="1"/>
  <c r="G206" i="1"/>
  <c r="G180" i="1"/>
  <c r="L102" i="1"/>
  <c r="G213" i="1"/>
  <c r="G187" i="1"/>
  <c r="O187" i="1" s="1"/>
  <c r="L109" i="1"/>
  <c r="O18" i="3"/>
  <c r="I18" i="3"/>
  <c r="U18" i="3"/>
  <c r="N174" i="1"/>
  <c r="P174" i="1" s="1"/>
  <c r="H174" i="1"/>
  <c r="H121" i="3" s="1"/>
  <c r="P121" i="3" s="1"/>
  <c r="C19" i="3"/>
  <c r="U21" i="1"/>
  <c r="O21" i="1"/>
  <c r="B312" i="1"/>
  <c r="C22" i="1"/>
  <c r="I21" i="1"/>
  <c r="H312" i="1" s="1"/>
  <c r="I312" i="1" s="1"/>
  <c r="U312" i="1" s="1"/>
  <c r="L60" i="1" l="1"/>
  <c r="X60" i="1" s="1"/>
  <c r="X59" i="1"/>
  <c r="C59" i="1"/>
  <c r="O58" i="1"/>
  <c r="U58" i="1"/>
  <c r="I58" i="1"/>
  <c r="X22" i="5"/>
  <c r="L23" i="5"/>
  <c r="O213" i="1"/>
  <c r="G150" i="3"/>
  <c r="O150" i="3" s="1"/>
  <c r="O211" i="1"/>
  <c r="G148" i="3"/>
  <c r="O148" i="3" s="1"/>
  <c r="O185" i="1"/>
  <c r="G130" i="3"/>
  <c r="O130" i="3" s="1"/>
  <c r="O182" i="1"/>
  <c r="G127" i="3"/>
  <c r="O127" i="3" s="1"/>
  <c r="O208" i="1"/>
  <c r="G145" i="3"/>
  <c r="O145" i="3" s="1"/>
  <c r="O180" i="1"/>
  <c r="G125" i="3"/>
  <c r="O125" i="3" s="1"/>
  <c r="O206" i="1"/>
  <c r="G143" i="3"/>
  <c r="O143" i="3" s="1"/>
  <c r="J50" i="4"/>
  <c r="R50" i="4"/>
  <c r="T50" i="4" s="1"/>
  <c r="N312" i="1"/>
  <c r="C312" i="1"/>
  <c r="O312" i="1" s="1"/>
  <c r="T312" i="1"/>
  <c r="I19" i="3"/>
  <c r="U19" i="3"/>
  <c r="O19" i="3"/>
  <c r="L95" i="4"/>
  <c r="H95" i="4"/>
  <c r="P95" i="4" s="1"/>
  <c r="X20" i="4"/>
  <c r="L21" i="4"/>
  <c r="J96" i="4"/>
  <c r="D96" i="4"/>
  <c r="L24" i="1"/>
  <c r="X23" i="1"/>
  <c r="D50" i="4"/>
  <c r="C50" i="4"/>
  <c r="L50" i="4"/>
  <c r="N50" i="4" s="1"/>
  <c r="C20" i="3"/>
  <c r="B313" i="1"/>
  <c r="O22" i="1"/>
  <c r="U22" i="1"/>
  <c r="C23" i="1"/>
  <c r="U23" i="1" s="1"/>
  <c r="I22" i="1"/>
  <c r="H313" i="1" s="1"/>
  <c r="I313" i="1" s="1"/>
  <c r="U313" i="1" s="1"/>
  <c r="H51" i="4"/>
  <c r="C21" i="5"/>
  <c r="I20" i="5"/>
  <c r="U20" i="5"/>
  <c r="O20" i="5"/>
  <c r="X23" i="3"/>
  <c r="L24" i="3"/>
  <c r="E49" i="4"/>
  <c r="M49" i="4"/>
  <c r="O49" i="4" s="1"/>
  <c r="G159" i="4"/>
  <c r="O159" i="4" s="1"/>
  <c r="B97" i="4"/>
  <c r="D159" i="4"/>
  <c r="L159" i="4" s="1"/>
  <c r="F96" i="4"/>
  <c r="N96" i="4" s="1"/>
  <c r="U21" i="4"/>
  <c r="C159" i="4"/>
  <c r="K159" i="4" s="1"/>
  <c r="O21" i="4"/>
  <c r="I21" i="4"/>
  <c r="C22" i="4"/>
  <c r="U59" i="1" l="1"/>
  <c r="I59" i="1"/>
  <c r="C60" i="1"/>
  <c r="O59" i="1"/>
  <c r="L24" i="5"/>
  <c r="X23" i="5"/>
  <c r="L22" i="4"/>
  <c r="X21" i="4"/>
  <c r="H52" i="4"/>
  <c r="C313" i="1"/>
  <c r="O313" i="1" s="1"/>
  <c r="T313" i="1"/>
  <c r="N313" i="1"/>
  <c r="M50" i="4"/>
  <c r="O50" i="4" s="1"/>
  <c r="E50" i="4"/>
  <c r="I21" i="5"/>
  <c r="U21" i="5"/>
  <c r="O21" i="5"/>
  <c r="C22" i="5"/>
  <c r="C21" i="3"/>
  <c r="O23" i="1"/>
  <c r="B314" i="1"/>
  <c r="C24" i="1"/>
  <c r="U24" i="1" s="1"/>
  <c r="I23" i="1"/>
  <c r="H314" i="1" s="1"/>
  <c r="I314" i="1" s="1"/>
  <c r="U314" i="1" s="1"/>
  <c r="X24" i="3"/>
  <c r="L25" i="3"/>
  <c r="X25" i="3" s="1"/>
  <c r="G160" i="4"/>
  <c r="O160" i="4" s="1"/>
  <c r="B98" i="4"/>
  <c r="C160" i="4"/>
  <c r="K160" i="4" s="1"/>
  <c r="D160" i="4"/>
  <c r="L160" i="4" s="1"/>
  <c r="U22" i="4"/>
  <c r="O22" i="4"/>
  <c r="C23" i="4"/>
  <c r="I22" i="4"/>
  <c r="F97" i="4"/>
  <c r="N97" i="4" s="1"/>
  <c r="J51" i="4"/>
  <c r="R51" i="4"/>
  <c r="T51" i="4" s="1"/>
  <c r="L25" i="1"/>
  <c r="X24" i="1"/>
  <c r="U20" i="3"/>
  <c r="O20" i="3"/>
  <c r="I20" i="3"/>
  <c r="D51" i="4"/>
  <c r="L51" i="4"/>
  <c r="N51" i="4" s="1"/>
  <c r="C51" i="4"/>
  <c r="H96" i="4"/>
  <c r="P96" i="4" s="1"/>
  <c r="L96" i="4"/>
  <c r="D97" i="4"/>
  <c r="J97" i="4"/>
  <c r="O60" i="1" l="1"/>
  <c r="U60" i="1"/>
  <c r="I60" i="1"/>
  <c r="X24" i="5"/>
  <c r="L25" i="5"/>
  <c r="X25" i="5" s="1"/>
  <c r="I21" i="3"/>
  <c r="U21" i="3"/>
  <c r="O21" i="3"/>
  <c r="D98" i="4"/>
  <c r="J98" i="4"/>
  <c r="X25" i="1"/>
  <c r="L26" i="1"/>
  <c r="H97" i="4"/>
  <c r="P97" i="4" s="1"/>
  <c r="L97" i="4"/>
  <c r="H53" i="4"/>
  <c r="C22" i="3"/>
  <c r="B315" i="1"/>
  <c r="C25" i="1"/>
  <c r="U25" i="1" s="1"/>
  <c r="I24" i="1"/>
  <c r="H315" i="1" s="1"/>
  <c r="I315" i="1" s="1"/>
  <c r="U315" i="1" s="1"/>
  <c r="O24" i="1"/>
  <c r="E51" i="4"/>
  <c r="M51" i="4"/>
  <c r="O51" i="4" s="1"/>
  <c r="F98" i="4"/>
  <c r="N98" i="4" s="1"/>
  <c r="G161" i="4"/>
  <c r="O161" i="4" s="1"/>
  <c r="D161" i="4"/>
  <c r="L161" i="4" s="1"/>
  <c r="U23" i="4"/>
  <c r="B99" i="4"/>
  <c r="C161" i="4"/>
  <c r="K161" i="4" s="1"/>
  <c r="C24" i="4"/>
  <c r="I23" i="4"/>
  <c r="O23" i="4"/>
  <c r="C314" i="1"/>
  <c r="O314" i="1" s="1"/>
  <c r="N314" i="1"/>
  <c r="T314" i="1"/>
  <c r="R52" i="4"/>
  <c r="T52" i="4" s="1"/>
  <c r="J52" i="4"/>
  <c r="C52" i="4"/>
  <c r="L52" i="4"/>
  <c r="N52" i="4" s="1"/>
  <c r="D52" i="4"/>
  <c r="U22" i="5"/>
  <c r="O22" i="5"/>
  <c r="C23" i="5"/>
  <c r="I22" i="5"/>
  <c r="L23" i="4"/>
  <c r="X22" i="4"/>
  <c r="J99" i="4" l="1"/>
  <c r="D99" i="4"/>
  <c r="I22" i="3"/>
  <c r="O22" i="3"/>
  <c r="U22" i="3"/>
  <c r="J53" i="4"/>
  <c r="R53" i="4"/>
  <c r="T53" i="4" s="1"/>
  <c r="D53" i="4"/>
  <c r="C53" i="4"/>
  <c r="L53" i="4"/>
  <c r="N53" i="4" s="1"/>
  <c r="L27" i="1"/>
  <c r="X27" i="1" s="1"/>
  <c r="X26" i="1"/>
  <c r="L24" i="4"/>
  <c r="X23" i="4"/>
  <c r="L98" i="4"/>
  <c r="H98" i="4"/>
  <c r="P98" i="4" s="1"/>
  <c r="C24" i="5"/>
  <c r="I23" i="5"/>
  <c r="U23" i="5"/>
  <c r="O23" i="5"/>
  <c r="H54" i="4"/>
  <c r="B316" i="1"/>
  <c r="C23" i="3"/>
  <c r="C26" i="1"/>
  <c r="U26" i="1" s="1"/>
  <c r="O25" i="1"/>
  <c r="I25" i="1"/>
  <c r="H316" i="1" s="1"/>
  <c r="I316" i="1" s="1"/>
  <c r="U316" i="1" s="1"/>
  <c r="E52" i="4"/>
  <c r="M52" i="4"/>
  <c r="O52" i="4" s="1"/>
  <c r="C162" i="4"/>
  <c r="K162" i="4" s="1"/>
  <c r="D162" i="4"/>
  <c r="L162" i="4" s="1"/>
  <c r="O24" i="4"/>
  <c r="I24" i="4"/>
  <c r="F99" i="4"/>
  <c r="N99" i="4" s="1"/>
  <c r="G162" i="4"/>
  <c r="O162" i="4" s="1"/>
  <c r="U24" i="4"/>
  <c r="N315" i="1"/>
  <c r="T315" i="1"/>
  <c r="C315" i="1"/>
  <c r="O315" i="1" s="1"/>
  <c r="I23" i="3" l="1"/>
  <c r="O23" i="3"/>
  <c r="U23" i="3"/>
  <c r="M53" i="4"/>
  <c r="O53" i="4" s="1"/>
  <c r="E53" i="4"/>
  <c r="D54" i="4"/>
  <c r="C54" i="4"/>
  <c r="L54" i="4"/>
  <c r="N54" i="4" s="1"/>
  <c r="O24" i="5"/>
  <c r="U24" i="5"/>
  <c r="I24" i="5"/>
  <c r="C25" i="5"/>
  <c r="J54" i="4"/>
  <c r="R54" i="4"/>
  <c r="T54" i="4" s="1"/>
  <c r="C24" i="3"/>
  <c r="B317" i="1"/>
  <c r="O26" i="1"/>
  <c r="C27" i="1"/>
  <c r="U27" i="1" s="1"/>
  <c r="I26" i="1"/>
  <c r="H317" i="1" s="1"/>
  <c r="I317" i="1" s="1"/>
  <c r="U317" i="1" s="1"/>
  <c r="H99" i="4"/>
  <c r="P99" i="4" s="1"/>
  <c r="L99" i="4"/>
  <c r="C316" i="1"/>
  <c r="O316" i="1" s="1"/>
  <c r="T316" i="1"/>
  <c r="N316" i="1"/>
  <c r="H162" i="4"/>
  <c r="P162" i="4" s="1"/>
  <c r="X24" i="4"/>
  <c r="U25" i="5" l="1"/>
  <c r="I25" i="5"/>
  <c r="O25" i="5"/>
  <c r="E54" i="4"/>
  <c r="M54" i="4"/>
  <c r="O54" i="4" s="1"/>
  <c r="C25" i="3"/>
  <c r="B318" i="1"/>
  <c r="O27" i="1"/>
  <c r="I27" i="1"/>
  <c r="H318" i="1" s="1"/>
  <c r="I318" i="1" s="1"/>
  <c r="U318" i="1" s="1"/>
  <c r="N317" i="1"/>
  <c r="C317" i="1"/>
  <c r="O317" i="1" s="1"/>
  <c r="T317" i="1"/>
  <c r="I24" i="3"/>
  <c r="U24" i="3"/>
  <c r="O24" i="3"/>
  <c r="C318" i="1" l="1"/>
  <c r="O318" i="1" s="1"/>
  <c r="T318" i="1"/>
  <c r="N318" i="1"/>
  <c r="I25" i="3"/>
  <c r="U25" i="3"/>
  <c r="O25" i="3"/>
</calcChain>
</file>

<file path=xl/sharedStrings.xml><?xml version="1.0" encoding="utf-8"?>
<sst xmlns="http://schemas.openxmlformats.org/spreadsheetml/2006/main" count="1349" uniqueCount="71">
  <si>
    <t>Таблица размеров и масс</t>
  </si>
  <si>
    <t>Секция угловая горизонтальная FE</t>
  </si>
  <si>
    <t>Рекомендуемая кратность шага</t>
  </si>
  <si>
    <t xml:space="preserve">Шаг L1 = </t>
  </si>
  <si>
    <t>10 мм.</t>
  </si>
  <si>
    <t>Номинальный ток</t>
  </si>
  <si>
    <t>4р</t>
  </si>
  <si>
    <t>5р</t>
  </si>
  <si>
    <t>алюминий</t>
  </si>
  <si>
    <t>медь</t>
  </si>
  <si>
    <t>H, мм</t>
  </si>
  <si>
    <t>W, мм</t>
  </si>
  <si>
    <t>Шина</t>
  </si>
  <si>
    <t>Масса, кг пог/м</t>
  </si>
  <si>
    <t>Кол-во, шт</t>
  </si>
  <si>
    <t>Высота</t>
  </si>
  <si>
    <t>Толщина</t>
  </si>
  <si>
    <t>*Pi   (окна только на одной стороне секции)</t>
  </si>
  <si>
    <t>до 1000мм без окон окона отбора мощности</t>
  </si>
  <si>
    <t>от 1000-2000мм 1 оконо отбора мощности</t>
  </si>
  <si>
    <t>3000мм 2 окона отбора мощности</t>
  </si>
  <si>
    <t>Секция угловая горизонтальная CD</t>
  </si>
  <si>
    <t>50 мм.</t>
  </si>
  <si>
    <t>Шаг L2 =</t>
  </si>
  <si>
    <t>L1, мм</t>
  </si>
  <si>
    <t>L2</t>
  </si>
  <si>
    <t>Масса, кг/м</t>
  </si>
  <si>
    <t>L2, мм</t>
  </si>
  <si>
    <t>Секция угловая вертикальная СР</t>
  </si>
  <si>
    <t>Секция Z-образная горизонтальная ZD</t>
  </si>
  <si>
    <t>100 мм.</t>
  </si>
  <si>
    <t>Шаг L3 =</t>
  </si>
  <si>
    <t>50 мм</t>
  </si>
  <si>
    <t>L3,мм</t>
  </si>
  <si>
    <t>Секция Z-образная вертикальная ZP</t>
  </si>
  <si>
    <t>Секция тройниковая вертикальная ТР</t>
  </si>
  <si>
    <t>L3, мм</t>
  </si>
  <si>
    <t>Секция угловая комбинированная ZDP</t>
  </si>
  <si>
    <t>Секция тройниковая горизонтальная TD</t>
  </si>
  <si>
    <t>Секция присоединительная к панелям ATSC</t>
  </si>
  <si>
    <t>h1, мм</t>
  </si>
  <si>
    <t>w1, мм</t>
  </si>
  <si>
    <t>Секция ATCP</t>
  </si>
  <si>
    <t>Секция ATCD</t>
  </si>
  <si>
    <t>Габаритные размеры шинопровода KLM-S с конструктива 13/V3</t>
  </si>
  <si>
    <t>Масса, кг</t>
  </si>
  <si>
    <t>l4, мм</t>
  </si>
  <si>
    <t>Приложение 9_Габаритные размеры шинопровода KLM-S, IP 55 с материалом корпуса V3, шиной толщиной 6мм</t>
  </si>
  <si>
    <t>до 2000мм без окон окона отбора мощности</t>
  </si>
  <si>
    <t>от 2000-3000мм 1 оконо отбора мощности</t>
  </si>
  <si>
    <t>l1, мм</t>
  </si>
  <si>
    <t>l2, мм</t>
  </si>
  <si>
    <t>Секция ATSC</t>
  </si>
  <si>
    <t>Максимальные размеры  элементов шинопровода KLM-S, IP55 конструктива 13/V3</t>
  </si>
  <si>
    <t>*Pi (окна только на одной стороне секции)</t>
  </si>
  <si>
    <t>Секция ATСD</t>
  </si>
  <si>
    <t>Секция ATСP</t>
  </si>
  <si>
    <r>
      <t xml:space="preserve">Габаритные размеры шинопровода </t>
    </r>
    <r>
      <rPr>
        <b/>
        <sz val="36"/>
        <color rgb="FFFF0000"/>
        <rFont val="Calibri"/>
        <family val="2"/>
        <charset val="204"/>
        <scheme val="minor"/>
      </rPr>
      <t>KLM-S, IP55</t>
    </r>
    <r>
      <rPr>
        <b/>
        <sz val="22"/>
        <color theme="1"/>
        <rFont val="Calibri"/>
        <family val="2"/>
        <charset val="204"/>
        <scheme val="minor"/>
      </rPr>
      <t xml:space="preserve"> конструктива 13/V3</t>
    </r>
  </si>
  <si>
    <r>
      <t xml:space="preserve">Габаритные размеры шинопровода </t>
    </r>
    <r>
      <rPr>
        <b/>
        <sz val="36"/>
        <color rgb="FFFF0000"/>
        <rFont val="Calibri"/>
        <family val="2"/>
        <charset val="204"/>
        <scheme val="minor"/>
      </rPr>
      <t>KLM-S, IP68</t>
    </r>
    <r>
      <rPr>
        <b/>
        <sz val="22"/>
        <color theme="1"/>
        <rFont val="Calibri"/>
        <family val="2"/>
        <charset val="204"/>
        <scheme val="minor"/>
      </rPr>
      <t xml:space="preserve"> конструктива 13/V3</t>
    </r>
  </si>
  <si>
    <t>Секция прямая FE</t>
  </si>
  <si>
    <t>мм</t>
  </si>
  <si>
    <t>Минимальная длина прямой секции</t>
  </si>
  <si>
    <t>Версия</t>
  </si>
  <si>
    <t>Дата</t>
  </si>
  <si>
    <t>Что изменилось</t>
  </si>
  <si>
    <t>1.8</t>
  </si>
  <si>
    <t>В минимальных размерах  L1 для элемента ZP номинал от 1000А до 2500А приведены в соответствие CP угла.</t>
  </si>
  <si>
    <t>\\\ТР</t>
  </si>
  <si>
    <t>1.9</t>
  </si>
  <si>
    <t>21.05.2026</t>
  </si>
  <si>
    <t xml:space="preserve">В минимальных размерах L1 и L2 для элемента TP увеличился размер в большую сторону. Не учтены была крышка.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</si>
</sst>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₽_-;\-* #,##0.00\ _₽_-;_-* &quot;-&quot;??\ _₽_-;_-@_-"/>
    <numFmt numFmtId="164" formatCode="0.0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11"/>
      <color indexed="64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36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79998168889431442"/>
        <bgColor theme="5" tint="0.39997558519241921"/>
      </patternFill>
    </fill>
    <fill>
      <patternFill patternType="solid">
        <fgColor theme="7" tint="0.79998168889431442"/>
        <bgColor indexed="5"/>
      </patternFill>
    </fill>
    <fill>
      <patternFill patternType="solid">
        <fgColor theme="5" tint="0.39997558519241921"/>
        <bgColor indexed="5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43" fontId="9" fillId="0" borderId="0" applyFont="0" applyFill="0" applyBorder="0" applyProtection="0"/>
    <xf numFmtId="0" fontId="13" fillId="0" borderId="0" applyNumberFormat="0" applyFill="0" applyBorder="0" applyAlignment="0" applyProtection="0"/>
  </cellStyleXfs>
  <cellXfs count="278">
    <xf numFmtId="0" fontId="0" fillId="0" borderId="0" xfId="0"/>
    <xf numFmtId="0" fontId="0" fillId="0" borderId="0" xfId="0"/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164" fontId="0" fillId="0" borderId="2" xfId="0" applyNumberFormat="1" applyBorder="1" applyAlignment="1">
      <alignment vertical="center"/>
    </xf>
    <xf numFmtId="164" fontId="0" fillId="3" borderId="2" xfId="0" applyNumberFormat="1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0" fillId="0" borderId="8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4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164" fontId="0" fillId="6" borderId="2" xfId="0" applyNumberFormat="1" applyFill="1" applyBorder="1" applyAlignment="1">
      <alignment vertical="center"/>
    </xf>
    <xf numFmtId="164" fontId="0" fillId="4" borderId="2" xfId="0" applyNumberFormat="1" applyFill="1" applyBorder="1" applyAlignment="1">
      <alignment vertical="center"/>
    </xf>
    <xf numFmtId="164" fontId="0" fillId="4" borderId="2" xfId="0" applyNumberFormat="1" applyFill="1" applyBorder="1"/>
    <xf numFmtId="164" fontId="0" fillId="6" borderId="2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/>
    </xf>
    <xf numFmtId="164" fontId="0" fillId="0" borderId="0" xfId="0" applyNumberFormat="1"/>
    <xf numFmtId="1" fontId="0" fillId="0" borderId="2" xfId="0" applyNumberFormat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2" xfId="0" applyBorder="1"/>
    <xf numFmtId="0" fontId="0" fillId="0" borderId="1" xfId="0" applyBorder="1"/>
    <xf numFmtId="0" fontId="0" fillId="0" borderId="12" xfId="0" applyBorder="1"/>
    <xf numFmtId="0" fontId="0" fillId="4" borderId="2" xfId="0" applyFill="1" applyBorder="1" applyAlignment="1">
      <alignment horizontal="center"/>
    </xf>
    <xf numFmtId="164" fontId="5" fillId="0" borderId="2" xfId="0" applyNumberFormat="1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6" borderId="2" xfId="0" applyFill="1" applyBorder="1" applyAlignment="1">
      <alignment horizontal="center"/>
    </xf>
    <xf numFmtId="1" fontId="0" fillId="0" borderId="2" xfId="1" applyNumberFormat="1" applyFont="1" applyBorder="1" applyAlignment="1">
      <alignment horizontal="center" vertical="center" wrapText="1"/>
    </xf>
    <xf numFmtId="1" fontId="0" fillId="3" borderId="2" xfId="1" applyNumberFormat="1" applyFont="1" applyFill="1" applyBorder="1" applyAlignment="1">
      <alignment horizontal="center" vertical="center" wrapText="1"/>
    </xf>
    <xf numFmtId="0" fontId="0" fillId="3" borderId="2" xfId="0" applyFill="1" applyBorder="1"/>
    <xf numFmtId="2" fontId="0" fillId="0" borderId="2" xfId="0" applyNumberFormat="1" applyBorder="1" applyAlignment="1">
      <alignment vertical="center"/>
    </xf>
    <xf numFmtId="2" fontId="0" fillId="3" borderId="2" xfId="0" applyNumberFormat="1" applyFill="1" applyBorder="1"/>
    <xf numFmtId="2" fontId="0" fillId="0" borderId="0" xfId="0" applyNumberFormat="1"/>
    <xf numFmtId="0" fontId="0" fillId="0" borderId="3" xfId="0" applyBorder="1" applyAlignment="1">
      <alignment vertical="center"/>
    </xf>
    <xf numFmtId="0" fontId="0" fillId="0" borderId="0" xfId="0" applyAlignment="1">
      <alignment horizontal="left"/>
    </xf>
    <xf numFmtId="0" fontId="0" fillId="8" borderId="2" xfId="0" applyFill="1" applyBorder="1" applyAlignment="1">
      <alignment vertical="center"/>
    </xf>
    <xf numFmtId="0" fontId="0" fillId="5" borderId="2" xfId="0" applyFill="1" applyBorder="1"/>
    <xf numFmtId="0" fontId="0" fillId="8" borderId="2" xfId="0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0" fillId="5" borderId="5" xfId="0" applyFill="1" applyBorder="1" applyAlignment="1">
      <alignment vertical="center"/>
    </xf>
    <xf numFmtId="0" fontId="0" fillId="8" borderId="3" xfId="0" applyFill="1" applyBorder="1" applyAlignment="1">
      <alignment vertical="center"/>
    </xf>
    <xf numFmtId="0" fontId="8" fillId="0" borderId="2" xfId="0" applyFont="1" applyBorder="1" applyAlignment="1">
      <alignment vertical="center"/>
    </xf>
    <xf numFmtId="0" fontId="0" fillId="5" borderId="2" xfId="0" applyFill="1" applyBorder="1" applyAlignment="1">
      <alignment vertical="center" wrapText="1"/>
    </xf>
    <xf numFmtId="0" fontId="0" fillId="5" borderId="2" xfId="0" applyFill="1" applyBorder="1" applyAlignment="1">
      <alignment horizontal="left" vertical="center"/>
    </xf>
    <xf numFmtId="2" fontId="0" fillId="7" borderId="2" xfId="0" applyNumberFormat="1" applyFill="1" applyBorder="1" applyAlignment="1">
      <alignment vertical="center"/>
    </xf>
    <xf numFmtId="2" fontId="0" fillId="0" borderId="2" xfId="0" applyNumberFormat="1" applyBorder="1"/>
    <xf numFmtId="1" fontId="0" fillId="5" borderId="2" xfId="0" applyNumberFormat="1" applyFill="1" applyBorder="1" applyAlignment="1">
      <alignment vertical="center"/>
    </xf>
    <xf numFmtId="1" fontId="0" fillId="5" borderId="2" xfId="0" applyNumberFormat="1" applyFill="1" applyBorder="1" applyAlignment="1">
      <alignment vertical="center" wrapText="1"/>
    </xf>
    <xf numFmtId="2" fontId="0" fillId="0" borderId="3" xfId="0" applyNumberFormat="1" applyBorder="1" applyAlignment="1">
      <alignment vertical="center"/>
    </xf>
    <xf numFmtId="1" fontId="0" fillId="5" borderId="2" xfId="1" applyNumberFormat="1" applyFont="1" applyFill="1" applyBorder="1" applyAlignment="1">
      <alignment vertical="center" wrapText="1"/>
    </xf>
    <xf numFmtId="0" fontId="0" fillId="5" borderId="2" xfId="0" applyFill="1" applyBorder="1" applyAlignment="1">
      <alignment horizontal="center" vertical="center" wrapText="1"/>
    </xf>
    <xf numFmtId="1" fontId="0" fillId="5" borderId="2" xfId="1" applyNumberFormat="1" applyFont="1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/>
    </xf>
    <xf numFmtId="0" fontId="0" fillId="9" borderId="2" xfId="0" applyFill="1" applyBorder="1" applyAlignment="1">
      <alignment vertical="center"/>
    </xf>
    <xf numFmtId="0" fontId="0" fillId="10" borderId="2" xfId="0" applyFill="1" applyBorder="1" applyAlignment="1">
      <alignment vertical="center"/>
    </xf>
    <xf numFmtId="0" fontId="0" fillId="9" borderId="2" xfId="0" applyFill="1" applyBorder="1" applyAlignment="1">
      <alignment horizontal="right" vertical="center"/>
    </xf>
    <xf numFmtId="0" fontId="0" fillId="11" borderId="2" xfId="0" applyFill="1" applyBorder="1" applyAlignment="1">
      <alignment vertical="center"/>
    </xf>
    <xf numFmtId="164" fontId="0" fillId="9" borderId="2" xfId="0" applyNumberFormat="1" applyFill="1" applyBorder="1" applyAlignment="1">
      <alignment vertical="center"/>
    </xf>
    <xf numFmtId="164" fontId="0" fillId="10" borderId="2" xfId="0" applyNumberFormat="1" applyFill="1" applyBorder="1" applyAlignment="1">
      <alignment vertical="center"/>
    </xf>
    <xf numFmtId="0" fontId="5" fillId="11" borderId="2" xfId="0" applyFont="1" applyFill="1" applyBorder="1" applyAlignment="1">
      <alignment vertical="center"/>
    </xf>
    <xf numFmtId="0" fontId="0" fillId="9" borderId="0" xfId="0" applyFill="1"/>
    <xf numFmtId="0" fontId="0" fillId="4" borderId="8" xfId="0" applyFill="1" applyBorder="1" applyAlignment="1">
      <alignment horizontal="center" vertical="center"/>
    </xf>
    <xf numFmtId="1" fontId="0" fillId="12" borderId="2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Fill="1"/>
    <xf numFmtId="0" fontId="6" fillId="0" borderId="0" xfId="0" applyFont="1" applyFill="1"/>
    <xf numFmtId="0" fontId="4" fillId="0" borderId="0" xfId="0" applyFont="1" applyFill="1" applyAlignment="1">
      <alignment vertical="center" wrapText="1"/>
    </xf>
    <xf numFmtId="0" fontId="3" fillId="0" borderId="0" xfId="0" applyFont="1" applyFill="1"/>
    <xf numFmtId="0" fontId="3" fillId="0" borderId="13" xfId="0" applyFont="1" applyFill="1" applyBorder="1"/>
    <xf numFmtId="0" fontId="3" fillId="0" borderId="14" xfId="0" applyFont="1" applyFill="1" applyBorder="1"/>
    <xf numFmtId="0" fontId="3" fillId="0" borderId="15" xfId="0" applyFont="1" applyFill="1" applyBorder="1"/>
    <xf numFmtId="0" fontId="3" fillId="0" borderId="1" xfId="0" applyFont="1" applyFill="1" applyBorder="1"/>
    <xf numFmtId="0" fontId="3" fillId="0" borderId="12" xfId="0" applyFont="1" applyFill="1" applyBorder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9" xfId="0" applyFont="1" applyFill="1" applyBorder="1"/>
    <xf numFmtId="0" fontId="3" fillId="0" borderId="10" xfId="0" applyFont="1" applyFill="1" applyBorder="1"/>
    <xf numFmtId="0" fontId="3" fillId="0" borderId="11" xfId="0" applyFont="1" applyFill="1" applyBorder="1"/>
    <xf numFmtId="1" fontId="3" fillId="0" borderId="2" xfId="0" applyNumberFormat="1" applyFont="1" applyFill="1" applyBorder="1" applyAlignment="1">
      <alignment vertical="center"/>
    </xf>
    <xf numFmtId="0" fontId="3" fillId="0" borderId="4" xfId="0" applyFont="1" applyFill="1" applyBorder="1"/>
    <xf numFmtId="0" fontId="3" fillId="0" borderId="5" xfId="0" applyFont="1" applyFill="1" applyBorder="1"/>
    <xf numFmtId="0" fontId="3" fillId="0" borderId="8" xfId="0" applyFont="1" applyFill="1" applyBorder="1" applyAlignment="1">
      <alignment vertical="center"/>
    </xf>
    <xf numFmtId="1" fontId="3" fillId="0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vertical="center"/>
    </xf>
    <xf numFmtId="2" fontId="3" fillId="0" borderId="2" xfId="0" applyNumberFormat="1" applyFont="1" applyFill="1" applyBorder="1"/>
    <xf numFmtId="0" fontId="3" fillId="0" borderId="2" xfId="0" applyFont="1" applyFill="1" applyBorder="1" applyAlignment="1">
      <alignment horizont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center"/>
    </xf>
    <xf numFmtId="2" fontId="3" fillId="0" borderId="0" xfId="0" applyNumberFormat="1" applyFont="1" applyFill="1" applyAlignment="1">
      <alignment horizontal="center"/>
    </xf>
    <xf numFmtId="1" fontId="3" fillId="0" borderId="2" xfId="0" applyNumberFormat="1" applyFont="1" applyFill="1" applyBorder="1"/>
    <xf numFmtId="1" fontId="3" fillId="0" borderId="0" xfId="0" applyNumberFormat="1" applyFont="1" applyFill="1" applyAlignment="1">
      <alignment horizontal="center" vertical="center"/>
    </xf>
    <xf numFmtId="2" fontId="3" fillId="0" borderId="0" xfId="0" applyNumberFormat="1" applyFont="1" applyFill="1" applyAlignment="1">
      <alignment vertical="center"/>
    </xf>
    <xf numFmtId="2" fontId="3" fillId="0" borderId="0" xfId="0" applyNumberFormat="1" applyFont="1" applyFill="1"/>
    <xf numFmtId="0" fontId="3" fillId="0" borderId="3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vertical="center"/>
    </xf>
    <xf numFmtId="0" fontId="3" fillId="13" borderId="4" xfId="0" applyFont="1" applyFill="1" applyBorder="1"/>
    <xf numFmtId="0" fontId="3" fillId="13" borderId="5" xfId="0" applyFont="1" applyFill="1" applyBorder="1"/>
    <xf numFmtId="0" fontId="3" fillId="13" borderId="7" xfId="0" applyFont="1" applyFill="1" applyBorder="1" applyAlignment="1">
      <alignment vertical="center"/>
    </xf>
    <xf numFmtId="0" fontId="3" fillId="13" borderId="8" xfId="0" applyFont="1" applyFill="1" applyBorder="1" applyAlignment="1">
      <alignment vertical="center"/>
    </xf>
    <xf numFmtId="0" fontId="3" fillId="13" borderId="2" xfId="0" applyFont="1" applyFill="1" applyBorder="1" applyAlignment="1">
      <alignment vertical="center"/>
    </xf>
    <xf numFmtId="164" fontId="3" fillId="0" borderId="2" xfId="0" applyNumberFormat="1" applyFont="1" applyFill="1" applyBorder="1"/>
    <xf numFmtId="164" fontId="3" fillId="0" borderId="2" xfId="0" applyNumberFormat="1" applyFont="1" applyFill="1" applyBorder="1" applyAlignment="1">
      <alignment horizontal="center"/>
    </xf>
    <xf numFmtId="164" fontId="3" fillId="0" borderId="0" xfId="0" applyNumberFormat="1" applyFont="1" applyFill="1"/>
    <xf numFmtId="0" fontId="3" fillId="13" borderId="9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3" fillId="13" borderId="2" xfId="0" applyFont="1" applyFill="1" applyBorder="1"/>
    <xf numFmtId="1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/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0" fillId="0" borderId="14" xfId="0" applyFill="1" applyBorder="1" applyAlignment="1">
      <alignment wrapText="1"/>
    </xf>
    <xf numFmtId="0" fontId="0" fillId="0" borderId="14" xfId="0" applyBorder="1" applyAlignment="1"/>
    <xf numFmtId="0" fontId="3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center"/>
    </xf>
    <xf numFmtId="0" fontId="3" fillId="0" borderId="19" xfId="0" applyFont="1" applyFill="1" applyBorder="1"/>
    <xf numFmtId="0" fontId="3" fillId="0" borderId="0" xfId="0" applyFont="1" applyFill="1" applyBorder="1"/>
    <xf numFmtId="0" fontId="3" fillId="0" borderId="20" xfId="0" applyFont="1" applyFill="1" applyBorder="1"/>
    <xf numFmtId="0" fontId="3" fillId="0" borderId="22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vertical="center" wrapText="1"/>
    </xf>
    <xf numFmtId="0" fontId="3" fillId="0" borderId="21" xfId="0" applyFont="1" applyFill="1" applyBorder="1" applyAlignment="1">
      <alignment horizontal="right" vertical="center"/>
    </xf>
    <xf numFmtId="0" fontId="3" fillId="0" borderId="21" xfId="0" applyFont="1" applyFill="1" applyBorder="1" applyAlignment="1">
      <alignment vertical="center"/>
    </xf>
    <xf numFmtId="0" fontId="3" fillId="0" borderId="22" xfId="0" applyFont="1" applyFill="1" applyBorder="1" applyAlignment="1">
      <alignment vertical="center"/>
    </xf>
    <xf numFmtId="164" fontId="3" fillId="0" borderId="22" xfId="0" applyNumberFormat="1" applyFont="1" applyFill="1" applyBorder="1" applyAlignment="1">
      <alignment vertical="center"/>
    </xf>
    <xf numFmtId="0" fontId="3" fillId="0" borderId="23" xfId="0" applyFont="1" applyFill="1" applyBorder="1" applyAlignment="1">
      <alignment vertical="center"/>
    </xf>
    <xf numFmtId="0" fontId="3" fillId="0" borderId="24" xfId="0" applyFont="1" applyFill="1" applyBorder="1" applyAlignment="1">
      <alignment vertical="center"/>
    </xf>
    <xf numFmtId="0" fontId="3" fillId="0" borderId="24" xfId="0" applyFont="1" applyFill="1" applyBorder="1" applyAlignment="1">
      <alignment horizontal="center" vertical="center"/>
    </xf>
    <xf numFmtId="164" fontId="3" fillId="0" borderId="24" xfId="0" applyNumberFormat="1" applyFont="1" applyFill="1" applyBorder="1" applyAlignment="1">
      <alignment vertical="center"/>
    </xf>
    <xf numFmtId="0" fontId="3" fillId="0" borderId="24" xfId="0" applyFont="1" applyFill="1" applyBorder="1" applyAlignment="1">
      <alignment horizontal="center" vertical="center" wrapText="1"/>
    </xf>
    <xf numFmtId="164" fontId="3" fillId="0" borderId="25" xfId="0" applyNumberFormat="1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12" fillId="0" borderId="0" xfId="0" applyFont="1" applyAlignment="1"/>
    <xf numFmtId="0" fontId="12" fillId="0" borderId="0" xfId="0" applyFont="1" applyAlignment="1">
      <alignment horizontal="center" vertical="center"/>
    </xf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wrapText="1"/>
    </xf>
    <xf numFmtId="0" fontId="13" fillId="0" borderId="0" xfId="2"/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10" fillId="13" borderId="16" xfId="0" applyFont="1" applyFill="1" applyBorder="1" applyAlignment="1">
      <alignment horizontal="center" vertical="center" wrapText="1"/>
    </xf>
    <xf numFmtId="0" fontId="10" fillId="13" borderId="17" xfId="0" applyFont="1" applyFill="1" applyBorder="1" applyAlignment="1">
      <alignment horizontal="center" vertical="center" wrapText="1"/>
    </xf>
    <xf numFmtId="0" fontId="10" fillId="13" borderId="18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2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/>
    </xf>
    <xf numFmtId="0" fontId="3" fillId="13" borderId="3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3" fillId="13" borderId="9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3" borderId="12" xfId="0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9" borderId="6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4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3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19609</xdr:colOff>
      <xdr:row>7</xdr:row>
      <xdr:rowOff>24093</xdr:rowOff>
    </xdr:from>
    <xdr:to>
      <xdr:col>32</xdr:col>
      <xdr:colOff>180281</xdr:colOff>
      <xdr:row>24</xdr:row>
      <xdr:rowOff>180975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6326409" y="2310093"/>
          <a:ext cx="3818273" cy="3776382"/>
        </a:xfrm>
        <a:prstGeom prst="rect">
          <a:avLst/>
        </a:prstGeom>
      </xdr:spPr>
    </xdr:pic>
    <xdr:clientData/>
  </xdr:twoCellAnchor>
  <xdr:twoCellAnchor editAs="oneCell">
    <xdr:from>
      <xdr:col>14</xdr:col>
      <xdr:colOff>26331</xdr:colOff>
      <xdr:row>67</xdr:row>
      <xdr:rowOff>7843</xdr:rowOff>
    </xdr:from>
    <xdr:to>
      <xdr:col>18</xdr:col>
      <xdr:colOff>183136</xdr:colOff>
      <xdr:row>84</xdr:row>
      <xdr:rowOff>22411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9506507" y="7145990"/>
          <a:ext cx="2947070" cy="3331509"/>
        </a:xfrm>
        <a:prstGeom prst="rect">
          <a:avLst/>
        </a:prstGeom>
      </xdr:spPr>
    </xdr:pic>
    <xdr:clientData/>
  </xdr:twoCellAnchor>
  <xdr:twoCellAnchor editAs="oneCell">
    <xdr:from>
      <xdr:col>14</xdr:col>
      <xdr:colOff>22973</xdr:colOff>
      <xdr:row>92</xdr:row>
      <xdr:rowOff>7284</xdr:rowOff>
    </xdr:from>
    <xdr:to>
      <xdr:col>18</xdr:col>
      <xdr:colOff>659915</xdr:colOff>
      <xdr:row>108</xdr:row>
      <xdr:rowOff>179294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8987679" y="15247284"/>
          <a:ext cx="3427207" cy="3220010"/>
        </a:xfrm>
        <a:prstGeom prst="rect">
          <a:avLst/>
        </a:prstGeom>
      </xdr:spPr>
    </xdr:pic>
    <xdr:clientData/>
  </xdr:twoCellAnchor>
  <xdr:twoCellAnchor editAs="oneCell">
    <xdr:from>
      <xdr:col>18</xdr:col>
      <xdr:colOff>19609</xdr:colOff>
      <xdr:row>118</xdr:row>
      <xdr:rowOff>15487</xdr:rowOff>
    </xdr:from>
    <xdr:to>
      <xdr:col>24</xdr:col>
      <xdr:colOff>212414</xdr:colOff>
      <xdr:row>134</xdr:row>
      <xdr:rowOff>44823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1438403" y="18112988"/>
          <a:ext cx="4193305" cy="3223012"/>
        </a:xfrm>
        <a:prstGeom prst="rect">
          <a:avLst/>
        </a:prstGeom>
      </xdr:spPr>
    </xdr:pic>
    <xdr:clientData/>
  </xdr:twoCellAnchor>
  <xdr:twoCellAnchor editAs="oneCell">
    <xdr:from>
      <xdr:col>18</xdr:col>
      <xdr:colOff>31938</xdr:colOff>
      <xdr:row>144</xdr:row>
      <xdr:rowOff>66675</xdr:rowOff>
    </xdr:from>
    <xdr:to>
      <xdr:col>23</xdr:col>
      <xdr:colOff>402470</xdr:colOff>
      <xdr:row>160</xdr:row>
      <xdr:rowOff>123264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/>
      </xdr:blipFill>
      <xdr:spPr bwMode="auto">
        <a:xfrm>
          <a:off x="11450732" y="16774646"/>
          <a:ext cx="3765914" cy="3104589"/>
        </a:xfrm>
        <a:prstGeom prst="rect">
          <a:avLst/>
        </a:prstGeom>
      </xdr:spPr>
    </xdr:pic>
    <xdr:clientData/>
  </xdr:twoCellAnchor>
  <xdr:twoCellAnchor editAs="oneCell">
    <xdr:from>
      <xdr:col>18</xdr:col>
      <xdr:colOff>63313</xdr:colOff>
      <xdr:row>170</xdr:row>
      <xdr:rowOff>21852</xdr:rowOff>
    </xdr:from>
    <xdr:to>
      <xdr:col>23</xdr:col>
      <xdr:colOff>373643</xdr:colOff>
      <xdr:row>187</xdr:row>
      <xdr:rowOff>22412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/>
      </xdr:blipFill>
      <xdr:spPr bwMode="auto">
        <a:xfrm>
          <a:off x="11482107" y="21346646"/>
          <a:ext cx="3705712" cy="3239060"/>
        </a:xfrm>
        <a:prstGeom prst="rect">
          <a:avLst/>
        </a:prstGeom>
      </xdr:spPr>
    </xdr:pic>
    <xdr:clientData/>
  </xdr:twoCellAnchor>
  <xdr:twoCellAnchor editAs="oneCell">
    <xdr:from>
      <xdr:col>18</xdr:col>
      <xdr:colOff>68354</xdr:colOff>
      <xdr:row>196</xdr:row>
      <xdr:rowOff>56030</xdr:rowOff>
    </xdr:from>
    <xdr:to>
      <xdr:col>22</xdr:col>
      <xdr:colOff>363711</xdr:colOff>
      <xdr:row>212</xdr:row>
      <xdr:rowOff>156883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/>
      </xdr:blipFill>
      <xdr:spPr bwMode="auto">
        <a:xfrm>
          <a:off x="11487149" y="30905824"/>
          <a:ext cx="3085621" cy="3148853"/>
        </a:xfrm>
        <a:prstGeom prst="rect">
          <a:avLst/>
        </a:prstGeom>
      </xdr:spPr>
    </xdr:pic>
    <xdr:clientData/>
  </xdr:twoCellAnchor>
  <xdr:twoCellAnchor editAs="oneCell">
    <xdr:from>
      <xdr:col>23</xdr:col>
      <xdr:colOff>262218</xdr:colOff>
      <xdr:row>196</xdr:row>
      <xdr:rowOff>58271</xdr:rowOff>
    </xdr:from>
    <xdr:to>
      <xdr:col>27</xdr:col>
      <xdr:colOff>171456</xdr:colOff>
      <xdr:row>212</xdr:row>
      <xdr:rowOff>179294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/>
      </xdr:blipFill>
      <xdr:spPr bwMode="auto">
        <a:xfrm>
          <a:off x="14706600" y="30908065"/>
          <a:ext cx="2509003" cy="3169023"/>
        </a:xfrm>
        <a:prstGeom prst="rect">
          <a:avLst/>
        </a:prstGeom>
      </xdr:spPr>
    </xdr:pic>
    <xdr:clientData/>
  </xdr:twoCellAnchor>
  <xdr:twoCellAnchor editAs="oneCell">
    <xdr:from>
      <xdr:col>22</xdr:col>
      <xdr:colOff>256215</xdr:colOff>
      <xdr:row>246</xdr:row>
      <xdr:rowOff>166007</xdr:rowOff>
    </xdr:from>
    <xdr:to>
      <xdr:col>26</xdr:col>
      <xdr:colOff>424863</xdr:colOff>
      <xdr:row>266</xdr:row>
      <xdr:rowOff>185740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/>
      </xdr:blipFill>
      <xdr:spPr bwMode="auto">
        <a:xfrm>
          <a:off x="14326001" y="40075757"/>
          <a:ext cx="2797227" cy="3839339"/>
        </a:xfrm>
        <a:prstGeom prst="rect">
          <a:avLst/>
        </a:prstGeom>
      </xdr:spPr>
    </xdr:pic>
    <xdr:clientData/>
  </xdr:twoCellAnchor>
  <xdr:twoCellAnchor editAs="oneCell">
    <xdr:from>
      <xdr:col>26</xdr:col>
      <xdr:colOff>65189</xdr:colOff>
      <xdr:row>273</xdr:row>
      <xdr:rowOff>38100</xdr:rowOff>
    </xdr:from>
    <xdr:to>
      <xdr:col>32</xdr:col>
      <xdr:colOff>291805</xdr:colOff>
      <xdr:row>289</xdr:row>
      <xdr:rowOff>181056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/>
      </xdr:blipFill>
      <xdr:spPr bwMode="auto">
        <a:xfrm>
          <a:off x="16515424" y="44715953"/>
          <a:ext cx="3857322" cy="3190956"/>
        </a:xfrm>
        <a:prstGeom prst="rect">
          <a:avLst/>
        </a:prstGeom>
      </xdr:spPr>
    </xdr:pic>
    <xdr:clientData/>
  </xdr:twoCellAnchor>
  <xdr:twoCellAnchor editAs="oneCell">
    <xdr:from>
      <xdr:col>26</xdr:col>
      <xdr:colOff>33619</xdr:colOff>
      <xdr:row>298</xdr:row>
      <xdr:rowOff>44824</xdr:rowOff>
    </xdr:from>
    <xdr:to>
      <xdr:col>29</xdr:col>
      <xdr:colOff>426420</xdr:colOff>
      <xdr:row>315</xdr:row>
      <xdr:rowOff>112060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/>
      </xdr:blipFill>
      <xdr:spPr bwMode="auto">
        <a:xfrm>
          <a:off x="17626854" y="48387000"/>
          <a:ext cx="2208154" cy="3305736"/>
        </a:xfrm>
        <a:prstGeom prst="rect">
          <a:avLst/>
        </a:prstGeom>
      </xdr:spPr>
    </xdr:pic>
    <xdr:clientData/>
  </xdr:twoCellAnchor>
  <xdr:twoCellAnchor editAs="oneCell">
    <xdr:from>
      <xdr:col>32</xdr:col>
      <xdr:colOff>227242</xdr:colOff>
      <xdr:row>273</xdr:row>
      <xdr:rowOff>51161</xdr:rowOff>
    </xdr:from>
    <xdr:to>
      <xdr:col>36</xdr:col>
      <xdr:colOff>527269</xdr:colOff>
      <xdr:row>290</xdr:row>
      <xdr:rowOff>1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/>
      </xdr:blipFill>
      <xdr:spPr bwMode="auto">
        <a:xfrm>
          <a:off x="20191643" y="44437661"/>
          <a:ext cx="2738426" cy="3187340"/>
        </a:xfrm>
        <a:prstGeom prst="rect">
          <a:avLst/>
        </a:prstGeom>
      </xdr:spPr>
    </xdr:pic>
    <xdr:clientData/>
  </xdr:twoCellAnchor>
  <xdr:twoCellAnchor editAs="oneCell">
    <xdr:from>
      <xdr:col>18</xdr:col>
      <xdr:colOff>50986</xdr:colOff>
      <xdr:row>222</xdr:row>
      <xdr:rowOff>20730</xdr:rowOff>
    </xdr:from>
    <xdr:to>
      <xdr:col>25</xdr:col>
      <xdr:colOff>577421</xdr:colOff>
      <xdr:row>238</xdr:row>
      <xdr:rowOff>177612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/>
      </xdr:blipFill>
      <xdr:spPr bwMode="auto">
        <a:xfrm>
          <a:off x="11480986" y="35501355"/>
          <a:ext cx="5347206" cy="3204883"/>
        </a:xfrm>
        <a:prstGeom prst="rect">
          <a:avLst/>
        </a:prstGeom>
      </xdr:spPr>
    </xdr:pic>
    <xdr:clientData/>
  </xdr:twoCellAnchor>
  <xdr:twoCellAnchor editAs="oneCell">
    <xdr:from>
      <xdr:col>26</xdr:col>
      <xdr:colOff>40822</xdr:colOff>
      <xdr:row>38</xdr:row>
      <xdr:rowOff>68036</xdr:rowOff>
    </xdr:from>
    <xdr:to>
      <xdr:col>35</xdr:col>
      <xdr:colOff>447678</xdr:colOff>
      <xdr:row>53</xdr:row>
      <xdr:rowOff>20409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86EF0D1B-3A51-4752-B20C-A657D46BB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/>
      </xdr:blipFill>
      <xdr:spPr bwMode="auto">
        <a:xfrm>
          <a:off x="18369643" y="8286750"/>
          <a:ext cx="5917749" cy="31908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47626</xdr:colOff>
      <xdr:row>7</xdr:row>
      <xdr:rowOff>19051</xdr:rowOff>
    </xdr:from>
    <xdr:to>
      <xdr:col>35</xdr:col>
      <xdr:colOff>478975</xdr:colOff>
      <xdr:row>21</xdr:row>
      <xdr:rowOff>161924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6068676" y="2114551"/>
          <a:ext cx="5917750" cy="3190874"/>
        </a:xfrm>
        <a:prstGeom prst="rect">
          <a:avLst/>
        </a:prstGeom>
      </xdr:spPr>
    </xdr:pic>
    <xdr:clientData/>
  </xdr:twoCellAnchor>
  <xdr:twoCellAnchor editAs="oneCell">
    <xdr:from>
      <xdr:col>14</xdr:col>
      <xdr:colOff>57149</xdr:colOff>
      <xdr:row>31</xdr:row>
      <xdr:rowOff>76200</xdr:rowOff>
    </xdr:from>
    <xdr:to>
      <xdr:col>18</xdr:col>
      <xdr:colOff>171450</xdr:colOff>
      <xdr:row>44</xdr:row>
      <xdr:rowOff>119398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762999" y="8648700"/>
          <a:ext cx="2314576" cy="2519698"/>
        </a:xfrm>
        <a:prstGeom prst="rect">
          <a:avLst/>
        </a:prstGeom>
      </xdr:spPr>
    </xdr:pic>
    <xdr:clientData/>
  </xdr:twoCellAnchor>
  <xdr:twoCellAnchor editAs="oneCell">
    <xdr:from>
      <xdr:col>14</xdr:col>
      <xdr:colOff>38099</xdr:colOff>
      <xdr:row>54</xdr:row>
      <xdr:rowOff>19050</xdr:rowOff>
    </xdr:from>
    <xdr:to>
      <xdr:col>18</xdr:col>
      <xdr:colOff>609598</xdr:colOff>
      <xdr:row>67</xdr:row>
      <xdr:rowOff>146752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8743949" y="13925550"/>
          <a:ext cx="2771775" cy="2604202"/>
        </a:xfrm>
        <a:prstGeom prst="rect">
          <a:avLst/>
        </a:prstGeom>
      </xdr:spPr>
    </xdr:pic>
    <xdr:clientData/>
  </xdr:twoCellAnchor>
  <xdr:twoCellAnchor editAs="oneCell">
    <xdr:from>
      <xdr:col>18</xdr:col>
      <xdr:colOff>38099</xdr:colOff>
      <xdr:row>76</xdr:row>
      <xdr:rowOff>95250</xdr:rowOff>
    </xdr:from>
    <xdr:to>
      <xdr:col>23</xdr:col>
      <xdr:colOff>339567</xdr:colOff>
      <xdr:row>88</xdr:row>
      <xdr:rowOff>76200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1182349" y="19335750"/>
          <a:ext cx="2949419" cy="2266950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97</xdr:row>
      <xdr:rowOff>38100</xdr:rowOff>
    </xdr:from>
    <xdr:to>
      <xdr:col>23</xdr:col>
      <xdr:colOff>339850</xdr:colOff>
      <xdr:row>109</xdr:row>
      <xdr:rowOff>152400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/>
      </xdr:blipFill>
      <xdr:spPr bwMode="auto">
        <a:xfrm>
          <a:off x="11220450" y="24612599"/>
          <a:ext cx="2911600" cy="2400300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117</xdr:row>
      <xdr:rowOff>152400</xdr:rowOff>
    </xdr:from>
    <xdr:to>
      <xdr:col>23</xdr:col>
      <xdr:colOff>339194</xdr:colOff>
      <xdr:row>131</xdr:row>
      <xdr:rowOff>38100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/>
      </xdr:blipFill>
      <xdr:spPr bwMode="auto">
        <a:xfrm>
          <a:off x="11210925" y="30060900"/>
          <a:ext cx="2920469" cy="2552700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138</xdr:row>
      <xdr:rowOff>119341</xdr:rowOff>
    </xdr:from>
    <xdr:to>
      <xdr:col>22</xdr:col>
      <xdr:colOff>476243</xdr:colOff>
      <xdr:row>152</xdr:row>
      <xdr:rowOff>47625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/>
      </xdr:blipFill>
      <xdr:spPr bwMode="auto">
        <a:xfrm>
          <a:off x="11229975" y="35933342"/>
          <a:ext cx="2543168" cy="2595283"/>
        </a:xfrm>
        <a:prstGeom prst="rect">
          <a:avLst/>
        </a:prstGeom>
      </xdr:spPr>
    </xdr:pic>
    <xdr:clientData/>
  </xdr:twoCellAnchor>
  <xdr:twoCellAnchor editAs="oneCell">
    <xdr:from>
      <xdr:col>22</xdr:col>
      <xdr:colOff>222436</xdr:colOff>
      <xdr:row>138</xdr:row>
      <xdr:rowOff>161924</xdr:rowOff>
    </xdr:from>
    <xdr:to>
      <xdr:col>25</xdr:col>
      <xdr:colOff>551603</xdr:colOff>
      <xdr:row>152</xdr:row>
      <xdr:rowOff>76200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/>
      </xdr:blipFill>
      <xdr:spPr bwMode="auto">
        <a:xfrm>
          <a:off x="13805087" y="35975925"/>
          <a:ext cx="2043666" cy="2581275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219074</xdr:colOff>
      <xdr:row>179</xdr:row>
      <xdr:rowOff>85725</xdr:rowOff>
    </xdr:from>
    <xdr:to>
      <xdr:col>21</xdr:col>
      <xdr:colOff>259913</xdr:colOff>
      <xdr:row>207</xdr:row>
      <xdr:rowOff>104775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/>
      </xdr:blipFill>
      <xdr:spPr bwMode="auto">
        <a:xfrm>
          <a:off x="8924924" y="48472726"/>
          <a:ext cx="3869889" cy="5353049"/>
        </a:xfrm>
        <a:prstGeom prst="rect">
          <a:avLst/>
        </a:prstGeom>
      </xdr:spPr>
    </xdr:pic>
    <xdr:clientData/>
  </xdr:twoCellAnchor>
  <xdr:twoCellAnchor editAs="oneCell">
    <xdr:from>
      <xdr:col>18</xdr:col>
      <xdr:colOff>114299</xdr:colOff>
      <xdr:row>159</xdr:row>
      <xdr:rowOff>76200</xdr:rowOff>
    </xdr:from>
    <xdr:to>
      <xdr:col>26</xdr:col>
      <xdr:colOff>219074</xdr:colOff>
      <xdr:row>173</xdr:row>
      <xdr:rowOff>173706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/>
      </xdr:blipFill>
      <xdr:spPr bwMode="auto">
        <a:xfrm>
          <a:off x="11258549" y="41414700"/>
          <a:ext cx="4581525" cy="27645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62750</xdr:colOff>
      <xdr:row>6</xdr:row>
      <xdr:rowOff>82924</xdr:rowOff>
    </xdr:from>
    <xdr:to>
      <xdr:col>28</xdr:col>
      <xdr:colOff>355456</xdr:colOff>
      <xdr:row>11</xdr:row>
      <xdr:rowOff>156882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5437221" y="1225924"/>
          <a:ext cx="1794294" cy="1788458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123</xdr:row>
      <xdr:rowOff>123266</xdr:rowOff>
    </xdr:from>
    <xdr:to>
      <xdr:col>25</xdr:col>
      <xdr:colOff>276712</xdr:colOff>
      <xdr:row>140</xdr:row>
      <xdr:rowOff>123826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1194676" y="24316766"/>
          <a:ext cx="3705712" cy="32390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19609</xdr:colOff>
      <xdr:row>7</xdr:row>
      <xdr:rowOff>24093</xdr:rowOff>
    </xdr:from>
    <xdr:to>
      <xdr:col>32</xdr:col>
      <xdr:colOff>180282</xdr:colOff>
      <xdr:row>24</xdr:row>
      <xdr:rowOff>180975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6326409" y="1452843"/>
          <a:ext cx="3818273" cy="3776382"/>
        </a:xfrm>
        <a:prstGeom prst="rect">
          <a:avLst/>
        </a:prstGeom>
      </xdr:spPr>
    </xdr:pic>
    <xdr:clientData/>
  </xdr:twoCellAnchor>
  <xdr:twoCellAnchor editAs="oneCell">
    <xdr:from>
      <xdr:col>14</xdr:col>
      <xdr:colOff>26331</xdr:colOff>
      <xdr:row>54</xdr:row>
      <xdr:rowOff>7844</xdr:rowOff>
    </xdr:from>
    <xdr:to>
      <xdr:col>18</xdr:col>
      <xdr:colOff>519313</xdr:colOff>
      <xdr:row>70</xdr:row>
      <xdr:rowOff>168088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989357" y="7151595"/>
          <a:ext cx="2959956" cy="3208243"/>
        </a:xfrm>
        <a:prstGeom prst="rect">
          <a:avLst/>
        </a:prstGeom>
      </xdr:spPr>
    </xdr:pic>
    <xdr:clientData/>
  </xdr:twoCellAnchor>
  <xdr:twoCellAnchor editAs="oneCell">
    <xdr:from>
      <xdr:col>14</xdr:col>
      <xdr:colOff>22973</xdr:colOff>
      <xdr:row>77</xdr:row>
      <xdr:rowOff>7284</xdr:rowOff>
    </xdr:from>
    <xdr:to>
      <xdr:col>19</xdr:col>
      <xdr:colOff>390974</xdr:colOff>
      <xdr:row>93</xdr:row>
      <xdr:rowOff>179294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8985998" y="11532534"/>
          <a:ext cx="3444576" cy="3220010"/>
        </a:xfrm>
        <a:prstGeom prst="rect">
          <a:avLst/>
        </a:prstGeom>
      </xdr:spPr>
    </xdr:pic>
    <xdr:clientData/>
  </xdr:twoCellAnchor>
  <xdr:twoCellAnchor editAs="oneCell">
    <xdr:from>
      <xdr:col>18</xdr:col>
      <xdr:colOff>19609</xdr:colOff>
      <xdr:row>101</xdr:row>
      <xdr:rowOff>15487</xdr:rowOff>
    </xdr:from>
    <xdr:to>
      <xdr:col>24</xdr:col>
      <xdr:colOff>582208</xdr:colOff>
      <xdr:row>118</xdr:row>
      <xdr:rowOff>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1449608" y="16160363"/>
          <a:ext cx="4220199" cy="3223012"/>
        </a:xfrm>
        <a:prstGeom prst="rect">
          <a:avLst/>
        </a:prstGeom>
      </xdr:spPr>
    </xdr:pic>
    <xdr:clientData/>
  </xdr:twoCellAnchor>
  <xdr:twoCellAnchor editAs="oneCell">
    <xdr:from>
      <xdr:col>18</xdr:col>
      <xdr:colOff>31937</xdr:colOff>
      <xdr:row>125</xdr:row>
      <xdr:rowOff>21852</xdr:rowOff>
    </xdr:from>
    <xdr:to>
      <xdr:col>24</xdr:col>
      <xdr:colOff>303073</xdr:colOff>
      <xdr:row>142</xdr:row>
      <xdr:rowOff>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/>
      </xdr:blipFill>
      <xdr:spPr bwMode="auto">
        <a:xfrm>
          <a:off x="11461938" y="20786352"/>
          <a:ext cx="3928736" cy="3216648"/>
        </a:xfrm>
        <a:prstGeom prst="rect">
          <a:avLst/>
        </a:prstGeom>
      </xdr:spPr>
    </xdr:pic>
    <xdr:clientData/>
  </xdr:twoCellAnchor>
  <xdr:twoCellAnchor editAs="oneCell">
    <xdr:from>
      <xdr:col>18</xdr:col>
      <xdr:colOff>7284</xdr:colOff>
      <xdr:row>149</xdr:row>
      <xdr:rowOff>10646</xdr:rowOff>
    </xdr:from>
    <xdr:to>
      <xdr:col>24</xdr:col>
      <xdr:colOff>82291</xdr:colOff>
      <xdr:row>166</xdr:row>
      <xdr:rowOff>11206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/>
      </xdr:blipFill>
      <xdr:spPr bwMode="auto">
        <a:xfrm>
          <a:off x="11437284" y="25394771"/>
          <a:ext cx="3732607" cy="3239060"/>
        </a:xfrm>
        <a:prstGeom prst="rect">
          <a:avLst/>
        </a:prstGeom>
      </xdr:spPr>
    </xdr:pic>
    <xdr:clientData/>
  </xdr:twoCellAnchor>
  <xdr:twoCellAnchor editAs="oneCell">
    <xdr:from>
      <xdr:col>18</xdr:col>
      <xdr:colOff>68354</xdr:colOff>
      <xdr:row>173</xdr:row>
      <xdr:rowOff>56030</xdr:rowOff>
    </xdr:from>
    <xdr:to>
      <xdr:col>23</xdr:col>
      <xdr:colOff>128388</xdr:colOff>
      <xdr:row>189</xdr:row>
      <xdr:rowOff>156883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/>
      </xdr:blipFill>
      <xdr:spPr bwMode="auto">
        <a:xfrm>
          <a:off x="11498355" y="30059780"/>
          <a:ext cx="3108033" cy="3148853"/>
        </a:xfrm>
        <a:prstGeom prst="rect">
          <a:avLst/>
        </a:prstGeom>
      </xdr:spPr>
    </xdr:pic>
    <xdr:clientData/>
  </xdr:twoCellAnchor>
  <xdr:twoCellAnchor editAs="oneCell">
    <xdr:from>
      <xdr:col>23</xdr:col>
      <xdr:colOff>262218</xdr:colOff>
      <xdr:row>173</xdr:row>
      <xdr:rowOff>58271</xdr:rowOff>
    </xdr:from>
    <xdr:to>
      <xdr:col>27</xdr:col>
      <xdr:colOff>350750</xdr:colOff>
      <xdr:row>189</xdr:row>
      <xdr:rowOff>179294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/>
      </xdr:blipFill>
      <xdr:spPr bwMode="auto">
        <a:xfrm>
          <a:off x="14740218" y="30062021"/>
          <a:ext cx="2526932" cy="3169023"/>
        </a:xfrm>
        <a:prstGeom prst="rect">
          <a:avLst/>
        </a:prstGeom>
      </xdr:spPr>
    </xdr:pic>
    <xdr:clientData/>
  </xdr:twoCellAnchor>
  <xdr:twoCellAnchor editAs="oneCell">
    <xdr:from>
      <xdr:col>22</xdr:col>
      <xdr:colOff>147358</xdr:colOff>
      <xdr:row>220</xdr:row>
      <xdr:rowOff>57150</xdr:rowOff>
    </xdr:from>
    <xdr:to>
      <xdr:col>26</xdr:col>
      <xdr:colOff>495300</xdr:colOff>
      <xdr:row>239</xdr:row>
      <xdr:rowOff>222559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/>
      </xdr:blipFill>
      <xdr:spPr bwMode="auto">
        <a:xfrm>
          <a:off x="14015759" y="39109650"/>
          <a:ext cx="2786342" cy="3832533"/>
        </a:xfrm>
        <a:prstGeom prst="rect">
          <a:avLst/>
        </a:prstGeom>
      </xdr:spPr>
    </xdr:pic>
    <xdr:clientData/>
  </xdr:twoCellAnchor>
  <xdr:twoCellAnchor editAs="oneCell">
    <xdr:from>
      <xdr:col>26</xdr:col>
      <xdr:colOff>65189</xdr:colOff>
      <xdr:row>244</xdr:row>
      <xdr:rowOff>38100</xdr:rowOff>
    </xdr:from>
    <xdr:to>
      <xdr:col>32</xdr:col>
      <xdr:colOff>291806</xdr:colOff>
      <xdr:row>260</xdr:row>
      <xdr:rowOff>181056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/>
      </xdr:blipFill>
      <xdr:spPr bwMode="auto">
        <a:xfrm>
          <a:off x="16371989" y="43757850"/>
          <a:ext cx="3884216" cy="3190956"/>
        </a:xfrm>
        <a:prstGeom prst="rect">
          <a:avLst/>
        </a:prstGeom>
      </xdr:spPr>
    </xdr:pic>
    <xdr:clientData/>
  </xdr:twoCellAnchor>
  <xdr:twoCellAnchor editAs="oneCell">
    <xdr:from>
      <xdr:col>26</xdr:col>
      <xdr:colOff>33618</xdr:colOff>
      <xdr:row>267</xdr:row>
      <xdr:rowOff>44823</xdr:rowOff>
    </xdr:from>
    <xdr:to>
      <xdr:col>29</xdr:col>
      <xdr:colOff>549088</xdr:colOff>
      <xdr:row>285</xdr:row>
      <xdr:rowOff>105202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/>
      </xdr:blipFill>
      <xdr:spPr bwMode="auto">
        <a:xfrm>
          <a:off x="16340418" y="48193698"/>
          <a:ext cx="2344270" cy="3489379"/>
        </a:xfrm>
        <a:prstGeom prst="rect">
          <a:avLst/>
        </a:prstGeom>
      </xdr:spPr>
    </xdr:pic>
    <xdr:clientData/>
  </xdr:twoCellAnchor>
  <xdr:twoCellAnchor editAs="oneCell">
    <xdr:from>
      <xdr:col>32</xdr:col>
      <xdr:colOff>227242</xdr:colOff>
      <xdr:row>244</xdr:row>
      <xdr:rowOff>51161</xdr:rowOff>
    </xdr:from>
    <xdr:to>
      <xdr:col>36</xdr:col>
      <xdr:colOff>527269</xdr:colOff>
      <xdr:row>261</xdr:row>
      <xdr:rowOff>1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/>
      </xdr:blipFill>
      <xdr:spPr bwMode="auto">
        <a:xfrm>
          <a:off x="20191643" y="43770911"/>
          <a:ext cx="2738426" cy="3187340"/>
        </a:xfrm>
        <a:prstGeom prst="rect">
          <a:avLst/>
        </a:prstGeom>
      </xdr:spPr>
    </xdr:pic>
    <xdr:clientData/>
  </xdr:twoCellAnchor>
  <xdr:twoCellAnchor editAs="oneCell">
    <xdr:from>
      <xdr:col>18</xdr:col>
      <xdr:colOff>50986</xdr:colOff>
      <xdr:row>197</xdr:row>
      <xdr:rowOff>20730</xdr:rowOff>
    </xdr:from>
    <xdr:to>
      <xdr:col>26</xdr:col>
      <xdr:colOff>521392</xdr:colOff>
      <xdr:row>213</xdr:row>
      <xdr:rowOff>177612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/>
      </xdr:blipFill>
      <xdr:spPr bwMode="auto">
        <a:xfrm>
          <a:off x="11480986" y="34644105"/>
          <a:ext cx="5347206" cy="32048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.10.27_&#1057;&#1090;&#1072;&#1085;&#1076;&#1072;&#1088;&#1090;&#1085;&#1099;&#1077;%20&#1088;&#1072;&#1079;&#1084;&#1077;&#1088;&#1099;%20&#1101;&#1083;&#1077;&#1084;&#1077;&#1085;&#1090;&#1086;&#1074;%20&#1084;&#1072;&#1075;&#1080;&#1089;&#1090;&#1088;&#1072;&#1083;&#1100;&#1085;&#1086;&#1075;&#1086;%20&#1064;&#1055;%20IP5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андартные размеры"/>
      <sheetName val="Минимальные габариты"/>
    </sheetNames>
    <sheetDataSet>
      <sheetData sheetId="0" refreshError="1">
        <row r="17">
          <cell r="E17">
            <v>40</v>
          </cell>
        </row>
        <row r="18">
          <cell r="K18">
            <v>40</v>
          </cell>
        </row>
        <row r="19">
          <cell r="K19">
            <v>60</v>
          </cell>
        </row>
        <row r="20">
          <cell r="K20">
            <v>65</v>
          </cell>
        </row>
        <row r="21">
          <cell r="K21">
            <v>80</v>
          </cell>
        </row>
        <row r="22">
          <cell r="K22">
            <v>100</v>
          </cell>
        </row>
        <row r="23">
          <cell r="K23">
            <v>160</v>
          </cell>
        </row>
        <row r="24">
          <cell r="K24">
            <v>200</v>
          </cell>
        </row>
        <row r="25">
          <cell r="K25">
            <v>130</v>
          </cell>
        </row>
        <row r="26">
          <cell r="K26">
            <v>160</v>
          </cell>
        </row>
        <row r="27">
          <cell r="K27">
            <v>200</v>
          </cell>
        </row>
        <row r="28">
          <cell r="K28">
            <v>200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&#1058;&#1056;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K319"/>
  <sheetViews>
    <sheetView tabSelected="1" zoomScale="85" zoomScaleNormal="85" workbookViewId="0">
      <selection activeCell="B208" sqref="B208"/>
    </sheetView>
  </sheetViews>
  <sheetFormatPr defaultRowHeight="15" x14ac:dyDescent="0.25"/>
  <cols>
    <col min="1" max="1" width="22.7109375" style="99" customWidth="1"/>
    <col min="2" max="2" width="8.85546875" style="99" customWidth="1"/>
    <col min="3" max="3" width="6.140625" style="99" customWidth="1"/>
    <col min="4" max="4" width="11.42578125" style="99" bestFit="1" customWidth="1"/>
    <col min="5" max="7" width="11.7109375" style="99" bestFit="1" customWidth="1"/>
    <col min="8" max="8" width="6.7109375" style="99" bestFit="1" customWidth="1"/>
    <col min="9" max="9" width="11.7109375" style="99" bestFit="1" customWidth="1"/>
    <col min="10" max="10" width="12.28515625" style="99" bestFit="1" customWidth="1"/>
    <col min="11" max="11" width="11.7109375" style="99" bestFit="1" customWidth="1"/>
    <col min="12" max="12" width="6.140625" style="99" customWidth="1"/>
    <col min="13" max="13" width="11.7109375" style="99" bestFit="1" customWidth="1"/>
    <col min="14" max="15" width="9.140625" style="99"/>
    <col min="16" max="16" width="11.7109375" style="99" bestFit="1" customWidth="1"/>
    <col min="17" max="17" width="12" style="99" customWidth="1"/>
    <col min="18" max="18" width="9.140625" style="99"/>
    <col min="19" max="19" width="11.7109375" style="99" bestFit="1" customWidth="1"/>
    <col min="20" max="20" width="9.140625" style="99"/>
    <col min="21" max="21" width="11.85546875" style="99" customWidth="1"/>
    <col min="22" max="23" width="9.140625" style="99"/>
    <col min="24" max="24" width="9.140625" style="99" customWidth="1"/>
    <col min="25" max="25" width="11.7109375" style="99" bestFit="1" customWidth="1"/>
    <col min="26" max="16384" width="9.140625" style="99"/>
  </cols>
  <sheetData>
    <row r="1" spans="1:25" ht="28.5" x14ac:dyDescent="0.25">
      <c r="A1" s="189" t="s">
        <v>57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1"/>
    </row>
    <row r="2" spans="1:25" x14ac:dyDescent="0.25">
      <c r="A2" s="159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1"/>
    </row>
    <row r="3" spans="1:25" ht="18.75" x14ac:dyDescent="0.25">
      <c r="A3" s="159"/>
      <c r="B3" s="160"/>
      <c r="C3" s="160"/>
      <c r="D3" s="192" t="s">
        <v>0</v>
      </c>
      <c r="E3" s="192"/>
      <c r="F3" s="192"/>
      <c r="G3" s="192"/>
      <c r="H3" s="192"/>
      <c r="I3" s="192"/>
      <c r="J3" s="192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1"/>
    </row>
    <row r="4" spans="1:25" ht="15" customHeight="1" x14ac:dyDescent="0.25">
      <c r="A4" s="159"/>
      <c r="B4" s="160"/>
      <c r="C4" s="160"/>
      <c r="D4" s="192" t="s">
        <v>1</v>
      </c>
      <c r="E4" s="192"/>
      <c r="F4" s="192"/>
      <c r="G4" s="192"/>
      <c r="H4" s="192"/>
      <c r="I4" s="192"/>
      <c r="J4" s="192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1"/>
    </row>
    <row r="5" spans="1:25" x14ac:dyDescent="0.25">
      <c r="A5" s="159"/>
      <c r="B5" s="160"/>
      <c r="C5" s="160"/>
      <c r="D5" s="193" t="s">
        <v>2</v>
      </c>
      <c r="E5" s="194"/>
      <c r="F5" s="194"/>
      <c r="G5" s="194"/>
      <c r="H5" s="194"/>
      <c r="I5" s="194"/>
      <c r="J5" s="195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1"/>
    </row>
    <row r="6" spans="1:25" x14ac:dyDescent="0.25">
      <c r="A6" s="159"/>
      <c r="B6" s="160"/>
      <c r="C6" s="160"/>
      <c r="D6" s="193" t="s">
        <v>3</v>
      </c>
      <c r="E6" s="194"/>
      <c r="F6" s="195"/>
      <c r="G6" s="193" t="s">
        <v>4</v>
      </c>
      <c r="H6" s="194"/>
      <c r="I6" s="194"/>
      <c r="J6" s="195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1"/>
    </row>
    <row r="7" spans="1:25" x14ac:dyDescent="0.25">
      <c r="A7" s="159"/>
      <c r="B7" s="160"/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1"/>
    </row>
    <row r="8" spans="1:25" x14ac:dyDescent="0.25">
      <c r="A8" s="196" t="s">
        <v>5</v>
      </c>
      <c r="B8" s="197" t="s">
        <v>6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 t="s">
        <v>7</v>
      </c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8"/>
    </row>
    <row r="9" spans="1:25" x14ac:dyDescent="0.25">
      <c r="A9" s="196"/>
      <c r="B9" s="197" t="s">
        <v>8</v>
      </c>
      <c r="C9" s="197"/>
      <c r="D9" s="197"/>
      <c r="E9" s="197"/>
      <c r="F9" s="197"/>
      <c r="G9" s="197"/>
      <c r="H9" s="197" t="s">
        <v>9</v>
      </c>
      <c r="I9" s="197"/>
      <c r="J9" s="197"/>
      <c r="K9" s="197"/>
      <c r="L9" s="197"/>
      <c r="M9" s="197"/>
      <c r="N9" s="197" t="s">
        <v>8</v>
      </c>
      <c r="O9" s="197"/>
      <c r="P9" s="197"/>
      <c r="Q9" s="197"/>
      <c r="R9" s="197"/>
      <c r="S9" s="197"/>
      <c r="T9" s="197" t="s">
        <v>9</v>
      </c>
      <c r="U9" s="197"/>
      <c r="V9" s="197"/>
      <c r="W9" s="197"/>
      <c r="X9" s="197"/>
      <c r="Y9" s="198"/>
    </row>
    <row r="10" spans="1:25" s="127" customFormat="1" ht="30" x14ac:dyDescent="0.25">
      <c r="A10" s="196"/>
      <c r="B10" s="156" t="s">
        <v>10</v>
      </c>
      <c r="C10" s="156" t="s">
        <v>11</v>
      </c>
      <c r="D10" s="197" t="s">
        <v>12</v>
      </c>
      <c r="E10" s="197"/>
      <c r="F10" s="197"/>
      <c r="G10" s="108" t="s">
        <v>13</v>
      </c>
      <c r="H10" s="156" t="s">
        <v>10</v>
      </c>
      <c r="I10" s="156" t="s">
        <v>11</v>
      </c>
      <c r="J10" s="197" t="s">
        <v>12</v>
      </c>
      <c r="K10" s="197"/>
      <c r="L10" s="197"/>
      <c r="M10" s="108" t="s">
        <v>13</v>
      </c>
      <c r="N10" s="156" t="s">
        <v>10</v>
      </c>
      <c r="O10" s="156" t="s">
        <v>11</v>
      </c>
      <c r="P10" s="197" t="s">
        <v>12</v>
      </c>
      <c r="Q10" s="197"/>
      <c r="R10" s="197"/>
      <c r="S10" s="108" t="s">
        <v>13</v>
      </c>
      <c r="T10" s="156" t="s">
        <v>10</v>
      </c>
      <c r="U10" s="156" t="s">
        <v>11</v>
      </c>
      <c r="V10" s="197" t="s">
        <v>12</v>
      </c>
      <c r="W10" s="197"/>
      <c r="X10" s="197"/>
      <c r="Y10" s="162" t="s">
        <v>13</v>
      </c>
    </row>
    <row r="11" spans="1:25" ht="30" x14ac:dyDescent="0.25">
      <c r="A11" s="163"/>
      <c r="B11" s="105"/>
      <c r="C11" s="105"/>
      <c r="D11" s="108" t="s">
        <v>14</v>
      </c>
      <c r="E11" s="108" t="s">
        <v>15</v>
      </c>
      <c r="F11" s="108" t="s">
        <v>16</v>
      </c>
      <c r="G11" s="106"/>
      <c r="H11" s="105"/>
      <c r="I11" s="105"/>
      <c r="J11" s="108" t="s">
        <v>14</v>
      </c>
      <c r="K11" s="108" t="s">
        <v>15</v>
      </c>
      <c r="L11" s="108" t="s">
        <v>16</v>
      </c>
      <c r="M11" s="106"/>
      <c r="N11" s="105"/>
      <c r="O11" s="105"/>
      <c r="P11" s="108" t="s">
        <v>14</v>
      </c>
      <c r="Q11" s="108" t="s">
        <v>15</v>
      </c>
      <c r="R11" s="108" t="s">
        <v>16</v>
      </c>
      <c r="S11" s="106"/>
      <c r="T11" s="105"/>
      <c r="U11" s="105"/>
      <c r="V11" s="108" t="s">
        <v>14</v>
      </c>
      <c r="W11" s="108" t="s">
        <v>15</v>
      </c>
      <c r="X11" s="108" t="s">
        <v>16</v>
      </c>
      <c r="Y11" s="164"/>
    </row>
    <row r="12" spans="1:25" x14ac:dyDescent="0.25">
      <c r="A12" s="165">
        <v>160</v>
      </c>
      <c r="B12" s="105">
        <f t="shared" ref="B12:B22" si="0">E12+18+18+3</f>
        <v>69</v>
      </c>
      <c r="C12" s="105">
        <v>140</v>
      </c>
      <c r="D12" s="108">
        <v>1</v>
      </c>
      <c r="E12" s="108">
        <v>30</v>
      </c>
      <c r="F12" s="108">
        <v>6</v>
      </c>
      <c r="G12" s="106">
        <v>7.5</v>
      </c>
      <c r="H12" s="105">
        <f t="shared" ref="H12:H23" si="1">K12+18+18+3</f>
        <v>69</v>
      </c>
      <c r="I12" s="105">
        <v>140</v>
      </c>
      <c r="J12" s="110">
        <v>1</v>
      </c>
      <c r="K12" s="110">
        <v>30</v>
      </c>
      <c r="L12" s="105">
        <v>6</v>
      </c>
      <c r="M12" s="106">
        <v>18.399999999999999</v>
      </c>
      <c r="N12" s="105">
        <f t="shared" ref="N12:N27" si="2">B12</f>
        <v>69</v>
      </c>
      <c r="O12" s="105">
        <f t="shared" ref="O12:O27" si="3">C12</f>
        <v>140</v>
      </c>
      <c r="P12" s="108">
        <f t="shared" ref="P12:P27" si="4">D12</f>
        <v>1</v>
      </c>
      <c r="Q12" s="156">
        <f t="shared" ref="Q12:Q27" si="5">E12</f>
        <v>30</v>
      </c>
      <c r="R12" s="156">
        <f t="shared" ref="R12:R27" si="6">F12</f>
        <v>6</v>
      </c>
      <c r="S12" s="106">
        <v>8.6999999999999993</v>
      </c>
      <c r="T12" s="105">
        <f t="shared" ref="T12:T27" si="7">H12</f>
        <v>69</v>
      </c>
      <c r="U12" s="105">
        <f t="shared" ref="U12:U27" si="8">C12</f>
        <v>140</v>
      </c>
      <c r="V12" s="105">
        <f t="shared" ref="V12:V27" si="9">J12</f>
        <v>1</v>
      </c>
      <c r="W12" s="105">
        <f t="shared" ref="W12:X27" si="10">K12</f>
        <v>30</v>
      </c>
      <c r="X12" s="105">
        <f t="shared" ref="X12:X17" si="11">L12</f>
        <v>6</v>
      </c>
      <c r="Y12" s="164">
        <v>20.5</v>
      </c>
    </row>
    <row r="13" spans="1:25" x14ac:dyDescent="0.25">
      <c r="A13" s="165">
        <v>250</v>
      </c>
      <c r="B13" s="105">
        <f t="shared" si="0"/>
        <v>69</v>
      </c>
      <c r="C13" s="105">
        <v>140</v>
      </c>
      <c r="D13" s="108">
        <v>1</v>
      </c>
      <c r="E13" s="108">
        <v>30</v>
      </c>
      <c r="F13" s="108">
        <v>6</v>
      </c>
      <c r="G13" s="106">
        <v>7.5</v>
      </c>
      <c r="H13" s="105">
        <f t="shared" si="1"/>
        <v>69</v>
      </c>
      <c r="I13" s="105">
        <v>140</v>
      </c>
      <c r="J13" s="110">
        <v>1</v>
      </c>
      <c r="K13" s="110">
        <v>30</v>
      </c>
      <c r="L13" s="105">
        <v>6</v>
      </c>
      <c r="M13" s="106">
        <v>18.399999999999999</v>
      </c>
      <c r="N13" s="105">
        <f t="shared" si="2"/>
        <v>69</v>
      </c>
      <c r="O13" s="105">
        <f t="shared" si="3"/>
        <v>140</v>
      </c>
      <c r="P13" s="108">
        <f t="shared" si="4"/>
        <v>1</v>
      </c>
      <c r="Q13" s="156">
        <f t="shared" si="5"/>
        <v>30</v>
      </c>
      <c r="R13" s="156">
        <f t="shared" si="6"/>
        <v>6</v>
      </c>
      <c r="S13" s="106">
        <v>8.6999999999999993</v>
      </c>
      <c r="T13" s="105">
        <f t="shared" si="7"/>
        <v>69</v>
      </c>
      <c r="U13" s="105">
        <f t="shared" si="8"/>
        <v>140</v>
      </c>
      <c r="V13" s="105">
        <f t="shared" si="9"/>
        <v>1</v>
      </c>
      <c r="W13" s="105">
        <f t="shared" si="10"/>
        <v>30</v>
      </c>
      <c r="X13" s="105">
        <f t="shared" si="11"/>
        <v>6</v>
      </c>
      <c r="Y13" s="164">
        <v>20.5</v>
      </c>
    </row>
    <row r="14" spans="1:25" x14ac:dyDescent="0.25">
      <c r="A14" s="165">
        <v>315</v>
      </c>
      <c r="B14" s="105">
        <f t="shared" ref="B14" si="12">E14+18+18+3</f>
        <v>69</v>
      </c>
      <c r="C14" s="105">
        <v>140</v>
      </c>
      <c r="D14" s="108">
        <v>1</v>
      </c>
      <c r="E14" s="108">
        <v>30</v>
      </c>
      <c r="F14" s="108">
        <v>6</v>
      </c>
      <c r="G14" s="106">
        <v>7.5</v>
      </c>
      <c r="H14" s="105">
        <f t="shared" ref="H14" si="13">K14+18+18+3</f>
        <v>69</v>
      </c>
      <c r="I14" s="105">
        <v>140</v>
      </c>
      <c r="J14" s="110">
        <v>1</v>
      </c>
      <c r="K14" s="110">
        <v>30</v>
      </c>
      <c r="L14" s="105">
        <v>6</v>
      </c>
      <c r="M14" s="106">
        <v>18.399999999999999</v>
      </c>
      <c r="N14" s="105">
        <f t="shared" ref="N14" si="14">B14</f>
        <v>69</v>
      </c>
      <c r="O14" s="105">
        <f t="shared" ref="O14" si="15">C14</f>
        <v>140</v>
      </c>
      <c r="P14" s="108">
        <f t="shared" ref="P14" si="16">D14</f>
        <v>1</v>
      </c>
      <c r="Q14" s="156">
        <f t="shared" ref="Q14" si="17">E14</f>
        <v>30</v>
      </c>
      <c r="R14" s="156">
        <f t="shared" ref="R14" si="18">F14</f>
        <v>6</v>
      </c>
      <c r="S14" s="106">
        <v>8.6999999999999993</v>
      </c>
      <c r="T14" s="105">
        <f t="shared" ref="T14" si="19">H14</f>
        <v>69</v>
      </c>
      <c r="U14" s="105">
        <f t="shared" ref="U14" si="20">C14</f>
        <v>140</v>
      </c>
      <c r="V14" s="105">
        <f t="shared" ref="V14" si="21">J14</f>
        <v>1</v>
      </c>
      <c r="W14" s="105">
        <f t="shared" ref="W14" si="22">K14</f>
        <v>30</v>
      </c>
      <c r="X14" s="105">
        <f t="shared" ref="X14" si="23">L14</f>
        <v>6</v>
      </c>
      <c r="Y14" s="164">
        <v>20.5</v>
      </c>
    </row>
    <row r="15" spans="1:25" x14ac:dyDescent="0.25">
      <c r="A15" s="165">
        <v>400</v>
      </c>
      <c r="B15" s="105">
        <f t="shared" si="0"/>
        <v>69</v>
      </c>
      <c r="C15" s="105">
        <v>140</v>
      </c>
      <c r="D15" s="108">
        <v>1</v>
      </c>
      <c r="E15" s="108">
        <v>30</v>
      </c>
      <c r="F15" s="108">
        <v>6</v>
      </c>
      <c r="G15" s="106">
        <v>7.5</v>
      </c>
      <c r="H15" s="105">
        <f t="shared" si="1"/>
        <v>69</v>
      </c>
      <c r="I15" s="105">
        <v>140</v>
      </c>
      <c r="J15" s="110">
        <v>1</v>
      </c>
      <c r="K15" s="110">
        <v>30</v>
      </c>
      <c r="L15" s="105">
        <v>6</v>
      </c>
      <c r="M15" s="106">
        <v>18.399999999999999</v>
      </c>
      <c r="N15" s="105">
        <f t="shared" si="2"/>
        <v>69</v>
      </c>
      <c r="O15" s="105">
        <f t="shared" si="3"/>
        <v>140</v>
      </c>
      <c r="P15" s="108">
        <f t="shared" si="4"/>
        <v>1</v>
      </c>
      <c r="Q15" s="175">
        <f t="shared" si="5"/>
        <v>30</v>
      </c>
      <c r="R15" s="175">
        <f t="shared" si="6"/>
        <v>6</v>
      </c>
      <c r="S15" s="106">
        <v>8.6999999999999993</v>
      </c>
      <c r="T15" s="105">
        <f t="shared" si="7"/>
        <v>69</v>
      </c>
      <c r="U15" s="105">
        <f t="shared" si="8"/>
        <v>140</v>
      </c>
      <c r="V15" s="105">
        <f t="shared" si="9"/>
        <v>1</v>
      </c>
      <c r="W15" s="105">
        <f t="shared" si="10"/>
        <v>30</v>
      </c>
      <c r="X15" s="105">
        <f t="shared" si="11"/>
        <v>6</v>
      </c>
      <c r="Y15" s="164">
        <v>20.5</v>
      </c>
    </row>
    <row r="16" spans="1:25" x14ac:dyDescent="0.25">
      <c r="A16" s="165">
        <v>500</v>
      </c>
      <c r="B16" s="105">
        <f t="shared" ref="B16" si="24">E16+18+18+3</f>
        <v>79</v>
      </c>
      <c r="C16" s="105">
        <v>140</v>
      </c>
      <c r="D16" s="108">
        <v>1</v>
      </c>
      <c r="E16" s="108">
        <v>40</v>
      </c>
      <c r="F16" s="108">
        <v>6</v>
      </c>
      <c r="G16" s="106">
        <v>7.5</v>
      </c>
      <c r="H16" s="105">
        <f t="shared" ref="H16" si="25">K16+18+18+3</f>
        <v>69</v>
      </c>
      <c r="I16" s="105">
        <v>140</v>
      </c>
      <c r="J16" s="110">
        <v>1</v>
      </c>
      <c r="K16" s="110">
        <v>30</v>
      </c>
      <c r="L16" s="105">
        <v>6</v>
      </c>
      <c r="M16" s="106">
        <v>18.399999999999999</v>
      </c>
      <c r="N16" s="105">
        <f>B16</f>
        <v>79</v>
      </c>
      <c r="O16" s="105">
        <f t="shared" si="3"/>
        <v>140</v>
      </c>
      <c r="P16" s="175">
        <f t="shared" si="4"/>
        <v>1</v>
      </c>
      <c r="Q16" s="175">
        <f t="shared" si="5"/>
        <v>40</v>
      </c>
      <c r="R16" s="175">
        <f t="shared" si="6"/>
        <v>6</v>
      </c>
      <c r="S16" s="105">
        <f t="shared" ref="S16" si="26">G16</f>
        <v>7.5</v>
      </c>
      <c r="T16" s="105">
        <f t="shared" si="7"/>
        <v>69</v>
      </c>
      <c r="U16" s="105">
        <f t="shared" ref="U16" si="27">I16</f>
        <v>140</v>
      </c>
      <c r="V16" s="105">
        <f t="shared" si="9"/>
        <v>1</v>
      </c>
      <c r="W16" s="105">
        <f t="shared" si="10"/>
        <v>30</v>
      </c>
      <c r="X16" s="105">
        <f t="shared" si="11"/>
        <v>6</v>
      </c>
      <c r="Y16" s="105">
        <f t="shared" ref="Y16" si="28">M16</f>
        <v>18.399999999999999</v>
      </c>
    </row>
    <row r="17" spans="1:25" x14ac:dyDescent="0.25">
      <c r="A17" s="165">
        <v>630</v>
      </c>
      <c r="B17" s="105">
        <f t="shared" si="0"/>
        <v>89</v>
      </c>
      <c r="C17" s="105">
        <v>140</v>
      </c>
      <c r="D17" s="108">
        <v>1</v>
      </c>
      <c r="E17" s="156">
        <v>50</v>
      </c>
      <c r="F17" s="156">
        <v>6</v>
      </c>
      <c r="G17" s="105">
        <v>9.4</v>
      </c>
      <c r="H17" s="105">
        <f t="shared" si="1"/>
        <v>79</v>
      </c>
      <c r="I17" s="105">
        <f t="shared" ref="I17:I27" si="29">C17</f>
        <v>140</v>
      </c>
      <c r="J17" s="110">
        <v>1</v>
      </c>
      <c r="K17" s="105">
        <v>40</v>
      </c>
      <c r="L17" s="105">
        <v>6</v>
      </c>
      <c r="M17" s="105">
        <v>20.6</v>
      </c>
      <c r="N17" s="105">
        <f t="shared" si="2"/>
        <v>89</v>
      </c>
      <c r="O17" s="105">
        <f t="shared" si="3"/>
        <v>140</v>
      </c>
      <c r="P17" s="175">
        <f t="shared" si="4"/>
        <v>1</v>
      </c>
      <c r="Q17" s="175">
        <f t="shared" si="5"/>
        <v>50</v>
      </c>
      <c r="R17" s="175">
        <f t="shared" si="6"/>
        <v>6</v>
      </c>
      <c r="S17" s="105">
        <v>10.9</v>
      </c>
      <c r="T17" s="105">
        <f t="shared" si="7"/>
        <v>79</v>
      </c>
      <c r="U17" s="105">
        <f t="shared" si="8"/>
        <v>140</v>
      </c>
      <c r="V17" s="105">
        <f t="shared" si="9"/>
        <v>1</v>
      </c>
      <c r="W17" s="105">
        <f t="shared" si="10"/>
        <v>40</v>
      </c>
      <c r="X17" s="105">
        <f t="shared" si="11"/>
        <v>6</v>
      </c>
      <c r="Y17" s="105">
        <v>23</v>
      </c>
    </row>
    <row r="18" spans="1:25" x14ac:dyDescent="0.25">
      <c r="A18" s="166">
        <v>800</v>
      </c>
      <c r="B18" s="105">
        <f t="shared" si="0"/>
        <v>104</v>
      </c>
      <c r="C18" s="105">
        <f t="shared" ref="C18:C27" si="30">C17</f>
        <v>140</v>
      </c>
      <c r="D18" s="108">
        <v>1</v>
      </c>
      <c r="E18" s="156">
        <v>65</v>
      </c>
      <c r="F18" s="156">
        <v>6</v>
      </c>
      <c r="G18" s="109">
        <v>10.7</v>
      </c>
      <c r="H18" s="105">
        <f t="shared" si="1"/>
        <v>99</v>
      </c>
      <c r="I18" s="105">
        <f t="shared" si="29"/>
        <v>140</v>
      </c>
      <c r="J18" s="110">
        <v>1</v>
      </c>
      <c r="K18" s="105">
        <v>60</v>
      </c>
      <c r="L18" s="105">
        <f t="shared" ref="L18:L27" si="31">L17</f>
        <v>6</v>
      </c>
      <c r="M18" s="109">
        <v>20.6</v>
      </c>
      <c r="N18" s="105">
        <f t="shared" si="2"/>
        <v>104</v>
      </c>
      <c r="O18" s="105">
        <f t="shared" si="3"/>
        <v>140</v>
      </c>
      <c r="P18" s="108">
        <f t="shared" si="4"/>
        <v>1</v>
      </c>
      <c r="Q18" s="175">
        <f t="shared" si="5"/>
        <v>65</v>
      </c>
      <c r="R18" s="175">
        <f t="shared" si="6"/>
        <v>6</v>
      </c>
      <c r="S18" s="109">
        <v>12.3</v>
      </c>
      <c r="T18" s="105">
        <f t="shared" si="7"/>
        <v>99</v>
      </c>
      <c r="U18" s="105">
        <f t="shared" si="8"/>
        <v>140</v>
      </c>
      <c r="V18" s="105">
        <f t="shared" si="9"/>
        <v>1</v>
      </c>
      <c r="W18" s="105">
        <f t="shared" si="10"/>
        <v>60</v>
      </c>
      <c r="X18" s="105">
        <f t="shared" si="10"/>
        <v>6</v>
      </c>
      <c r="Y18" s="167">
        <v>23</v>
      </c>
    </row>
    <row r="19" spans="1:25" x14ac:dyDescent="0.25">
      <c r="A19" s="166">
        <v>1000</v>
      </c>
      <c r="B19" s="105">
        <f t="shared" si="0"/>
        <v>139</v>
      </c>
      <c r="C19" s="105">
        <f t="shared" si="30"/>
        <v>140</v>
      </c>
      <c r="D19" s="108">
        <v>1</v>
      </c>
      <c r="E19" s="156">
        <v>100</v>
      </c>
      <c r="F19" s="156">
        <v>6</v>
      </c>
      <c r="G19" s="109">
        <v>12.9</v>
      </c>
      <c r="H19" s="105">
        <f t="shared" si="1"/>
        <v>104</v>
      </c>
      <c r="I19" s="105">
        <f t="shared" si="29"/>
        <v>140</v>
      </c>
      <c r="J19" s="110">
        <v>1</v>
      </c>
      <c r="K19" s="105">
        <v>65</v>
      </c>
      <c r="L19" s="105">
        <f t="shared" si="31"/>
        <v>6</v>
      </c>
      <c r="M19" s="105">
        <v>22.6</v>
      </c>
      <c r="N19" s="105">
        <f t="shared" si="2"/>
        <v>139</v>
      </c>
      <c r="O19" s="105">
        <f t="shared" si="3"/>
        <v>140</v>
      </c>
      <c r="P19" s="108">
        <f t="shared" si="4"/>
        <v>1</v>
      </c>
      <c r="Q19" s="175">
        <f t="shared" si="5"/>
        <v>100</v>
      </c>
      <c r="R19" s="175">
        <f t="shared" si="6"/>
        <v>6</v>
      </c>
      <c r="S19" s="109">
        <v>13.7</v>
      </c>
      <c r="T19" s="105">
        <f t="shared" si="7"/>
        <v>104</v>
      </c>
      <c r="U19" s="105">
        <f t="shared" si="8"/>
        <v>140</v>
      </c>
      <c r="V19" s="105">
        <f t="shared" si="9"/>
        <v>1</v>
      </c>
      <c r="W19" s="105">
        <f t="shared" si="10"/>
        <v>65</v>
      </c>
      <c r="X19" s="105">
        <f t="shared" si="10"/>
        <v>6</v>
      </c>
      <c r="Y19" s="167">
        <v>25.6</v>
      </c>
    </row>
    <row r="20" spans="1:25" x14ac:dyDescent="0.25">
      <c r="A20" s="166">
        <v>1250</v>
      </c>
      <c r="B20" s="105">
        <f t="shared" si="0"/>
        <v>169</v>
      </c>
      <c r="C20" s="105">
        <f t="shared" si="30"/>
        <v>140</v>
      </c>
      <c r="D20" s="108">
        <v>1</v>
      </c>
      <c r="E20" s="156">
        <v>130</v>
      </c>
      <c r="F20" s="156">
        <v>6</v>
      </c>
      <c r="G20" s="109">
        <v>15.9</v>
      </c>
      <c r="H20" s="105">
        <f t="shared" si="1"/>
        <v>119</v>
      </c>
      <c r="I20" s="105">
        <f t="shared" si="29"/>
        <v>140</v>
      </c>
      <c r="J20" s="110">
        <v>1</v>
      </c>
      <c r="K20" s="105">
        <v>80</v>
      </c>
      <c r="L20" s="105">
        <f t="shared" si="31"/>
        <v>6</v>
      </c>
      <c r="M20" s="109">
        <v>25.6</v>
      </c>
      <c r="N20" s="105">
        <f t="shared" si="2"/>
        <v>169</v>
      </c>
      <c r="O20" s="105">
        <f t="shared" si="3"/>
        <v>140</v>
      </c>
      <c r="P20" s="108">
        <f t="shared" si="4"/>
        <v>1</v>
      </c>
      <c r="Q20" s="175">
        <f t="shared" si="5"/>
        <v>130</v>
      </c>
      <c r="R20" s="175">
        <f t="shared" si="6"/>
        <v>6</v>
      </c>
      <c r="S20" s="109">
        <v>18.8</v>
      </c>
      <c r="T20" s="105">
        <f t="shared" si="7"/>
        <v>119</v>
      </c>
      <c r="U20" s="105">
        <f t="shared" si="8"/>
        <v>140</v>
      </c>
      <c r="V20" s="105">
        <v>1</v>
      </c>
      <c r="W20" s="105">
        <f t="shared" si="10"/>
        <v>80</v>
      </c>
      <c r="X20" s="105">
        <f t="shared" si="10"/>
        <v>6</v>
      </c>
      <c r="Y20" s="167">
        <v>28.6</v>
      </c>
    </row>
    <row r="21" spans="1:25" x14ac:dyDescent="0.25">
      <c r="A21" s="166">
        <v>1600</v>
      </c>
      <c r="B21" s="105">
        <f t="shared" si="0"/>
        <v>199</v>
      </c>
      <c r="C21" s="105">
        <f t="shared" si="30"/>
        <v>140</v>
      </c>
      <c r="D21" s="108">
        <v>1</v>
      </c>
      <c r="E21" s="156">
        <v>160</v>
      </c>
      <c r="F21" s="156">
        <v>6</v>
      </c>
      <c r="G21" s="109">
        <v>19.399999999999999</v>
      </c>
      <c r="H21" s="105">
        <f t="shared" si="1"/>
        <v>139</v>
      </c>
      <c r="I21" s="105">
        <f t="shared" si="29"/>
        <v>140</v>
      </c>
      <c r="J21" s="110">
        <v>1</v>
      </c>
      <c r="K21" s="105">
        <v>100</v>
      </c>
      <c r="L21" s="105">
        <f t="shared" si="31"/>
        <v>6</v>
      </c>
      <c r="M21" s="109">
        <v>30.9</v>
      </c>
      <c r="N21" s="105">
        <f t="shared" si="2"/>
        <v>199</v>
      </c>
      <c r="O21" s="105">
        <f t="shared" si="3"/>
        <v>140</v>
      </c>
      <c r="P21" s="108">
        <f t="shared" si="4"/>
        <v>1</v>
      </c>
      <c r="Q21" s="175">
        <f t="shared" si="5"/>
        <v>160</v>
      </c>
      <c r="R21" s="175">
        <f t="shared" si="6"/>
        <v>6</v>
      </c>
      <c r="S21" s="109">
        <v>23.1</v>
      </c>
      <c r="T21" s="105">
        <f t="shared" si="7"/>
        <v>139</v>
      </c>
      <c r="U21" s="105">
        <f t="shared" si="8"/>
        <v>140</v>
      </c>
      <c r="V21" s="105">
        <v>1</v>
      </c>
      <c r="W21" s="105">
        <f t="shared" si="10"/>
        <v>100</v>
      </c>
      <c r="X21" s="105">
        <f t="shared" si="10"/>
        <v>6</v>
      </c>
      <c r="Y21" s="167">
        <v>36.9</v>
      </c>
    </row>
    <row r="22" spans="1:25" x14ac:dyDescent="0.25">
      <c r="A22" s="166">
        <v>2000</v>
      </c>
      <c r="B22" s="105">
        <f t="shared" si="0"/>
        <v>239</v>
      </c>
      <c r="C22" s="105">
        <f t="shared" si="30"/>
        <v>140</v>
      </c>
      <c r="D22" s="108">
        <v>1</v>
      </c>
      <c r="E22" s="156">
        <v>200</v>
      </c>
      <c r="F22" s="156">
        <v>6</v>
      </c>
      <c r="G22" s="109">
        <v>23.3</v>
      </c>
      <c r="H22" s="105">
        <f t="shared" si="1"/>
        <v>199</v>
      </c>
      <c r="I22" s="105">
        <f t="shared" si="29"/>
        <v>140</v>
      </c>
      <c r="J22" s="110">
        <v>1</v>
      </c>
      <c r="K22" s="105">
        <v>160</v>
      </c>
      <c r="L22" s="105">
        <f t="shared" si="31"/>
        <v>6</v>
      </c>
      <c r="M22" s="105">
        <v>38.799999999999997</v>
      </c>
      <c r="N22" s="105">
        <f t="shared" si="2"/>
        <v>239</v>
      </c>
      <c r="O22" s="105">
        <f t="shared" si="3"/>
        <v>140</v>
      </c>
      <c r="P22" s="108">
        <f t="shared" si="4"/>
        <v>1</v>
      </c>
      <c r="Q22" s="156">
        <f t="shared" si="5"/>
        <v>200</v>
      </c>
      <c r="R22" s="156">
        <f t="shared" si="6"/>
        <v>6</v>
      </c>
      <c r="S22" s="109">
        <v>27.5</v>
      </c>
      <c r="T22" s="105">
        <f t="shared" si="7"/>
        <v>199</v>
      </c>
      <c r="U22" s="105">
        <f t="shared" si="8"/>
        <v>140</v>
      </c>
      <c r="V22" s="105">
        <v>1</v>
      </c>
      <c r="W22" s="105">
        <f t="shared" si="10"/>
        <v>160</v>
      </c>
      <c r="X22" s="105">
        <f t="shared" si="10"/>
        <v>6</v>
      </c>
      <c r="Y22" s="167">
        <v>46.8</v>
      </c>
    </row>
    <row r="23" spans="1:25" x14ac:dyDescent="0.25">
      <c r="A23" s="166">
        <v>2500</v>
      </c>
      <c r="B23" s="105">
        <f t="shared" ref="B23:B25" si="32">(E23*D23)+18+18+(3*D23)+(3*D23)+40</f>
        <v>348</v>
      </c>
      <c r="C23" s="105">
        <f t="shared" si="30"/>
        <v>140</v>
      </c>
      <c r="D23" s="156">
        <v>2</v>
      </c>
      <c r="E23" s="156">
        <v>130</v>
      </c>
      <c r="F23" s="156">
        <v>6</v>
      </c>
      <c r="G23" s="109">
        <v>33.659999999999997</v>
      </c>
      <c r="H23" s="105">
        <f t="shared" si="1"/>
        <v>239</v>
      </c>
      <c r="I23" s="105">
        <f t="shared" si="29"/>
        <v>140</v>
      </c>
      <c r="J23" s="110">
        <v>1</v>
      </c>
      <c r="K23" s="105">
        <v>200</v>
      </c>
      <c r="L23" s="105">
        <f t="shared" si="31"/>
        <v>6</v>
      </c>
      <c r="M23" s="105">
        <v>46.6</v>
      </c>
      <c r="N23" s="105">
        <f t="shared" si="2"/>
        <v>348</v>
      </c>
      <c r="O23" s="105">
        <f t="shared" si="3"/>
        <v>140</v>
      </c>
      <c r="P23" s="108">
        <f t="shared" si="4"/>
        <v>2</v>
      </c>
      <c r="Q23" s="156">
        <f t="shared" si="5"/>
        <v>130</v>
      </c>
      <c r="R23" s="156">
        <f t="shared" si="6"/>
        <v>6</v>
      </c>
      <c r="S23" s="109">
        <v>39.299999999999997</v>
      </c>
      <c r="T23" s="105">
        <f t="shared" si="7"/>
        <v>239</v>
      </c>
      <c r="U23" s="105">
        <f t="shared" si="8"/>
        <v>140</v>
      </c>
      <c r="V23" s="105">
        <v>1</v>
      </c>
      <c r="W23" s="105">
        <f t="shared" si="10"/>
        <v>200</v>
      </c>
      <c r="X23" s="105">
        <f t="shared" si="10"/>
        <v>6</v>
      </c>
      <c r="Y23" s="168">
        <v>49.8</v>
      </c>
    </row>
    <row r="24" spans="1:25" x14ac:dyDescent="0.25">
      <c r="A24" s="166">
        <v>3200</v>
      </c>
      <c r="B24" s="105">
        <f t="shared" si="32"/>
        <v>408</v>
      </c>
      <c r="C24" s="105">
        <f t="shared" si="30"/>
        <v>140</v>
      </c>
      <c r="D24" s="156">
        <v>2</v>
      </c>
      <c r="E24" s="156">
        <v>160</v>
      </c>
      <c r="F24" s="156">
        <v>6</v>
      </c>
      <c r="G24" s="109">
        <v>39.5</v>
      </c>
      <c r="H24" s="105">
        <f t="shared" ref="H24:H26" si="33">(K24*J24)+18+18+(3*J24)+(3*J24)+40</f>
        <v>348</v>
      </c>
      <c r="I24" s="105">
        <f t="shared" si="29"/>
        <v>140</v>
      </c>
      <c r="J24" s="105">
        <v>2</v>
      </c>
      <c r="K24" s="105">
        <v>130</v>
      </c>
      <c r="L24" s="105">
        <f t="shared" si="31"/>
        <v>6</v>
      </c>
      <c r="M24" s="109">
        <v>62.6</v>
      </c>
      <c r="N24" s="105">
        <f t="shared" si="2"/>
        <v>408</v>
      </c>
      <c r="O24" s="105">
        <f t="shared" si="3"/>
        <v>140</v>
      </c>
      <c r="P24" s="108">
        <f t="shared" si="4"/>
        <v>2</v>
      </c>
      <c r="Q24" s="156">
        <f t="shared" si="5"/>
        <v>160</v>
      </c>
      <c r="R24" s="156">
        <f t="shared" si="6"/>
        <v>6</v>
      </c>
      <c r="S24" s="109">
        <v>46.3</v>
      </c>
      <c r="T24" s="105">
        <f t="shared" si="7"/>
        <v>348</v>
      </c>
      <c r="U24" s="105">
        <f t="shared" si="8"/>
        <v>140</v>
      </c>
      <c r="V24" s="105">
        <f t="shared" si="9"/>
        <v>2</v>
      </c>
      <c r="W24" s="105">
        <f t="shared" si="10"/>
        <v>130</v>
      </c>
      <c r="X24" s="105">
        <f t="shared" si="10"/>
        <v>6</v>
      </c>
      <c r="Y24" s="168">
        <v>74.8</v>
      </c>
    </row>
    <row r="25" spans="1:25" x14ac:dyDescent="0.25">
      <c r="A25" s="166">
        <v>4000</v>
      </c>
      <c r="B25" s="105">
        <f t="shared" si="32"/>
        <v>488</v>
      </c>
      <c r="C25" s="105">
        <f t="shared" si="30"/>
        <v>140</v>
      </c>
      <c r="D25" s="156">
        <v>2</v>
      </c>
      <c r="E25" s="156">
        <v>200</v>
      </c>
      <c r="F25" s="156">
        <v>6</v>
      </c>
      <c r="G25" s="109">
        <v>47.5</v>
      </c>
      <c r="H25" s="105">
        <f t="shared" si="33"/>
        <v>408</v>
      </c>
      <c r="I25" s="105">
        <f t="shared" si="29"/>
        <v>140</v>
      </c>
      <c r="J25" s="105">
        <v>2</v>
      </c>
      <c r="K25" s="105">
        <v>160</v>
      </c>
      <c r="L25" s="105">
        <f t="shared" si="31"/>
        <v>6</v>
      </c>
      <c r="M25" s="105">
        <v>93.9</v>
      </c>
      <c r="N25" s="105">
        <f t="shared" si="2"/>
        <v>488</v>
      </c>
      <c r="O25" s="105">
        <f t="shared" si="3"/>
        <v>140</v>
      </c>
      <c r="P25" s="108">
        <f t="shared" si="4"/>
        <v>2</v>
      </c>
      <c r="Q25" s="156">
        <f t="shared" si="5"/>
        <v>200</v>
      </c>
      <c r="R25" s="156">
        <f t="shared" si="6"/>
        <v>6</v>
      </c>
      <c r="S25" s="109">
        <v>55.3</v>
      </c>
      <c r="T25" s="105">
        <f t="shared" si="7"/>
        <v>408</v>
      </c>
      <c r="U25" s="105">
        <f t="shared" si="8"/>
        <v>140</v>
      </c>
      <c r="V25" s="105">
        <f t="shared" si="9"/>
        <v>2</v>
      </c>
      <c r="W25" s="105">
        <f t="shared" si="10"/>
        <v>160</v>
      </c>
      <c r="X25" s="105">
        <f t="shared" si="10"/>
        <v>6</v>
      </c>
      <c r="Y25" s="167">
        <v>114.7</v>
      </c>
    </row>
    <row r="26" spans="1:25" x14ac:dyDescent="0.25">
      <c r="A26" s="166">
        <v>5000</v>
      </c>
      <c r="B26" s="105">
        <f t="shared" ref="B26:B27" si="34">(E26*D26)+18+18+(3*6)+(3*D26)+(40*3)</f>
        <v>706</v>
      </c>
      <c r="C26" s="105">
        <f t="shared" si="30"/>
        <v>140</v>
      </c>
      <c r="D26" s="156">
        <v>4</v>
      </c>
      <c r="E26" s="156">
        <v>130</v>
      </c>
      <c r="F26" s="156">
        <v>6</v>
      </c>
      <c r="G26" s="109">
        <v>67.400000000000006</v>
      </c>
      <c r="H26" s="105">
        <f t="shared" si="33"/>
        <v>488</v>
      </c>
      <c r="I26" s="105">
        <f t="shared" si="29"/>
        <v>140</v>
      </c>
      <c r="J26" s="105">
        <v>2</v>
      </c>
      <c r="K26" s="105">
        <v>200</v>
      </c>
      <c r="L26" s="105">
        <f t="shared" si="31"/>
        <v>6</v>
      </c>
      <c r="M26" s="109">
        <v>124.6</v>
      </c>
      <c r="N26" s="105">
        <f t="shared" si="2"/>
        <v>706</v>
      </c>
      <c r="O26" s="105">
        <f t="shared" si="3"/>
        <v>140</v>
      </c>
      <c r="P26" s="108">
        <f t="shared" si="4"/>
        <v>4</v>
      </c>
      <c r="Q26" s="156">
        <f t="shared" si="5"/>
        <v>130</v>
      </c>
      <c r="R26" s="156">
        <f t="shared" si="6"/>
        <v>6</v>
      </c>
      <c r="S26" s="109">
        <v>77.3</v>
      </c>
      <c r="T26" s="105">
        <f t="shared" si="7"/>
        <v>488</v>
      </c>
      <c r="U26" s="105">
        <f t="shared" si="8"/>
        <v>140</v>
      </c>
      <c r="V26" s="105">
        <f t="shared" si="9"/>
        <v>2</v>
      </c>
      <c r="W26" s="105">
        <f t="shared" si="10"/>
        <v>200</v>
      </c>
      <c r="X26" s="105">
        <f t="shared" si="10"/>
        <v>6</v>
      </c>
      <c r="Y26" s="168">
        <v>152.6</v>
      </c>
    </row>
    <row r="27" spans="1:25" ht="15.75" thickBot="1" x14ac:dyDescent="0.3">
      <c r="A27" s="169">
        <v>6300</v>
      </c>
      <c r="B27" s="170">
        <f t="shared" si="34"/>
        <v>826</v>
      </c>
      <c r="C27" s="170">
        <f t="shared" si="30"/>
        <v>140</v>
      </c>
      <c r="D27" s="171">
        <v>4</v>
      </c>
      <c r="E27" s="171">
        <v>160</v>
      </c>
      <c r="F27" s="171">
        <v>6</v>
      </c>
      <c r="G27" s="172">
        <v>74.7</v>
      </c>
      <c r="H27" s="170">
        <f>(K27*J27)+18+18+(3*4)+(3*J27)+40*2</f>
        <v>737</v>
      </c>
      <c r="I27" s="170">
        <f t="shared" si="29"/>
        <v>140</v>
      </c>
      <c r="J27" s="170">
        <v>3</v>
      </c>
      <c r="K27" s="170">
        <v>200</v>
      </c>
      <c r="L27" s="170">
        <f t="shared" si="31"/>
        <v>6</v>
      </c>
      <c r="M27" s="170">
        <v>156.1</v>
      </c>
      <c r="N27" s="170">
        <f t="shared" si="2"/>
        <v>826</v>
      </c>
      <c r="O27" s="170">
        <f t="shared" si="3"/>
        <v>140</v>
      </c>
      <c r="P27" s="173">
        <f t="shared" si="4"/>
        <v>4</v>
      </c>
      <c r="Q27" s="171">
        <f t="shared" si="5"/>
        <v>160</v>
      </c>
      <c r="R27" s="171">
        <f t="shared" si="6"/>
        <v>6</v>
      </c>
      <c r="S27" s="172">
        <v>90.7</v>
      </c>
      <c r="T27" s="170">
        <f t="shared" si="7"/>
        <v>737</v>
      </c>
      <c r="U27" s="170">
        <f t="shared" si="8"/>
        <v>140</v>
      </c>
      <c r="V27" s="170">
        <f t="shared" si="9"/>
        <v>3</v>
      </c>
      <c r="W27" s="170">
        <f t="shared" si="10"/>
        <v>200</v>
      </c>
      <c r="X27" s="170">
        <f t="shared" si="10"/>
        <v>6</v>
      </c>
      <c r="Y27" s="174">
        <v>168.1</v>
      </c>
    </row>
    <row r="28" spans="1:25" x14ac:dyDescent="0.25">
      <c r="A28" s="185" t="s">
        <v>54</v>
      </c>
      <c r="B28" s="187" t="s">
        <v>18</v>
      </c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</row>
    <row r="29" spans="1:25" x14ac:dyDescent="0.25">
      <c r="A29" s="185"/>
      <c r="B29" s="188" t="s">
        <v>19</v>
      </c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</row>
    <row r="30" spans="1:25" x14ac:dyDescent="0.25">
      <c r="A30" s="185"/>
      <c r="B30" s="188" t="s">
        <v>20</v>
      </c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</row>
    <row r="31" spans="1:25" x14ac:dyDescent="0.25">
      <c r="A31" s="186"/>
      <c r="B31" s="188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</row>
    <row r="32" spans="1:25" x14ac:dyDescent="0.25">
      <c r="A32" s="152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</row>
    <row r="33" spans="1:25" ht="15.75" thickBot="1" x14ac:dyDescent="0.3">
      <c r="A33" s="152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</row>
    <row r="34" spans="1:25" ht="33" customHeight="1" x14ac:dyDescent="0.25">
      <c r="A34" s="189" t="s">
        <v>58</v>
      </c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1"/>
    </row>
    <row r="35" spans="1:25" x14ac:dyDescent="0.25">
      <c r="A35" s="159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1"/>
    </row>
    <row r="36" spans="1:25" ht="18.75" x14ac:dyDescent="0.25">
      <c r="A36" s="159"/>
      <c r="B36" s="160"/>
      <c r="C36" s="160"/>
      <c r="D36" s="192" t="s">
        <v>0</v>
      </c>
      <c r="E36" s="192"/>
      <c r="F36" s="192"/>
      <c r="G36" s="192"/>
      <c r="H36" s="192"/>
      <c r="I36" s="192"/>
      <c r="J36" s="192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1"/>
    </row>
    <row r="37" spans="1:25" ht="15" customHeight="1" x14ac:dyDescent="0.25">
      <c r="A37" s="159"/>
      <c r="B37" s="160"/>
      <c r="C37" s="160"/>
      <c r="D37" s="192" t="s">
        <v>1</v>
      </c>
      <c r="E37" s="192"/>
      <c r="F37" s="192"/>
      <c r="G37" s="192"/>
      <c r="H37" s="192"/>
      <c r="I37" s="192"/>
      <c r="J37" s="192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1"/>
    </row>
    <row r="38" spans="1:25" x14ac:dyDescent="0.25">
      <c r="A38" s="159"/>
      <c r="B38" s="160"/>
      <c r="C38" s="160"/>
      <c r="D38" s="193" t="s">
        <v>2</v>
      </c>
      <c r="E38" s="194"/>
      <c r="F38" s="194"/>
      <c r="G38" s="194"/>
      <c r="H38" s="194"/>
      <c r="I38" s="194"/>
      <c r="J38" s="195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1"/>
    </row>
    <row r="39" spans="1:25" x14ac:dyDescent="0.25">
      <c r="A39" s="159"/>
      <c r="B39" s="160"/>
      <c r="C39" s="160"/>
      <c r="D39" s="193" t="s">
        <v>3</v>
      </c>
      <c r="E39" s="194"/>
      <c r="F39" s="195"/>
      <c r="G39" s="193" t="s">
        <v>4</v>
      </c>
      <c r="H39" s="194"/>
      <c r="I39" s="194"/>
      <c r="J39" s="195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1"/>
    </row>
    <row r="40" spans="1:25" x14ac:dyDescent="0.25">
      <c r="A40" s="159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1"/>
    </row>
    <row r="41" spans="1:25" x14ac:dyDescent="0.25">
      <c r="A41" s="196" t="s">
        <v>5</v>
      </c>
      <c r="B41" s="197" t="s">
        <v>6</v>
      </c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 t="s">
        <v>7</v>
      </c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8"/>
    </row>
    <row r="42" spans="1:25" x14ac:dyDescent="0.25">
      <c r="A42" s="196"/>
      <c r="B42" s="197" t="s">
        <v>8</v>
      </c>
      <c r="C42" s="197"/>
      <c r="D42" s="197"/>
      <c r="E42" s="197"/>
      <c r="F42" s="197"/>
      <c r="G42" s="197"/>
      <c r="H42" s="197" t="s">
        <v>9</v>
      </c>
      <c r="I42" s="197"/>
      <c r="J42" s="197"/>
      <c r="K42" s="197"/>
      <c r="L42" s="197"/>
      <c r="M42" s="197"/>
      <c r="N42" s="197" t="s">
        <v>8</v>
      </c>
      <c r="O42" s="197"/>
      <c r="P42" s="197"/>
      <c r="Q42" s="197"/>
      <c r="R42" s="197"/>
      <c r="S42" s="197"/>
      <c r="T42" s="197" t="s">
        <v>9</v>
      </c>
      <c r="U42" s="197"/>
      <c r="V42" s="197"/>
      <c r="W42" s="197"/>
      <c r="X42" s="197"/>
      <c r="Y42" s="198"/>
    </row>
    <row r="43" spans="1:25" ht="30" x14ac:dyDescent="0.25">
      <c r="A43" s="196"/>
      <c r="B43" s="156" t="s">
        <v>10</v>
      </c>
      <c r="C43" s="156" t="s">
        <v>11</v>
      </c>
      <c r="D43" s="197" t="s">
        <v>12</v>
      </c>
      <c r="E43" s="197"/>
      <c r="F43" s="197"/>
      <c r="G43" s="108" t="s">
        <v>13</v>
      </c>
      <c r="H43" s="156" t="s">
        <v>10</v>
      </c>
      <c r="I43" s="156" t="s">
        <v>11</v>
      </c>
      <c r="J43" s="197" t="s">
        <v>12</v>
      </c>
      <c r="K43" s="197"/>
      <c r="L43" s="197"/>
      <c r="M43" s="108" t="s">
        <v>13</v>
      </c>
      <c r="N43" s="156" t="s">
        <v>10</v>
      </c>
      <c r="O43" s="156" t="s">
        <v>11</v>
      </c>
      <c r="P43" s="197" t="s">
        <v>12</v>
      </c>
      <c r="Q43" s="197"/>
      <c r="R43" s="197"/>
      <c r="S43" s="108" t="s">
        <v>13</v>
      </c>
      <c r="T43" s="156" t="s">
        <v>10</v>
      </c>
      <c r="U43" s="156" t="s">
        <v>11</v>
      </c>
      <c r="V43" s="197" t="s">
        <v>12</v>
      </c>
      <c r="W43" s="197"/>
      <c r="X43" s="197"/>
      <c r="Y43" s="162" t="s">
        <v>13</v>
      </c>
    </row>
    <row r="44" spans="1:25" ht="30" x14ac:dyDescent="0.25">
      <c r="A44" s="163"/>
      <c r="B44" s="105"/>
      <c r="C44" s="105"/>
      <c r="D44" s="108" t="s">
        <v>14</v>
      </c>
      <c r="E44" s="108" t="s">
        <v>15</v>
      </c>
      <c r="F44" s="108" t="s">
        <v>16</v>
      </c>
      <c r="G44" s="106"/>
      <c r="H44" s="105"/>
      <c r="I44" s="105"/>
      <c r="J44" s="108" t="s">
        <v>14</v>
      </c>
      <c r="K44" s="108" t="s">
        <v>15</v>
      </c>
      <c r="L44" s="108" t="s">
        <v>16</v>
      </c>
      <c r="M44" s="106"/>
      <c r="N44" s="105"/>
      <c r="O44" s="105"/>
      <c r="P44" s="108" t="s">
        <v>14</v>
      </c>
      <c r="Q44" s="108" t="s">
        <v>15</v>
      </c>
      <c r="R44" s="108" t="s">
        <v>16</v>
      </c>
      <c r="S44" s="106"/>
      <c r="T44" s="105"/>
      <c r="U44" s="105"/>
      <c r="V44" s="108" t="s">
        <v>14</v>
      </c>
      <c r="W44" s="108" t="s">
        <v>15</v>
      </c>
      <c r="X44" s="108" t="s">
        <v>16</v>
      </c>
      <c r="Y44" s="164"/>
    </row>
    <row r="45" spans="1:25" x14ac:dyDescent="0.25">
      <c r="A45" s="165">
        <v>160</v>
      </c>
      <c r="B45" s="105">
        <f>E45+16.5+16.5+6</f>
        <v>69</v>
      </c>
      <c r="C45" s="105">
        <v>140</v>
      </c>
      <c r="D45" s="108">
        <v>1</v>
      </c>
      <c r="E45" s="108">
        <v>30</v>
      </c>
      <c r="F45" s="108">
        <v>6</v>
      </c>
      <c r="G45" s="106"/>
      <c r="H45" s="105">
        <f t="shared" ref="H45:H48" si="35">K45+18+18+3</f>
        <v>69</v>
      </c>
      <c r="I45" s="105">
        <v>140</v>
      </c>
      <c r="J45" s="110">
        <v>1</v>
      </c>
      <c r="K45" s="110">
        <v>30</v>
      </c>
      <c r="L45" s="105">
        <v>6</v>
      </c>
      <c r="M45" s="106"/>
      <c r="N45" s="105">
        <f t="shared" ref="N45:N48" si="36">B45</f>
        <v>69</v>
      </c>
      <c r="O45" s="105">
        <f t="shared" ref="O45:O48" si="37">C45</f>
        <v>140</v>
      </c>
      <c r="P45" s="108">
        <f t="shared" ref="P45:P48" si="38">D45</f>
        <v>1</v>
      </c>
      <c r="Q45" s="156">
        <f t="shared" ref="Q45:Q48" si="39">E45</f>
        <v>30</v>
      </c>
      <c r="R45" s="156">
        <f t="shared" ref="R45:R48" si="40">F45</f>
        <v>6</v>
      </c>
      <c r="S45" s="106"/>
      <c r="T45" s="105">
        <f t="shared" ref="T45:T48" si="41">H45</f>
        <v>69</v>
      </c>
      <c r="U45" s="105">
        <f t="shared" ref="U45:U48" si="42">C45</f>
        <v>140</v>
      </c>
      <c r="V45" s="105">
        <f t="shared" ref="V45:V48" si="43">J45</f>
        <v>1</v>
      </c>
      <c r="W45" s="105">
        <f t="shared" ref="W45:W48" si="44">K45</f>
        <v>30</v>
      </c>
      <c r="X45" s="105">
        <f t="shared" ref="X45:X48" si="45">L45</f>
        <v>6</v>
      </c>
      <c r="Y45" s="164"/>
    </row>
    <row r="46" spans="1:25" x14ac:dyDescent="0.25">
      <c r="A46" s="165">
        <v>250</v>
      </c>
      <c r="B46" s="105">
        <f t="shared" ref="B46:B55" si="46">E46+16.5+16.5+6</f>
        <v>69</v>
      </c>
      <c r="C46" s="105">
        <v>140</v>
      </c>
      <c r="D46" s="108">
        <v>1</v>
      </c>
      <c r="E46" s="108">
        <v>30</v>
      </c>
      <c r="F46" s="108">
        <v>6</v>
      </c>
      <c r="G46" s="106"/>
      <c r="H46" s="105">
        <f t="shared" si="35"/>
        <v>69</v>
      </c>
      <c r="I46" s="105">
        <v>140</v>
      </c>
      <c r="J46" s="110">
        <v>1</v>
      </c>
      <c r="K46" s="110">
        <v>30</v>
      </c>
      <c r="L46" s="105">
        <v>6</v>
      </c>
      <c r="M46" s="106"/>
      <c r="N46" s="105">
        <f t="shared" si="36"/>
        <v>69</v>
      </c>
      <c r="O46" s="105">
        <f t="shared" si="37"/>
        <v>140</v>
      </c>
      <c r="P46" s="108">
        <f t="shared" si="38"/>
        <v>1</v>
      </c>
      <c r="Q46" s="156">
        <f t="shared" si="39"/>
        <v>30</v>
      </c>
      <c r="R46" s="156">
        <f t="shared" si="40"/>
        <v>6</v>
      </c>
      <c r="S46" s="106"/>
      <c r="T46" s="105">
        <f t="shared" si="41"/>
        <v>69</v>
      </c>
      <c r="U46" s="105">
        <f t="shared" si="42"/>
        <v>140</v>
      </c>
      <c r="V46" s="105">
        <f t="shared" si="43"/>
        <v>1</v>
      </c>
      <c r="W46" s="105">
        <f t="shared" si="44"/>
        <v>30</v>
      </c>
      <c r="X46" s="105">
        <f t="shared" si="45"/>
        <v>6</v>
      </c>
      <c r="Y46" s="164"/>
    </row>
    <row r="47" spans="1:25" x14ac:dyDescent="0.25">
      <c r="A47" s="165">
        <v>315</v>
      </c>
      <c r="B47" s="105">
        <f t="shared" si="46"/>
        <v>69</v>
      </c>
      <c r="C47" s="105">
        <v>140</v>
      </c>
      <c r="D47" s="108">
        <v>1</v>
      </c>
      <c r="E47" s="108">
        <v>30</v>
      </c>
      <c r="F47" s="108">
        <v>6</v>
      </c>
      <c r="G47" s="106"/>
      <c r="H47" s="105">
        <f t="shared" si="35"/>
        <v>69</v>
      </c>
      <c r="I47" s="105">
        <v>140</v>
      </c>
      <c r="J47" s="110">
        <v>1</v>
      </c>
      <c r="K47" s="110">
        <v>30</v>
      </c>
      <c r="L47" s="105">
        <v>6</v>
      </c>
      <c r="M47" s="106"/>
      <c r="N47" s="105">
        <f t="shared" si="36"/>
        <v>69</v>
      </c>
      <c r="O47" s="105">
        <f t="shared" si="37"/>
        <v>140</v>
      </c>
      <c r="P47" s="108">
        <f t="shared" si="38"/>
        <v>1</v>
      </c>
      <c r="Q47" s="156">
        <f t="shared" si="39"/>
        <v>30</v>
      </c>
      <c r="R47" s="156">
        <f t="shared" si="40"/>
        <v>6</v>
      </c>
      <c r="S47" s="106"/>
      <c r="T47" s="105">
        <f t="shared" si="41"/>
        <v>69</v>
      </c>
      <c r="U47" s="105">
        <f t="shared" si="42"/>
        <v>140</v>
      </c>
      <c r="V47" s="105">
        <f t="shared" si="43"/>
        <v>1</v>
      </c>
      <c r="W47" s="105">
        <f t="shared" si="44"/>
        <v>30</v>
      </c>
      <c r="X47" s="105">
        <f t="shared" si="45"/>
        <v>6</v>
      </c>
      <c r="Y47" s="164"/>
    </row>
    <row r="48" spans="1:25" x14ac:dyDescent="0.25">
      <c r="A48" s="165">
        <v>400</v>
      </c>
      <c r="B48" s="105">
        <f t="shared" si="46"/>
        <v>69</v>
      </c>
      <c r="C48" s="105">
        <v>140</v>
      </c>
      <c r="D48" s="108">
        <v>1</v>
      </c>
      <c r="E48" s="108">
        <v>30</v>
      </c>
      <c r="F48" s="108">
        <v>6</v>
      </c>
      <c r="G48" s="106"/>
      <c r="H48" s="105">
        <f t="shared" si="35"/>
        <v>69</v>
      </c>
      <c r="I48" s="105">
        <v>140</v>
      </c>
      <c r="J48" s="110">
        <v>1</v>
      </c>
      <c r="K48" s="110">
        <v>30</v>
      </c>
      <c r="L48" s="105">
        <v>6</v>
      </c>
      <c r="M48" s="106"/>
      <c r="N48" s="105">
        <f t="shared" si="36"/>
        <v>69</v>
      </c>
      <c r="O48" s="105">
        <f t="shared" si="37"/>
        <v>140</v>
      </c>
      <c r="P48" s="108">
        <f t="shared" si="38"/>
        <v>1</v>
      </c>
      <c r="Q48" s="156">
        <f t="shared" si="39"/>
        <v>30</v>
      </c>
      <c r="R48" s="156">
        <f t="shared" si="40"/>
        <v>6</v>
      </c>
      <c r="S48" s="106"/>
      <c r="T48" s="105">
        <f t="shared" si="41"/>
        <v>69</v>
      </c>
      <c r="U48" s="105">
        <f t="shared" si="42"/>
        <v>140</v>
      </c>
      <c r="V48" s="105">
        <f t="shared" si="43"/>
        <v>1</v>
      </c>
      <c r="W48" s="105">
        <f t="shared" si="44"/>
        <v>30</v>
      </c>
      <c r="X48" s="105">
        <f t="shared" si="45"/>
        <v>6</v>
      </c>
      <c r="Y48" s="164"/>
    </row>
    <row r="49" spans="1:25" x14ac:dyDescent="0.25">
      <c r="A49" s="165">
        <v>500</v>
      </c>
      <c r="B49" s="105">
        <f t="shared" si="46"/>
        <v>79</v>
      </c>
      <c r="C49" s="105">
        <v>140</v>
      </c>
      <c r="D49" s="108">
        <v>1</v>
      </c>
      <c r="E49" s="108">
        <v>40</v>
      </c>
      <c r="F49" s="108">
        <v>6</v>
      </c>
      <c r="G49" s="106"/>
      <c r="H49" s="105">
        <f t="shared" ref="H49" si="47">K49+18+18+3</f>
        <v>69</v>
      </c>
      <c r="I49" s="105">
        <v>140</v>
      </c>
      <c r="J49" s="110">
        <v>1</v>
      </c>
      <c r="K49" s="110">
        <v>30</v>
      </c>
      <c r="L49" s="105">
        <v>6</v>
      </c>
      <c r="M49" s="106"/>
      <c r="N49" s="105">
        <f t="shared" ref="N49" si="48">B49</f>
        <v>79</v>
      </c>
      <c r="O49" s="105">
        <f t="shared" ref="O49" si="49">C49</f>
        <v>140</v>
      </c>
      <c r="P49" s="108">
        <f t="shared" ref="P49" si="50">D49</f>
        <v>1</v>
      </c>
      <c r="Q49" s="156">
        <f t="shared" ref="Q49" si="51">E49</f>
        <v>40</v>
      </c>
      <c r="R49" s="156">
        <f t="shared" ref="R49" si="52">F49</f>
        <v>6</v>
      </c>
      <c r="S49" s="106"/>
      <c r="T49" s="105">
        <f t="shared" ref="T49" si="53">H49</f>
        <v>69</v>
      </c>
      <c r="U49" s="105">
        <f t="shared" ref="U49" si="54">C49</f>
        <v>140</v>
      </c>
      <c r="V49" s="105">
        <f t="shared" ref="V49" si="55">J49</f>
        <v>1</v>
      </c>
      <c r="W49" s="105">
        <f t="shared" ref="W49" si="56">K49</f>
        <v>30</v>
      </c>
      <c r="X49" s="105">
        <f t="shared" ref="X49" si="57">L49</f>
        <v>6</v>
      </c>
      <c r="Y49" s="164"/>
    </row>
    <row r="50" spans="1:25" x14ac:dyDescent="0.25">
      <c r="A50" s="165">
        <v>630</v>
      </c>
      <c r="B50" s="105">
        <f t="shared" si="46"/>
        <v>89</v>
      </c>
      <c r="C50" s="105">
        <v>140</v>
      </c>
      <c r="D50" s="108">
        <v>1</v>
      </c>
      <c r="E50" s="156">
        <v>50</v>
      </c>
      <c r="F50" s="156">
        <v>6</v>
      </c>
      <c r="G50" s="105"/>
      <c r="H50" s="105">
        <f t="shared" ref="H50:H56" si="58">K50+18+18+3</f>
        <v>79</v>
      </c>
      <c r="I50" s="105">
        <f t="shared" ref="I50:I60" si="59">C50</f>
        <v>140</v>
      </c>
      <c r="J50" s="110">
        <v>1</v>
      </c>
      <c r="K50" s="105">
        <v>40</v>
      </c>
      <c r="L50" s="105">
        <v>6</v>
      </c>
      <c r="M50" s="105"/>
      <c r="N50" s="105">
        <f t="shared" ref="N50:N60" si="60">B50</f>
        <v>89</v>
      </c>
      <c r="O50" s="105">
        <f t="shared" ref="O50:O60" si="61">C50</f>
        <v>140</v>
      </c>
      <c r="P50" s="108">
        <f t="shared" ref="P50:P60" si="62">D50</f>
        <v>1</v>
      </c>
      <c r="Q50" s="156">
        <f t="shared" ref="Q50:Q60" si="63">E50</f>
        <v>50</v>
      </c>
      <c r="R50" s="156">
        <f t="shared" ref="R50:R60" si="64">F50</f>
        <v>6</v>
      </c>
      <c r="S50" s="105"/>
      <c r="T50" s="105">
        <f t="shared" ref="T50:T60" si="65">H50</f>
        <v>79</v>
      </c>
      <c r="U50" s="105">
        <f t="shared" ref="U50:U60" si="66">C50</f>
        <v>140</v>
      </c>
      <c r="V50" s="105">
        <f t="shared" ref="V50:V52" si="67">J50</f>
        <v>1</v>
      </c>
      <c r="W50" s="105">
        <f t="shared" ref="W50:W60" si="68">K50</f>
        <v>40</v>
      </c>
      <c r="X50" s="105">
        <f t="shared" ref="X50:X60" si="69">L50</f>
        <v>6</v>
      </c>
      <c r="Y50" s="167"/>
    </row>
    <row r="51" spans="1:25" x14ac:dyDescent="0.25">
      <c r="A51" s="166">
        <v>800</v>
      </c>
      <c r="B51" s="105">
        <f>E51+16.5+16.5+6</f>
        <v>104</v>
      </c>
      <c r="C51" s="105">
        <v>140</v>
      </c>
      <c r="D51" s="108">
        <v>1</v>
      </c>
      <c r="E51" s="156">
        <v>65</v>
      </c>
      <c r="F51" s="156">
        <v>6</v>
      </c>
      <c r="G51" s="109"/>
      <c r="H51" s="105">
        <f t="shared" si="58"/>
        <v>99</v>
      </c>
      <c r="I51" s="105">
        <f t="shared" si="59"/>
        <v>140</v>
      </c>
      <c r="J51" s="110">
        <v>1</v>
      </c>
      <c r="K51" s="105">
        <v>60</v>
      </c>
      <c r="L51" s="105">
        <f t="shared" ref="L51:L60" si="70">L50</f>
        <v>6</v>
      </c>
      <c r="M51" s="109"/>
      <c r="N51" s="105">
        <f t="shared" si="60"/>
        <v>104</v>
      </c>
      <c r="O51" s="105">
        <f t="shared" si="61"/>
        <v>140</v>
      </c>
      <c r="P51" s="108">
        <f t="shared" si="62"/>
        <v>1</v>
      </c>
      <c r="Q51" s="156">
        <f t="shared" si="63"/>
        <v>65</v>
      </c>
      <c r="R51" s="156">
        <f t="shared" si="64"/>
        <v>6</v>
      </c>
      <c r="S51" s="109"/>
      <c r="T51" s="105">
        <f t="shared" si="65"/>
        <v>99</v>
      </c>
      <c r="U51" s="105">
        <f t="shared" si="66"/>
        <v>140</v>
      </c>
      <c r="V51" s="105">
        <f t="shared" si="67"/>
        <v>1</v>
      </c>
      <c r="W51" s="105">
        <f t="shared" si="68"/>
        <v>60</v>
      </c>
      <c r="X51" s="105">
        <f t="shared" si="69"/>
        <v>6</v>
      </c>
      <c r="Y51" s="167"/>
    </row>
    <row r="52" spans="1:25" x14ac:dyDescent="0.25">
      <c r="A52" s="166">
        <v>1000</v>
      </c>
      <c r="B52" s="105">
        <f t="shared" si="46"/>
        <v>139</v>
      </c>
      <c r="C52" s="105">
        <v>140</v>
      </c>
      <c r="D52" s="108">
        <v>1</v>
      </c>
      <c r="E52" s="156">
        <v>100</v>
      </c>
      <c r="F52" s="156">
        <v>6</v>
      </c>
      <c r="G52" s="109"/>
      <c r="H52" s="105">
        <f t="shared" si="58"/>
        <v>104</v>
      </c>
      <c r="I52" s="105">
        <f t="shared" si="59"/>
        <v>140</v>
      </c>
      <c r="J52" s="110">
        <v>1</v>
      </c>
      <c r="K52" s="105">
        <v>65</v>
      </c>
      <c r="L52" s="105">
        <f t="shared" si="70"/>
        <v>6</v>
      </c>
      <c r="M52" s="105"/>
      <c r="N52" s="105">
        <f t="shared" si="60"/>
        <v>139</v>
      </c>
      <c r="O52" s="105">
        <f t="shared" si="61"/>
        <v>140</v>
      </c>
      <c r="P52" s="108">
        <f t="shared" si="62"/>
        <v>1</v>
      </c>
      <c r="Q52" s="156">
        <f t="shared" si="63"/>
        <v>100</v>
      </c>
      <c r="R52" s="156">
        <f t="shared" si="64"/>
        <v>6</v>
      </c>
      <c r="S52" s="109"/>
      <c r="T52" s="105">
        <f t="shared" si="65"/>
        <v>104</v>
      </c>
      <c r="U52" s="105">
        <f t="shared" si="66"/>
        <v>140</v>
      </c>
      <c r="V52" s="105">
        <f t="shared" si="67"/>
        <v>1</v>
      </c>
      <c r="W52" s="105">
        <f t="shared" si="68"/>
        <v>65</v>
      </c>
      <c r="X52" s="105">
        <f t="shared" si="69"/>
        <v>6</v>
      </c>
      <c r="Y52" s="167"/>
    </row>
    <row r="53" spans="1:25" x14ac:dyDescent="0.25">
      <c r="A53" s="166">
        <v>1250</v>
      </c>
      <c r="B53" s="105">
        <f t="shared" si="46"/>
        <v>169</v>
      </c>
      <c r="C53" s="105">
        <v>140</v>
      </c>
      <c r="D53" s="108">
        <v>1</v>
      </c>
      <c r="E53" s="156">
        <v>130</v>
      </c>
      <c r="F53" s="156">
        <v>6</v>
      </c>
      <c r="G53" s="109"/>
      <c r="H53" s="105">
        <f t="shared" si="58"/>
        <v>119</v>
      </c>
      <c r="I53" s="105">
        <f t="shared" si="59"/>
        <v>140</v>
      </c>
      <c r="J53" s="110">
        <v>1</v>
      </c>
      <c r="K53" s="105">
        <v>80</v>
      </c>
      <c r="L53" s="105">
        <f t="shared" si="70"/>
        <v>6</v>
      </c>
      <c r="M53" s="109"/>
      <c r="N53" s="105">
        <f t="shared" si="60"/>
        <v>169</v>
      </c>
      <c r="O53" s="105">
        <f t="shared" si="61"/>
        <v>140</v>
      </c>
      <c r="P53" s="108">
        <f t="shared" si="62"/>
        <v>1</v>
      </c>
      <c r="Q53" s="156">
        <f t="shared" si="63"/>
        <v>130</v>
      </c>
      <c r="R53" s="156">
        <f t="shared" si="64"/>
        <v>6</v>
      </c>
      <c r="S53" s="109"/>
      <c r="T53" s="105">
        <f t="shared" si="65"/>
        <v>119</v>
      </c>
      <c r="U53" s="105">
        <f t="shared" si="66"/>
        <v>140</v>
      </c>
      <c r="V53" s="105">
        <v>1</v>
      </c>
      <c r="W53" s="105">
        <f t="shared" si="68"/>
        <v>80</v>
      </c>
      <c r="X53" s="105">
        <f t="shared" si="69"/>
        <v>6</v>
      </c>
      <c r="Y53" s="167"/>
    </row>
    <row r="54" spans="1:25" x14ac:dyDescent="0.25">
      <c r="A54" s="166">
        <v>1600</v>
      </c>
      <c r="B54" s="105">
        <f t="shared" si="46"/>
        <v>199</v>
      </c>
      <c r="C54" s="105">
        <v>140</v>
      </c>
      <c r="D54" s="108">
        <v>1</v>
      </c>
      <c r="E54" s="156">
        <v>160</v>
      </c>
      <c r="F54" s="156">
        <v>6</v>
      </c>
      <c r="G54" s="109"/>
      <c r="H54" s="105">
        <f t="shared" si="58"/>
        <v>139</v>
      </c>
      <c r="I54" s="105">
        <f t="shared" si="59"/>
        <v>140</v>
      </c>
      <c r="J54" s="110">
        <v>1</v>
      </c>
      <c r="K54" s="105">
        <v>100</v>
      </c>
      <c r="L54" s="105">
        <f t="shared" si="70"/>
        <v>6</v>
      </c>
      <c r="M54" s="109"/>
      <c r="N54" s="105">
        <f t="shared" si="60"/>
        <v>199</v>
      </c>
      <c r="O54" s="105">
        <f t="shared" si="61"/>
        <v>140</v>
      </c>
      <c r="P54" s="108">
        <f t="shared" si="62"/>
        <v>1</v>
      </c>
      <c r="Q54" s="156">
        <f t="shared" si="63"/>
        <v>160</v>
      </c>
      <c r="R54" s="156">
        <f t="shared" si="64"/>
        <v>6</v>
      </c>
      <c r="S54" s="109"/>
      <c r="T54" s="105">
        <f t="shared" si="65"/>
        <v>139</v>
      </c>
      <c r="U54" s="105">
        <f t="shared" si="66"/>
        <v>140</v>
      </c>
      <c r="V54" s="105">
        <v>1</v>
      </c>
      <c r="W54" s="105">
        <f t="shared" si="68"/>
        <v>100</v>
      </c>
      <c r="X54" s="105">
        <f t="shared" si="69"/>
        <v>6</v>
      </c>
      <c r="Y54" s="167"/>
    </row>
    <row r="55" spans="1:25" x14ac:dyDescent="0.25">
      <c r="A55" s="166">
        <v>2000</v>
      </c>
      <c r="B55" s="105">
        <f t="shared" si="46"/>
        <v>239</v>
      </c>
      <c r="C55" s="105">
        <f t="shared" ref="C55:C60" si="71">C54</f>
        <v>140</v>
      </c>
      <c r="D55" s="108">
        <v>1</v>
      </c>
      <c r="E55" s="156">
        <v>200</v>
      </c>
      <c r="F55" s="156">
        <v>6</v>
      </c>
      <c r="G55" s="109"/>
      <c r="H55" s="105">
        <f t="shared" si="58"/>
        <v>199</v>
      </c>
      <c r="I55" s="105">
        <f t="shared" si="59"/>
        <v>140</v>
      </c>
      <c r="J55" s="110">
        <v>1</v>
      </c>
      <c r="K55" s="105">
        <v>160</v>
      </c>
      <c r="L55" s="105">
        <f t="shared" si="70"/>
        <v>6</v>
      </c>
      <c r="M55" s="105"/>
      <c r="N55" s="105">
        <f t="shared" si="60"/>
        <v>239</v>
      </c>
      <c r="O55" s="105">
        <f t="shared" si="61"/>
        <v>140</v>
      </c>
      <c r="P55" s="108">
        <f t="shared" si="62"/>
        <v>1</v>
      </c>
      <c r="Q55" s="156">
        <f t="shared" si="63"/>
        <v>200</v>
      </c>
      <c r="R55" s="156">
        <f t="shared" si="64"/>
        <v>6</v>
      </c>
      <c r="S55" s="109"/>
      <c r="T55" s="105">
        <f t="shared" si="65"/>
        <v>199</v>
      </c>
      <c r="U55" s="105">
        <f t="shared" si="66"/>
        <v>140</v>
      </c>
      <c r="V55" s="105">
        <v>1</v>
      </c>
      <c r="W55" s="105">
        <f t="shared" si="68"/>
        <v>160</v>
      </c>
      <c r="X55" s="105">
        <f t="shared" si="69"/>
        <v>6</v>
      </c>
      <c r="Y55" s="167"/>
    </row>
    <row r="56" spans="1:25" x14ac:dyDescent="0.25">
      <c r="A56" s="166">
        <v>2500</v>
      </c>
      <c r="B56" s="105">
        <f>(E56*D56)+(16.5*4)+(3*4)+15</f>
        <v>353</v>
      </c>
      <c r="C56" s="105">
        <f t="shared" si="71"/>
        <v>140</v>
      </c>
      <c r="D56" s="156">
        <v>2</v>
      </c>
      <c r="E56" s="156">
        <v>130</v>
      </c>
      <c r="F56" s="156">
        <v>6</v>
      </c>
      <c r="G56" s="109"/>
      <c r="H56" s="105">
        <f t="shared" si="58"/>
        <v>239</v>
      </c>
      <c r="I56" s="105">
        <f t="shared" si="59"/>
        <v>140</v>
      </c>
      <c r="J56" s="110">
        <v>1</v>
      </c>
      <c r="K56" s="105">
        <v>200</v>
      </c>
      <c r="L56" s="105">
        <f t="shared" si="70"/>
        <v>6</v>
      </c>
      <c r="M56" s="105"/>
      <c r="N56" s="105">
        <f t="shared" si="60"/>
        <v>353</v>
      </c>
      <c r="O56" s="105">
        <f t="shared" si="61"/>
        <v>140</v>
      </c>
      <c r="P56" s="108">
        <f t="shared" si="62"/>
        <v>2</v>
      </c>
      <c r="Q56" s="156">
        <f t="shared" si="63"/>
        <v>130</v>
      </c>
      <c r="R56" s="156">
        <f t="shared" si="64"/>
        <v>6</v>
      </c>
      <c r="S56" s="109"/>
      <c r="T56" s="105">
        <f t="shared" si="65"/>
        <v>239</v>
      </c>
      <c r="U56" s="105">
        <f t="shared" si="66"/>
        <v>140</v>
      </c>
      <c r="V56" s="105">
        <v>1</v>
      </c>
      <c r="W56" s="105">
        <f t="shared" si="68"/>
        <v>200</v>
      </c>
      <c r="X56" s="105">
        <f t="shared" si="69"/>
        <v>6</v>
      </c>
      <c r="Y56" s="168"/>
    </row>
    <row r="57" spans="1:25" x14ac:dyDescent="0.25">
      <c r="A57" s="166">
        <v>3200</v>
      </c>
      <c r="B57" s="105">
        <f t="shared" ref="B57:B58" si="72">(E57*D57)+(16.5*4)+(3*4)+15</f>
        <v>413</v>
      </c>
      <c r="C57" s="105">
        <f t="shared" si="71"/>
        <v>140</v>
      </c>
      <c r="D57" s="156">
        <v>2</v>
      </c>
      <c r="E57" s="156">
        <v>160</v>
      </c>
      <c r="F57" s="156">
        <v>6</v>
      </c>
      <c r="G57" s="109"/>
      <c r="H57" s="105">
        <f t="shared" ref="H57:H59" si="73">(K57*J57)+18+18+(3*J57)+(3*J57)+40</f>
        <v>348</v>
      </c>
      <c r="I57" s="105">
        <f t="shared" si="59"/>
        <v>140</v>
      </c>
      <c r="J57" s="105">
        <v>2</v>
      </c>
      <c r="K57" s="105">
        <v>130</v>
      </c>
      <c r="L57" s="105">
        <f t="shared" si="70"/>
        <v>6</v>
      </c>
      <c r="M57" s="109"/>
      <c r="N57" s="105">
        <f t="shared" si="60"/>
        <v>413</v>
      </c>
      <c r="O57" s="105">
        <f t="shared" si="61"/>
        <v>140</v>
      </c>
      <c r="P57" s="108">
        <f t="shared" si="62"/>
        <v>2</v>
      </c>
      <c r="Q57" s="156">
        <f t="shared" si="63"/>
        <v>160</v>
      </c>
      <c r="R57" s="156">
        <f t="shared" si="64"/>
        <v>6</v>
      </c>
      <c r="S57" s="109"/>
      <c r="T57" s="105">
        <f t="shared" si="65"/>
        <v>348</v>
      </c>
      <c r="U57" s="105">
        <f t="shared" si="66"/>
        <v>140</v>
      </c>
      <c r="V57" s="105">
        <f t="shared" ref="V57:V60" si="74">J57</f>
        <v>2</v>
      </c>
      <c r="W57" s="105">
        <f t="shared" si="68"/>
        <v>130</v>
      </c>
      <c r="X57" s="105">
        <f t="shared" si="69"/>
        <v>6</v>
      </c>
      <c r="Y57" s="168"/>
    </row>
    <row r="58" spans="1:25" x14ac:dyDescent="0.25">
      <c r="A58" s="166">
        <v>4000</v>
      </c>
      <c r="B58" s="105">
        <f t="shared" si="72"/>
        <v>493</v>
      </c>
      <c r="C58" s="105">
        <f t="shared" si="71"/>
        <v>140</v>
      </c>
      <c r="D58" s="156">
        <v>2</v>
      </c>
      <c r="E58" s="156">
        <v>200</v>
      </c>
      <c r="F58" s="156">
        <v>6</v>
      </c>
      <c r="G58" s="109"/>
      <c r="H58" s="105">
        <f t="shared" si="73"/>
        <v>408</v>
      </c>
      <c r="I58" s="105">
        <f t="shared" si="59"/>
        <v>140</v>
      </c>
      <c r="J58" s="105">
        <v>2</v>
      </c>
      <c r="K58" s="105">
        <v>160</v>
      </c>
      <c r="L58" s="105">
        <f t="shared" si="70"/>
        <v>6</v>
      </c>
      <c r="M58" s="105"/>
      <c r="N58" s="105">
        <f t="shared" si="60"/>
        <v>493</v>
      </c>
      <c r="O58" s="105">
        <f t="shared" si="61"/>
        <v>140</v>
      </c>
      <c r="P58" s="108">
        <f t="shared" si="62"/>
        <v>2</v>
      </c>
      <c r="Q58" s="156">
        <f t="shared" si="63"/>
        <v>200</v>
      </c>
      <c r="R58" s="156">
        <f t="shared" si="64"/>
        <v>6</v>
      </c>
      <c r="S58" s="109"/>
      <c r="T58" s="105">
        <f t="shared" si="65"/>
        <v>408</v>
      </c>
      <c r="U58" s="105">
        <f t="shared" si="66"/>
        <v>140</v>
      </c>
      <c r="V58" s="105">
        <f t="shared" si="74"/>
        <v>2</v>
      </c>
      <c r="W58" s="105">
        <f t="shared" si="68"/>
        <v>160</v>
      </c>
      <c r="X58" s="105">
        <f t="shared" si="69"/>
        <v>6</v>
      </c>
      <c r="Y58" s="167"/>
    </row>
    <row r="59" spans="1:25" x14ac:dyDescent="0.25">
      <c r="A59" s="166">
        <v>5000</v>
      </c>
      <c r="B59" s="105">
        <f>(E59*D59)+(16.5*8)+(3*8)+(15*3)</f>
        <v>721</v>
      </c>
      <c r="C59" s="105">
        <f t="shared" si="71"/>
        <v>140</v>
      </c>
      <c r="D59" s="156">
        <v>4</v>
      </c>
      <c r="E59" s="156">
        <v>130</v>
      </c>
      <c r="F59" s="156">
        <v>6</v>
      </c>
      <c r="G59" s="109"/>
      <c r="H59" s="105">
        <f t="shared" si="73"/>
        <v>488</v>
      </c>
      <c r="I59" s="105">
        <f t="shared" si="59"/>
        <v>140</v>
      </c>
      <c r="J59" s="105">
        <v>2</v>
      </c>
      <c r="K59" s="105">
        <v>200</v>
      </c>
      <c r="L59" s="105">
        <f t="shared" si="70"/>
        <v>6</v>
      </c>
      <c r="M59" s="109"/>
      <c r="N59" s="105">
        <f t="shared" si="60"/>
        <v>721</v>
      </c>
      <c r="O59" s="105">
        <f t="shared" si="61"/>
        <v>140</v>
      </c>
      <c r="P59" s="108">
        <f t="shared" si="62"/>
        <v>4</v>
      </c>
      <c r="Q59" s="156">
        <f t="shared" si="63"/>
        <v>130</v>
      </c>
      <c r="R59" s="156">
        <f t="shared" si="64"/>
        <v>6</v>
      </c>
      <c r="S59" s="109"/>
      <c r="T59" s="105">
        <f t="shared" si="65"/>
        <v>488</v>
      </c>
      <c r="U59" s="105">
        <f t="shared" si="66"/>
        <v>140</v>
      </c>
      <c r="V59" s="105">
        <f t="shared" si="74"/>
        <v>2</v>
      </c>
      <c r="W59" s="105">
        <f t="shared" si="68"/>
        <v>200</v>
      </c>
      <c r="X59" s="105">
        <f t="shared" si="69"/>
        <v>6</v>
      </c>
      <c r="Y59" s="168"/>
    </row>
    <row r="60" spans="1:25" ht="15.75" thickBot="1" x14ac:dyDescent="0.3">
      <c r="A60" s="169">
        <v>6300</v>
      </c>
      <c r="B60" s="105">
        <f>(E60*D60)+(16.5*8)+(3*8)+(15*3)</f>
        <v>841</v>
      </c>
      <c r="C60" s="170">
        <f t="shared" si="71"/>
        <v>140</v>
      </c>
      <c r="D60" s="171">
        <v>4</v>
      </c>
      <c r="E60" s="171">
        <v>160</v>
      </c>
      <c r="F60" s="171">
        <v>6</v>
      </c>
      <c r="G60" s="172"/>
      <c r="H60" s="170">
        <f>(K60*J60)+18+18+(3*4)+(3*J60)+40*2</f>
        <v>737</v>
      </c>
      <c r="I60" s="170">
        <f t="shared" si="59"/>
        <v>140</v>
      </c>
      <c r="J60" s="170">
        <v>3</v>
      </c>
      <c r="K60" s="170">
        <v>200</v>
      </c>
      <c r="L60" s="170">
        <f t="shared" si="70"/>
        <v>6</v>
      </c>
      <c r="M60" s="170"/>
      <c r="N60" s="170">
        <f t="shared" si="60"/>
        <v>841</v>
      </c>
      <c r="O60" s="170">
        <f t="shared" si="61"/>
        <v>140</v>
      </c>
      <c r="P60" s="173">
        <f t="shared" si="62"/>
        <v>4</v>
      </c>
      <c r="Q60" s="171">
        <f t="shared" si="63"/>
        <v>160</v>
      </c>
      <c r="R60" s="171">
        <f t="shared" si="64"/>
        <v>6</v>
      </c>
      <c r="S60" s="172"/>
      <c r="T60" s="170">
        <f t="shared" si="65"/>
        <v>737</v>
      </c>
      <c r="U60" s="170">
        <f t="shared" si="66"/>
        <v>140</v>
      </c>
      <c r="V60" s="170">
        <f t="shared" si="74"/>
        <v>3</v>
      </c>
      <c r="W60" s="170">
        <f t="shared" si="68"/>
        <v>200</v>
      </c>
      <c r="X60" s="170">
        <f t="shared" si="69"/>
        <v>6</v>
      </c>
      <c r="Y60" s="174"/>
    </row>
    <row r="61" spans="1:25" x14ac:dyDescent="0.25">
      <c r="A61" s="152"/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</row>
    <row r="62" spans="1:25" x14ac:dyDescent="0.25">
      <c r="A62" s="152"/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</row>
    <row r="63" spans="1:25" ht="15" customHeight="1" x14ac:dyDescent="0.25">
      <c r="D63" s="199" t="s">
        <v>21</v>
      </c>
      <c r="E63" s="199"/>
      <c r="F63" s="199"/>
      <c r="G63" s="199"/>
      <c r="H63" s="199"/>
      <c r="I63" s="199"/>
      <c r="J63" s="199"/>
    </row>
    <row r="64" spans="1:25" ht="15" customHeight="1" x14ac:dyDescent="0.25">
      <c r="D64" s="200" t="s">
        <v>2</v>
      </c>
      <c r="E64" s="201"/>
      <c r="F64" s="201"/>
      <c r="G64" s="201"/>
      <c r="H64" s="201"/>
      <c r="I64" s="201"/>
      <c r="J64" s="202"/>
    </row>
    <row r="65" spans="1:21" ht="15" customHeight="1" x14ac:dyDescent="0.25">
      <c r="D65" s="200" t="s">
        <v>3</v>
      </c>
      <c r="E65" s="201"/>
      <c r="F65" s="202"/>
      <c r="G65" s="200" t="s">
        <v>22</v>
      </c>
      <c r="H65" s="201"/>
      <c r="I65" s="201"/>
      <c r="J65" s="202"/>
    </row>
    <row r="66" spans="1:21" ht="15" customHeight="1" x14ac:dyDescent="0.25">
      <c r="D66" s="200" t="s">
        <v>23</v>
      </c>
      <c r="E66" s="201"/>
      <c r="F66" s="202"/>
      <c r="G66" s="200" t="s">
        <v>22</v>
      </c>
      <c r="H66" s="201"/>
      <c r="I66" s="201"/>
      <c r="J66" s="202"/>
    </row>
    <row r="68" spans="1:21" x14ac:dyDescent="0.25">
      <c r="A68" s="203" t="s">
        <v>5</v>
      </c>
      <c r="B68" s="203" t="s">
        <v>6</v>
      </c>
      <c r="C68" s="203"/>
      <c r="D68" s="203"/>
      <c r="E68" s="203"/>
      <c r="F68" s="203"/>
      <c r="G68" s="203"/>
      <c r="H68" s="203" t="s">
        <v>7</v>
      </c>
      <c r="I68" s="203"/>
      <c r="J68" s="203"/>
      <c r="K68" s="203"/>
      <c r="L68" s="203"/>
      <c r="M68" s="203"/>
    </row>
    <row r="69" spans="1:21" x14ac:dyDescent="0.25">
      <c r="A69" s="203"/>
      <c r="B69" s="203" t="s">
        <v>8</v>
      </c>
      <c r="C69" s="203"/>
      <c r="D69" s="203"/>
      <c r="E69" s="203" t="s">
        <v>9</v>
      </c>
      <c r="F69" s="203"/>
      <c r="G69" s="203"/>
      <c r="H69" s="203" t="s">
        <v>8</v>
      </c>
      <c r="I69" s="203"/>
      <c r="J69" s="203"/>
      <c r="K69" s="203" t="s">
        <v>9</v>
      </c>
      <c r="L69" s="203"/>
      <c r="M69" s="203"/>
    </row>
    <row r="70" spans="1:21" ht="21" x14ac:dyDescent="0.35">
      <c r="A70" s="203"/>
      <c r="B70" s="135" t="s">
        <v>24</v>
      </c>
      <c r="C70" s="135" t="s">
        <v>25</v>
      </c>
      <c r="D70" s="135" t="s">
        <v>26</v>
      </c>
      <c r="E70" s="135" t="s">
        <v>24</v>
      </c>
      <c r="F70" s="135" t="s">
        <v>25</v>
      </c>
      <c r="G70" s="135" t="s">
        <v>26</v>
      </c>
      <c r="H70" s="135" t="s">
        <v>24</v>
      </c>
      <c r="I70" s="135" t="s">
        <v>25</v>
      </c>
      <c r="J70" s="135" t="s">
        <v>26</v>
      </c>
      <c r="K70" s="135" t="s">
        <v>24</v>
      </c>
      <c r="L70" s="135" t="s">
        <v>27</v>
      </c>
      <c r="M70" s="135" t="s">
        <v>26</v>
      </c>
      <c r="U70" s="97"/>
    </row>
    <row r="71" spans="1:21" x14ac:dyDescent="0.25">
      <c r="A71" s="107">
        <f t="shared" ref="A71:A86" si="75">A12</f>
        <v>160</v>
      </c>
      <c r="B71" s="107">
        <v>435</v>
      </c>
      <c r="C71" s="107">
        <v>435</v>
      </c>
      <c r="D71" s="107"/>
      <c r="E71" s="107">
        <v>435</v>
      </c>
      <c r="F71" s="107">
        <v>435</v>
      </c>
      <c r="G71" s="107"/>
      <c r="H71" s="107">
        <f t="shared" ref="H71:H86" si="76">B71</f>
        <v>435</v>
      </c>
      <c r="I71" s="107">
        <f t="shared" ref="I71:I86" si="77">C71</f>
        <v>435</v>
      </c>
      <c r="J71" s="107"/>
      <c r="K71" s="107">
        <f t="shared" ref="K71:K86" si="78">E71</f>
        <v>435</v>
      </c>
      <c r="L71" s="107">
        <f t="shared" ref="L71:L86" si="79">F71</f>
        <v>435</v>
      </c>
      <c r="M71" s="107"/>
    </row>
    <row r="72" spans="1:21" x14ac:dyDescent="0.25">
      <c r="A72" s="107">
        <f t="shared" si="75"/>
        <v>250</v>
      </c>
      <c r="B72" s="107">
        <v>435</v>
      </c>
      <c r="C72" s="107">
        <v>435</v>
      </c>
      <c r="D72" s="107"/>
      <c r="E72" s="107">
        <v>435</v>
      </c>
      <c r="F72" s="107">
        <v>435</v>
      </c>
      <c r="G72" s="107"/>
      <c r="H72" s="107">
        <f t="shared" si="76"/>
        <v>435</v>
      </c>
      <c r="I72" s="107">
        <f t="shared" si="77"/>
        <v>435</v>
      </c>
      <c r="J72" s="107"/>
      <c r="K72" s="107">
        <f t="shared" si="78"/>
        <v>435</v>
      </c>
      <c r="L72" s="107">
        <f t="shared" si="79"/>
        <v>435</v>
      </c>
      <c r="M72" s="107"/>
    </row>
    <row r="73" spans="1:21" x14ac:dyDescent="0.25">
      <c r="A73" s="107">
        <f t="shared" si="75"/>
        <v>315</v>
      </c>
      <c r="B73" s="107">
        <v>435</v>
      </c>
      <c r="C73" s="107">
        <v>435</v>
      </c>
      <c r="D73" s="107"/>
      <c r="E73" s="107">
        <v>435</v>
      </c>
      <c r="F73" s="107">
        <v>435</v>
      </c>
      <c r="G73" s="107"/>
      <c r="H73" s="107">
        <f t="shared" ref="H73" si="80">B73</f>
        <v>435</v>
      </c>
      <c r="I73" s="107">
        <f t="shared" ref="I73" si="81">C73</f>
        <v>435</v>
      </c>
      <c r="J73" s="107"/>
      <c r="K73" s="107">
        <f t="shared" ref="K73" si="82">E73</f>
        <v>435</v>
      </c>
      <c r="L73" s="107">
        <f t="shared" ref="L73" si="83">F73</f>
        <v>435</v>
      </c>
      <c r="M73" s="107"/>
    </row>
    <row r="74" spans="1:21" x14ac:dyDescent="0.25">
      <c r="A74" s="107">
        <f t="shared" si="75"/>
        <v>400</v>
      </c>
      <c r="B74" s="107">
        <v>435</v>
      </c>
      <c r="C74" s="107">
        <v>435</v>
      </c>
      <c r="D74" s="107"/>
      <c r="E74" s="107">
        <v>435</v>
      </c>
      <c r="F74" s="107">
        <v>435</v>
      </c>
      <c r="G74" s="107"/>
      <c r="H74" s="107">
        <f>B74</f>
        <v>435</v>
      </c>
      <c r="I74" s="107">
        <f t="shared" si="77"/>
        <v>435</v>
      </c>
      <c r="J74" s="107"/>
      <c r="K74" s="107">
        <f t="shared" si="78"/>
        <v>435</v>
      </c>
      <c r="L74" s="107">
        <f t="shared" si="79"/>
        <v>435</v>
      </c>
      <c r="M74" s="107"/>
    </row>
    <row r="75" spans="1:21" x14ac:dyDescent="0.25">
      <c r="A75" s="107">
        <f t="shared" si="75"/>
        <v>500</v>
      </c>
      <c r="B75" s="107">
        <v>435</v>
      </c>
      <c r="C75" s="107">
        <v>435</v>
      </c>
      <c r="D75" s="107"/>
      <c r="E75" s="107">
        <v>435</v>
      </c>
      <c r="F75" s="107">
        <v>435</v>
      </c>
      <c r="G75" s="107"/>
      <c r="H75" s="107">
        <f t="shared" ref="H75" si="84">B75</f>
        <v>435</v>
      </c>
      <c r="I75" s="107">
        <f t="shared" ref="I75" si="85">C75</f>
        <v>435</v>
      </c>
      <c r="J75" s="107"/>
      <c r="K75" s="107">
        <f t="shared" ref="K75" si="86">E75</f>
        <v>435</v>
      </c>
      <c r="L75" s="107">
        <f t="shared" ref="L75" si="87">F75</f>
        <v>435</v>
      </c>
      <c r="M75" s="107"/>
    </row>
    <row r="76" spans="1:21" x14ac:dyDescent="0.25">
      <c r="A76" s="107">
        <f t="shared" si="75"/>
        <v>630</v>
      </c>
      <c r="B76" s="107">
        <v>435</v>
      </c>
      <c r="C76" s="107">
        <v>435</v>
      </c>
      <c r="D76" s="107"/>
      <c r="E76" s="107">
        <v>435</v>
      </c>
      <c r="F76" s="107">
        <v>435</v>
      </c>
      <c r="G76" s="107"/>
      <c r="H76" s="107">
        <f t="shared" si="76"/>
        <v>435</v>
      </c>
      <c r="I76" s="107">
        <f t="shared" si="77"/>
        <v>435</v>
      </c>
      <c r="J76" s="107"/>
      <c r="K76" s="107">
        <f t="shared" si="78"/>
        <v>435</v>
      </c>
      <c r="L76" s="107">
        <f t="shared" si="79"/>
        <v>435</v>
      </c>
      <c r="M76" s="107"/>
    </row>
    <row r="77" spans="1:21" x14ac:dyDescent="0.25">
      <c r="A77" s="107">
        <f t="shared" si="75"/>
        <v>800</v>
      </c>
      <c r="B77" s="107">
        <v>435</v>
      </c>
      <c r="C77" s="107">
        <v>435</v>
      </c>
      <c r="D77" s="137"/>
      <c r="E77" s="107">
        <v>435</v>
      </c>
      <c r="F77" s="107">
        <v>435</v>
      </c>
      <c r="G77" s="137"/>
      <c r="H77" s="107">
        <f t="shared" si="76"/>
        <v>435</v>
      </c>
      <c r="I77" s="107">
        <f t="shared" si="77"/>
        <v>435</v>
      </c>
      <c r="J77" s="107"/>
      <c r="K77" s="107">
        <f t="shared" si="78"/>
        <v>435</v>
      </c>
      <c r="L77" s="107">
        <f t="shared" si="79"/>
        <v>435</v>
      </c>
      <c r="M77" s="137"/>
    </row>
    <row r="78" spans="1:21" x14ac:dyDescent="0.25">
      <c r="A78" s="107">
        <f t="shared" si="75"/>
        <v>1000</v>
      </c>
      <c r="B78" s="107">
        <v>435</v>
      </c>
      <c r="C78" s="107">
        <v>435</v>
      </c>
      <c r="D78" s="137"/>
      <c r="E78" s="107">
        <v>435</v>
      </c>
      <c r="F78" s="107">
        <v>435</v>
      </c>
      <c r="G78" s="137"/>
      <c r="H78" s="107">
        <f t="shared" si="76"/>
        <v>435</v>
      </c>
      <c r="I78" s="107">
        <f t="shared" si="77"/>
        <v>435</v>
      </c>
      <c r="J78" s="107"/>
      <c r="K78" s="107">
        <f t="shared" si="78"/>
        <v>435</v>
      </c>
      <c r="L78" s="107">
        <f t="shared" si="79"/>
        <v>435</v>
      </c>
      <c r="M78" s="137"/>
    </row>
    <row r="79" spans="1:21" x14ac:dyDescent="0.25">
      <c r="A79" s="107">
        <f t="shared" si="75"/>
        <v>1250</v>
      </c>
      <c r="B79" s="107">
        <v>435</v>
      </c>
      <c r="C79" s="107">
        <v>435</v>
      </c>
      <c r="D79" s="137"/>
      <c r="E79" s="107">
        <v>435</v>
      </c>
      <c r="F79" s="107">
        <v>435</v>
      </c>
      <c r="G79" s="137"/>
      <c r="H79" s="107">
        <f t="shared" si="76"/>
        <v>435</v>
      </c>
      <c r="I79" s="107">
        <f t="shared" si="77"/>
        <v>435</v>
      </c>
      <c r="J79" s="107"/>
      <c r="K79" s="107">
        <f t="shared" si="78"/>
        <v>435</v>
      </c>
      <c r="L79" s="107">
        <f t="shared" si="79"/>
        <v>435</v>
      </c>
      <c r="M79" s="137"/>
    </row>
    <row r="80" spans="1:21" x14ac:dyDescent="0.25">
      <c r="A80" s="107">
        <f t="shared" si="75"/>
        <v>1600</v>
      </c>
      <c r="B80" s="107">
        <v>435</v>
      </c>
      <c r="C80" s="107">
        <v>435</v>
      </c>
      <c r="D80" s="137"/>
      <c r="E80" s="107">
        <v>435</v>
      </c>
      <c r="F80" s="107">
        <v>435</v>
      </c>
      <c r="G80" s="137"/>
      <c r="H80" s="107">
        <f t="shared" si="76"/>
        <v>435</v>
      </c>
      <c r="I80" s="107">
        <f t="shared" si="77"/>
        <v>435</v>
      </c>
      <c r="J80" s="107"/>
      <c r="K80" s="107">
        <f t="shared" si="78"/>
        <v>435</v>
      </c>
      <c r="L80" s="107">
        <f t="shared" si="79"/>
        <v>435</v>
      </c>
      <c r="M80" s="137"/>
    </row>
    <row r="81" spans="1:13" x14ac:dyDescent="0.25">
      <c r="A81" s="107">
        <f t="shared" si="75"/>
        <v>2000</v>
      </c>
      <c r="B81" s="107">
        <v>435</v>
      </c>
      <c r="C81" s="107">
        <v>435</v>
      </c>
      <c r="D81" s="137"/>
      <c r="E81" s="107">
        <v>435</v>
      </c>
      <c r="F81" s="107">
        <v>435</v>
      </c>
      <c r="G81" s="137"/>
      <c r="H81" s="107">
        <f t="shared" si="76"/>
        <v>435</v>
      </c>
      <c r="I81" s="107">
        <f t="shared" si="77"/>
        <v>435</v>
      </c>
      <c r="J81" s="107"/>
      <c r="K81" s="107">
        <f t="shared" si="78"/>
        <v>435</v>
      </c>
      <c r="L81" s="107">
        <f t="shared" si="79"/>
        <v>435</v>
      </c>
      <c r="M81" s="137"/>
    </row>
    <row r="82" spans="1:13" x14ac:dyDescent="0.25">
      <c r="A82" s="107">
        <f t="shared" si="75"/>
        <v>2500</v>
      </c>
      <c r="B82" s="107">
        <v>435</v>
      </c>
      <c r="C82" s="107">
        <v>435</v>
      </c>
      <c r="D82" s="137"/>
      <c r="E82" s="107">
        <v>435</v>
      </c>
      <c r="F82" s="107">
        <v>435</v>
      </c>
      <c r="G82" s="137"/>
      <c r="H82" s="107">
        <f t="shared" si="76"/>
        <v>435</v>
      </c>
      <c r="I82" s="107">
        <f t="shared" si="77"/>
        <v>435</v>
      </c>
      <c r="J82" s="107"/>
      <c r="K82" s="107">
        <f t="shared" si="78"/>
        <v>435</v>
      </c>
      <c r="L82" s="107">
        <f t="shared" si="79"/>
        <v>435</v>
      </c>
      <c r="M82" s="137"/>
    </row>
    <row r="83" spans="1:13" x14ac:dyDescent="0.25">
      <c r="A83" s="107">
        <f t="shared" si="75"/>
        <v>3200</v>
      </c>
      <c r="B83" s="107">
        <v>435</v>
      </c>
      <c r="C83" s="107">
        <v>435</v>
      </c>
      <c r="D83" s="137"/>
      <c r="E83" s="107">
        <v>435</v>
      </c>
      <c r="F83" s="107">
        <v>435</v>
      </c>
      <c r="G83" s="137"/>
      <c r="H83" s="107">
        <f t="shared" si="76"/>
        <v>435</v>
      </c>
      <c r="I83" s="107">
        <f t="shared" si="77"/>
        <v>435</v>
      </c>
      <c r="J83" s="107"/>
      <c r="K83" s="107">
        <f t="shared" si="78"/>
        <v>435</v>
      </c>
      <c r="L83" s="107">
        <f t="shared" si="79"/>
        <v>435</v>
      </c>
      <c r="M83" s="137"/>
    </row>
    <row r="84" spans="1:13" x14ac:dyDescent="0.25">
      <c r="A84" s="107">
        <f t="shared" si="75"/>
        <v>4000</v>
      </c>
      <c r="B84" s="107">
        <v>435</v>
      </c>
      <c r="C84" s="107">
        <v>435</v>
      </c>
      <c r="D84" s="137"/>
      <c r="E84" s="107">
        <v>435</v>
      </c>
      <c r="F84" s="107">
        <v>435</v>
      </c>
      <c r="G84" s="137"/>
      <c r="H84" s="107">
        <f t="shared" si="76"/>
        <v>435</v>
      </c>
      <c r="I84" s="107">
        <f t="shared" si="77"/>
        <v>435</v>
      </c>
      <c r="J84" s="107"/>
      <c r="K84" s="107">
        <f t="shared" si="78"/>
        <v>435</v>
      </c>
      <c r="L84" s="107">
        <f t="shared" si="79"/>
        <v>435</v>
      </c>
      <c r="M84" s="137"/>
    </row>
    <row r="85" spans="1:13" x14ac:dyDescent="0.25">
      <c r="A85" s="107">
        <f t="shared" si="75"/>
        <v>5000</v>
      </c>
      <c r="B85" s="107">
        <v>435</v>
      </c>
      <c r="C85" s="107">
        <v>435</v>
      </c>
      <c r="D85" s="137"/>
      <c r="E85" s="107">
        <v>435</v>
      </c>
      <c r="F85" s="107">
        <v>435</v>
      </c>
      <c r="G85" s="137"/>
      <c r="H85" s="107">
        <f t="shared" si="76"/>
        <v>435</v>
      </c>
      <c r="I85" s="107">
        <f t="shared" si="77"/>
        <v>435</v>
      </c>
      <c r="J85" s="107"/>
      <c r="K85" s="107">
        <f t="shared" si="78"/>
        <v>435</v>
      </c>
      <c r="L85" s="107">
        <f t="shared" si="79"/>
        <v>435</v>
      </c>
      <c r="M85" s="137"/>
    </row>
    <row r="86" spans="1:13" x14ac:dyDescent="0.25">
      <c r="A86" s="107">
        <f t="shared" si="75"/>
        <v>6300</v>
      </c>
      <c r="B86" s="107">
        <v>435</v>
      </c>
      <c r="C86" s="107">
        <v>435</v>
      </c>
      <c r="D86" s="137"/>
      <c r="E86" s="107">
        <v>435</v>
      </c>
      <c r="F86" s="107">
        <v>435</v>
      </c>
      <c r="G86" s="137"/>
      <c r="H86" s="107">
        <f t="shared" si="76"/>
        <v>435</v>
      </c>
      <c r="I86" s="107">
        <f t="shared" si="77"/>
        <v>435</v>
      </c>
      <c r="J86" s="107"/>
      <c r="K86" s="107">
        <f t="shared" si="78"/>
        <v>435</v>
      </c>
      <c r="L86" s="107">
        <f t="shared" si="79"/>
        <v>435</v>
      </c>
      <c r="M86" s="137"/>
    </row>
    <row r="88" spans="1:13" ht="15" customHeight="1" x14ac:dyDescent="0.25">
      <c r="B88" s="98"/>
      <c r="D88" s="199" t="s">
        <v>28</v>
      </c>
      <c r="E88" s="199"/>
      <c r="F88" s="199"/>
      <c r="G88" s="199"/>
      <c r="H88" s="199"/>
      <c r="I88" s="199"/>
      <c r="J88" s="199"/>
    </row>
    <row r="89" spans="1:13" ht="15" customHeight="1" x14ac:dyDescent="0.25">
      <c r="A89" s="98"/>
      <c r="B89" s="98"/>
      <c r="D89" s="204" t="s">
        <v>2</v>
      </c>
      <c r="E89" s="204"/>
      <c r="F89" s="204"/>
      <c r="G89" s="204"/>
      <c r="H89" s="204"/>
      <c r="I89" s="204"/>
      <c r="J89" s="204"/>
    </row>
    <row r="90" spans="1:13" ht="15" customHeight="1" x14ac:dyDescent="0.25">
      <c r="A90" s="98"/>
      <c r="B90" s="98"/>
      <c r="D90" s="204" t="s">
        <v>3</v>
      </c>
      <c r="E90" s="204"/>
      <c r="F90" s="204"/>
      <c r="G90" s="204" t="s">
        <v>22</v>
      </c>
      <c r="H90" s="204"/>
      <c r="I90" s="204"/>
      <c r="J90" s="204"/>
    </row>
    <row r="91" spans="1:13" ht="15" customHeight="1" x14ac:dyDescent="0.25">
      <c r="D91" s="204" t="s">
        <v>23</v>
      </c>
      <c r="E91" s="204"/>
      <c r="F91" s="204"/>
      <c r="G91" s="204" t="s">
        <v>22</v>
      </c>
      <c r="H91" s="204"/>
      <c r="I91" s="204"/>
      <c r="J91" s="204"/>
    </row>
    <row r="93" spans="1:13" x14ac:dyDescent="0.25">
      <c r="A93" s="138" t="s">
        <v>5</v>
      </c>
      <c r="B93" s="205" t="s">
        <v>6</v>
      </c>
      <c r="C93" s="206"/>
      <c r="D93" s="206"/>
      <c r="E93" s="206"/>
      <c r="F93" s="206"/>
      <c r="G93" s="207"/>
      <c r="H93" s="205" t="s">
        <v>7</v>
      </c>
      <c r="I93" s="206"/>
      <c r="J93" s="206"/>
      <c r="K93" s="206"/>
      <c r="L93" s="139"/>
      <c r="M93" s="140"/>
    </row>
    <row r="94" spans="1:13" x14ac:dyDescent="0.25">
      <c r="A94" s="141"/>
      <c r="B94" s="205" t="s">
        <v>8</v>
      </c>
      <c r="C94" s="206"/>
      <c r="D94" s="207"/>
      <c r="E94" s="205" t="s">
        <v>9</v>
      </c>
      <c r="F94" s="206"/>
      <c r="G94" s="207"/>
      <c r="H94" s="205" t="s">
        <v>8</v>
      </c>
      <c r="I94" s="206"/>
      <c r="J94" s="207"/>
      <c r="K94" s="205" t="s">
        <v>9</v>
      </c>
      <c r="L94" s="206"/>
      <c r="M94" s="206"/>
    </row>
    <row r="95" spans="1:13" x14ac:dyDescent="0.25">
      <c r="A95" s="142"/>
      <c r="B95" s="143" t="s">
        <v>24</v>
      </c>
      <c r="C95" s="143" t="s">
        <v>27</v>
      </c>
      <c r="D95" s="135" t="s">
        <v>26</v>
      </c>
      <c r="E95" s="143" t="s">
        <v>24</v>
      </c>
      <c r="F95" s="143" t="s">
        <v>27</v>
      </c>
      <c r="G95" s="135" t="s">
        <v>26</v>
      </c>
      <c r="H95" s="143" t="s">
        <v>24</v>
      </c>
      <c r="I95" s="143" t="s">
        <v>27</v>
      </c>
      <c r="J95" s="135" t="s">
        <v>26</v>
      </c>
      <c r="K95" s="135" t="s">
        <v>24</v>
      </c>
      <c r="L95" s="135" t="s">
        <v>27</v>
      </c>
      <c r="M95" s="135" t="s">
        <v>26</v>
      </c>
    </row>
    <row r="96" spans="1:13" x14ac:dyDescent="0.25">
      <c r="A96" s="107">
        <f t="shared" ref="A96:A111" si="88">A12</f>
        <v>160</v>
      </c>
      <c r="B96" s="107">
        <v>300</v>
      </c>
      <c r="C96" s="107">
        <f>B96</f>
        <v>300</v>
      </c>
      <c r="D96" s="107"/>
      <c r="E96" s="107">
        <f>B96</f>
        <v>300</v>
      </c>
      <c r="F96" s="107">
        <f>C96</f>
        <v>300</v>
      </c>
      <c r="G96" s="110"/>
      <c r="H96" s="107">
        <f t="shared" ref="H96:H111" si="89">B96</f>
        <v>300</v>
      </c>
      <c r="I96" s="107">
        <f t="shared" ref="I96:I111" si="90">C96</f>
        <v>300</v>
      </c>
      <c r="J96" s="117"/>
      <c r="K96" s="107">
        <f t="shared" ref="K96:K111" si="91">E96</f>
        <v>300</v>
      </c>
      <c r="L96" s="107">
        <f t="shared" ref="L96:L111" si="92">F96</f>
        <v>300</v>
      </c>
      <c r="M96" s="117"/>
    </row>
    <row r="97" spans="1:13" x14ac:dyDescent="0.25">
      <c r="A97" s="107">
        <f t="shared" si="88"/>
        <v>250</v>
      </c>
      <c r="B97" s="107">
        <v>300</v>
      </c>
      <c r="C97" s="107">
        <f t="shared" ref="C97:C102" si="93">B97</f>
        <v>300</v>
      </c>
      <c r="D97" s="107"/>
      <c r="E97" s="107">
        <f t="shared" ref="E97:E102" si="94">B97</f>
        <v>300</v>
      </c>
      <c r="F97" s="107">
        <f t="shared" ref="F97:F102" si="95">C97</f>
        <v>300</v>
      </c>
      <c r="G97" s="110"/>
      <c r="H97" s="107">
        <f t="shared" si="89"/>
        <v>300</v>
      </c>
      <c r="I97" s="107">
        <f t="shared" si="90"/>
        <v>300</v>
      </c>
      <c r="J97" s="117"/>
      <c r="K97" s="107">
        <f t="shared" si="91"/>
        <v>300</v>
      </c>
      <c r="L97" s="107">
        <f t="shared" si="92"/>
        <v>300</v>
      </c>
      <c r="M97" s="117"/>
    </row>
    <row r="98" spans="1:13" x14ac:dyDescent="0.25">
      <c r="A98" s="107">
        <f t="shared" si="88"/>
        <v>315</v>
      </c>
      <c r="B98" s="107">
        <v>300</v>
      </c>
      <c r="C98" s="107">
        <f t="shared" ref="C98" si="96">B98</f>
        <v>300</v>
      </c>
      <c r="D98" s="107"/>
      <c r="E98" s="107">
        <f t="shared" ref="E98" si="97">B98</f>
        <v>300</v>
      </c>
      <c r="F98" s="107">
        <f t="shared" ref="F98" si="98">C98</f>
        <v>300</v>
      </c>
      <c r="G98" s="110"/>
      <c r="H98" s="107">
        <f t="shared" ref="H98" si="99">B98</f>
        <v>300</v>
      </c>
      <c r="I98" s="107">
        <f t="shared" ref="I98" si="100">C98</f>
        <v>300</v>
      </c>
      <c r="J98" s="117"/>
      <c r="K98" s="107">
        <f t="shared" ref="K98" si="101">E98</f>
        <v>300</v>
      </c>
      <c r="L98" s="107">
        <f t="shared" ref="L98" si="102">F98</f>
        <v>300</v>
      </c>
      <c r="M98" s="117"/>
    </row>
    <row r="99" spans="1:13" x14ac:dyDescent="0.25">
      <c r="A99" s="107">
        <f t="shared" si="88"/>
        <v>400</v>
      </c>
      <c r="B99" s="107">
        <v>300</v>
      </c>
      <c r="C99" s="107">
        <f t="shared" si="93"/>
        <v>300</v>
      </c>
      <c r="D99" s="107"/>
      <c r="E99" s="107">
        <f t="shared" si="94"/>
        <v>300</v>
      </c>
      <c r="F99" s="107">
        <f t="shared" si="95"/>
        <v>300</v>
      </c>
      <c r="G99" s="110"/>
      <c r="H99" s="107">
        <f t="shared" si="89"/>
        <v>300</v>
      </c>
      <c r="I99" s="107">
        <f t="shared" si="90"/>
        <v>300</v>
      </c>
      <c r="J99" s="117"/>
      <c r="K99" s="107">
        <f t="shared" si="91"/>
        <v>300</v>
      </c>
      <c r="L99" s="107">
        <f t="shared" si="92"/>
        <v>300</v>
      </c>
      <c r="M99" s="117"/>
    </row>
    <row r="100" spans="1:13" x14ac:dyDescent="0.25">
      <c r="A100" s="107">
        <f t="shared" si="88"/>
        <v>500</v>
      </c>
      <c r="B100" s="156">
        <v>300</v>
      </c>
      <c r="C100" s="156">
        <f t="shared" si="93"/>
        <v>300</v>
      </c>
      <c r="D100" s="156"/>
      <c r="E100" s="156">
        <f t="shared" si="94"/>
        <v>300</v>
      </c>
      <c r="F100" s="156">
        <f t="shared" si="95"/>
        <v>300</v>
      </c>
      <c r="G100" s="110"/>
      <c r="H100" s="156">
        <f t="shared" si="89"/>
        <v>300</v>
      </c>
      <c r="I100" s="156">
        <f t="shared" si="90"/>
        <v>300</v>
      </c>
      <c r="J100" s="117"/>
      <c r="K100" s="156">
        <f t="shared" si="91"/>
        <v>300</v>
      </c>
      <c r="L100" s="156">
        <f t="shared" si="92"/>
        <v>300</v>
      </c>
      <c r="M100" s="117"/>
    </row>
    <row r="101" spans="1:13" x14ac:dyDescent="0.25">
      <c r="A101" s="107">
        <f t="shared" si="88"/>
        <v>630</v>
      </c>
      <c r="B101" s="107">
        <v>300</v>
      </c>
      <c r="C101" s="107">
        <f t="shared" si="93"/>
        <v>300</v>
      </c>
      <c r="D101" s="107"/>
      <c r="E101" s="107">
        <f t="shared" si="94"/>
        <v>300</v>
      </c>
      <c r="F101" s="107">
        <f t="shared" si="95"/>
        <v>300</v>
      </c>
      <c r="G101" s="110"/>
      <c r="H101" s="107">
        <f t="shared" si="89"/>
        <v>300</v>
      </c>
      <c r="I101" s="107">
        <f t="shared" si="90"/>
        <v>300</v>
      </c>
      <c r="J101" s="117"/>
      <c r="K101" s="107">
        <f t="shared" si="91"/>
        <v>300</v>
      </c>
      <c r="L101" s="107">
        <f t="shared" si="92"/>
        <v>300</v>
      </c>
      <c r="M101" s="117"/>
    </row>
    <row r="102" spans="1:13" x14ac:dyDescent="0.25">
      <c r="A102" s="107">
        <f t="shared" si="88"/>
        <v>800</v>
      </c>
      <c r="B102" s="107">
        <v>300</v>
      </c>
      <c r="C102" s="107">
        <f t="shared" si="93"/>
        <v>300</v>
      </c>
      <c r="D102" s="107"/>
      <c r="E102" s="107">
        <f t="shared" si="94"/>
        <v>300</v>
      </c>
      <c r="F102" s="107">
        <f t="shared" si="95"/>
        <v>300</v>
      </c>
      <c r="G102" s="110"/>
      <c r="H102" s="107">
        <f t="shared" si="89"/>
        <v>300</v>
      </c>
      <c r="I102" s="107">
        <f t="shared" si="90"/>
        <v>300</v>
      </c>
      <c r="J102" s="107"/>
      <c r="K102" s="107">
        <f t="shared" si="91"/>
        <v>300</v>
      </c>
      <c r="L102" s="107">
        <f t="shared" si="92"/>
        <v>300</v>
      </c>
      <c r="M102" s="107"/>
    </row>
    <row r="103" spans="1:13" x14ac:dyDescent="0.25">
      <c r="A103" s="107">
        <f t="shared" si="88"/>
        <v>1000</v>
      </c>
      <c r="B103" s="107">
        <v>450</v>
      </c>
      <c r="C103" s="107">
        <f t="shared" ref="C103:C111" si="103">B103</f>
        <v>450</v>
      </c>
      <c r="D103" s="107"/>
      <c r="E103" s="107">
        <f>B102</f>
        <v>300</v>
      </c>
      <c r="F103" s="107">
        <f t="shared" ref="F103:F111" si="104">E103</f>
        <v>300</v>
      </c>
      <c r="G103" s="110"/>
      <c r="H103" s="107">
        <f t="shared" si="89"/>
        <v>450</v>
      </c>
      <c r="I103" s="107">
        <f t="shared" si="90"/>
        <v>450</v>
      </c>
      <c r="J103" s="107"/>
      <c r="K103" s="107">
        <f t="shared" si="91"/>
        <v>300</v>
      </c>
      <c r="L103" s="107">
        <f t="shared" si="92"/>
        <v>300</v>
      </c>
      <c r="M103" s="107"/>
    </row>
    <row r="104" spans="1:13" x14ac:dyDescent="0.25">
      <c r="A104" s="107">
        <f t="shared" si="88"/>
        <v>1250</v>
      </c>
      <c r="B104" s="107">
        <v>450</v>
      </c>
      <c r="C104" s="107">
        <f t="shared" ref="C104:C106" si="105">B104</f>
        <v>450</v>
      </c>
      <c r="D104" s="107"/>
      <c r="E104" s="107">
        <v>450</v>
      </c>
      <c r="F104" s="107">
        <f t="shared" si="104"/>
        <v>450</v>
      </c>
      <c r="G104" s="110"/>
      <c r="H104" s="107">
        <f t="shared" si="89"/>
        <v>450</v>
      </c>
      <c r="I104" s="107">
        <f t="shared" si="90"/>
        <v>450</v>
      </c>
      <c r="J104" s="107"/>
      <c r="K104" s="107">
        <f t="shared" si="91"/>
        <v>450</v>
      </c>
      <c r="L104" s="107">
        <f t="shared" si="92"/>
        <v>450</v>
      </c>
      <c r="M104" s="107"/>
    </row>
    <row r="105" spans="1:13" x14ac:dyDescent="0.25">
      <c r="A105" s="107">
        <f t="shared" si="88"/>
        <v>1600</v>
      </c>
      <c r="B105" s="107">
        <v>450</v>
      </c>
      <c r="C105" s="107">
        <f t="shared" si="105"/>
        <v>450</v>
      </c>
      <c r="D105" s="107"/>
      <c r="E105" s="107">
        <f>B103</f>
        <v>450</v>
      </c>
      <c r="F105" s="107">
        <f t="shared" si="104"/>
        <v>450</v>
      </c>
      <c r="G105" s="110"/>
      <c r="H105" s="107">
        <f t="shared" si="89"/>
        <v>450</v>
      </c>
      <c r="I105" s="107">
        <f t="shared" si="90"/>
        <v>450</v>
      </c>
      <c r="J105" s="107"/>
      <c r="K105" s="107">
        <f t="shared" si="91"/>
        <v>450</v>
      </c>
      <c r="L105" s="107">
        <f t="shared" si="92"/>
        <v>450</v>
      </c>
      <c r="M105" s="107"/>
    </row>
    <row r="106" spans="1:13" x14ac:dyDescent="0.25">
      <c r="A106" s="107">
        <f t="shared" si="88"/>
        <v>2000</v>
      </c>
      <c r="B106" s="107">
        <v>450</v>
      </c>
      <c r="C106" s="107">
        <f t="shared" si="105"/>
        <v>450</v>
      </c>
      <c r="D106" s="107"/>
      <c r="E106" s="107">
        <f>B105</f>
        <v>450</v>
      </c>
      <c r="F106" s="107">
        <f t="shared" si="104"/>
        <v>450</v>
      </c>
      <c r="G106" s="110"/>
      <c r="H106" s="107">
        <f t="shared" si="89"/>
        <v>450</v>
      </c>
      <c r="I106" s="107">
        <f t="shared" si="90"/>
        <v>450</v>
      </c>
      <c r="J106" s="107"/>
      <c r="K106" s="107">
        <f t="shared" si="91"/>
        <v>450</v>
      </c>
      <c r="L106" s="107">
        <f t="shared" si="92"/>
        <v>450</v>
      </c>
      <c r="M106" s="107"/>
    </row>
    <row r="107" spans="1:13" x14ac:dyDescent="0.25">
      <c r="A107" s="107">
        <f t="shared" si="88"/>
        <v>2500</v>
      </c>
      <c r="B107" s="107">
        <v>600</v>
      </c>
      <c r="C107" s="107">
        <f t="shared" si="103"/>
        <v>600</v>
      </c>
      <c r="D107" s="107"/>
      <c r="E107" s="107">
        <f>B106</f>
        <v>450</v>
      </c>
      <c r="F107" s="107">
        <f t="shared" si="104"/>
        <v>450</v>
      </c>
      <c r="G107" s="110"/>
      <c r="H107" s="107">
        <f t="shared" si="89"/>
        <v>600</v>
      </c>
      <c r="I107" s="107">
        <f t="shared" si="90"/>
        <v>600</v>
      </c>
      <c r="J107" s="107"/>
      <c r="K107" s="107">
        <f t="shared" si="91"/>
        <v>450</v>
      </c>
      <c r="L107" s="107">
        <f t="shared" si="92"/>
        <v>450</v>
      </c>
      <c r="M107" s="107"/>
    </row>
    <row r="108" spans="1:13" x14ac:dyDescent="0.25">
      <c r="A108" s="107">
        <f t="shared" si="88"/>
        <v>3200</v>
      </c>
      <c r="B108" s="107">
        <v>650</v>
      </c>
      <c r="C108" s="107">
        <f t="shared" si="103"/>
        <v>650</v>
      </c>
      <c r="D108" s="107"/>
      <c r="E108" s="107">
        <f>B107</f>
        <v>600</v>
      </c>
      <c r="F108" s="107">
        <f t="shared" si="104"/>
        <v>600</v>
      </c>
      <c r="G108" s="105"/>
      <c r="H108" s="107">
        <f t="shared" si="89"/>
        <v>650</v>
      </c>
      <c r="I108" s="107">
        <f t="shared" si="90"/>
        <v>650</v>
      </c>
      <c r="J108" s="107"/>
      <c r="K108" s="107">
        <f t="shared" si="91"/>
        <v>600</v>
      </c>
      <c r="L108" s="107">
        <f t="shared" si="92"/>
        <v>600</v>
      </c>
      <c r="M108" s="107"/>
    </row>
    <row r="109" spans="1:13" x14ac:dyDescent="0.25">
      <c r="A109" s="107">
        <f t="shared" si="88"/>
        <v>4000</v>
      </c>
      <c r="B109" s="107">
        <v>750</v>
      </c>
      <c r="C109" s="107">
        <f t="shared" si="103"/>
        <v>750</v>
      </c>
      <c r="D109" s="107"/>
      <c r="E109" s="107">
        <v>650</v>
      </c>
      <c r="F109" s="107">
        <f t="shared" si="104"/>
        <v>650</v>
      </c>
      <c r="G109" s="105"/>
      <c r="H109" s="107">
        <f t="shared" si="89"/>
        <v>750</v>
      </c>
      <c r="I109" s="107">
        <f t="shared" si="90"/>
        <v>750</v>
      </c>
      <c r="J109" s="107"/>
      <c r="K109" s="107">
        <f t="shared" si="91"/>
        <v>650</v>
      </c>
      <c r="L109" s="107">
        <f t="shared" si="92"/>
        <v>650</v>
      </c>
      <c r="M109" s="107"/>
    </row>
    <row r="110" spans="1:13" x14ac:dyDescent="0.25">
      <c r="A110" s="107">
        <f t="shared" si="88"/>
        <v>5000</v>
      </c>
      <c r="B110" s="107">
        <v>950</v>
      </c>
      <c r="C110" s="107">
        <f t="shared" si="103"/>
        <v>950</v>
      </c>
      <c r="D110" s="107"/>
      <c r="E110" s="107">
        <f>B109</f>
        <v>750</v>
      </c>
      <c r="F110" s="107">
        <f t="shared" si="104"/>
        <v>750</v>
      </c>
      <c r="G110" s="105"/>
      <c r="H110" s="107">
        <f t="shared" si="89"/>
        <v>950</v>
      </c>
      <c r="I110" s="107">
        <f t="shared" si="90"/>
        <v>950</v>
      </c>
      <c r="J110" s="107"/>
      <c r="K110" s="107">
        <f t="shared" si="91"/>
        <v>750</v>
      </c>
      <c r="L110" s="107">
        <f t="shared" si="92"/>
        <v>750</v>
      </c>
      <c r="M110" s="107"/>
    </row>
    <row r="111" spans="1:13" x14ac:dyDescent="0.25">
      <c r="A111" s="107">
        <f t="shared" si="88"/>
        <v>6300</v>
      </c>
      <c r="B111" s="107">
        <v>1100</v>
      </c>
      <c r="C111" s="107">
        <f t="shared" si="103"/>
        <v>1100</v>
      </c>
      <c r="D111" s="107"/>
      <c r="E111" s="107">
        <v>950</v>
      </c>
      <c r="F111" s="107">
        <f t="shared" si="104"/>
        <v>950</v>
      </c>
      <c r="G111" s="105"/>
      <c r="H111" s="107">
        <f t="shared" si="89"/>
        <v>1100</v>
      </c>
      <c r="I111" s="107">
        <f t="shared" si="90"/>
        <v>1100</v>
      </c>
      <c r="J111" s="107"/>
      <c r="K111" s="107">
        <f t="shared" si="91"/>
        <v>950</v>
      </c>
      <c r="L111" s="107">
        <f t="shared" si="92"/>
        <v>950</v>
      </c>
      <c r="M111" s="107"/>
    </row>
    <row r="112" spans="1:13" x14ac:dyDescent="0.25">
      <c r="A112" s="126"/>
      <c r="B112" s="126"/>
      <c r="C112" s="126"/>
      <c r="D112" s="125"/>
      <c r="E112" s="126"/>
      <c r="F112" s="126"/>
      <c r="G112" s="126"/>
      <c r="H112" s="126"/>
      <c r="I112" s="126"/>
      <c r="J112" s="126"/>
      <c r="K112" s="126"/>
      <c r="L112" s="126"/>
      <c r="M112" s="126"/>
    </row>
    <row r="113" spans="1:26" ht="18.75" x14ac:dyDescent="0.25">
      <c r="D113" s="199" t="s">
        <v>29</v>
      </c>
      <c r="E113" s="199"/>
      <c r="F113" s="199"/>
      <c r="G113" s="199"/>
      <c r="H113" s="199"/>
      <c r="I113" s="199"/>
      <c r="J113" s="199"/>
    </row>
    <row r="114" spans="1:26" ht="15" customHeight="1" x14ac:dyDescent="0.25">
      <c r="B114" s="98"/>
      <c r="C114" s="98"/>
      <c r="D114" s="204" t="s">
        <v>2</v>
      </c>
      <c r="E114" s="204"/>
      <c r="F114" s="204"/>
      <c r="G114" s="204"/>
      <c r="H114" s="204"/>
      <c r="I114" s="204"/>
      <c r="J114" s="204"/>
    </row>
    <row r="115" spans="1:26" ht="15" customHeight="1" x14ac:dyDescent="0.25">
      <c r="A115" s="98"/>
      <c r="B115" s="98"/>
      <c r="C115" s="98"/>
      <c r="D115" s="204" t="s">
        <v>3</v>
      </c>
      <c r="E115" s="204"/>
      <c r="F115" s="204"/>
      <c r="G115" s="204" t="s">
        <v>32</v>
      </c>
      <c r="H115" s="204"/>
      <c r="I115" s="204"/>
      <c r="J115" s="204"/>
    </row>
    <row r="116" spans="1:26" ht="15" customHeight="1" x14ac:dyDescent="0.25">
      <c r="A116" s="98"/>
      <c r="B116" s="98"/>
      <c r="C116" s="98"/>
      <c r="D116" s="204" t="s">
        <v>23</v>
      </c>
      <c r="E116" s="204"/>
      <c r="F116" s="204"/>
      <c r="G116" s="204" t="s">
        <v>32</v>
      </c>
      <c r="H116" s="204"/>
      <c r="I116" s="204"/>
      <c r="J116" s="204"/>
    </row>
    <row r="117" spans="1:26" x14ac:dyDescent="0.25">
      <c r="D117" s="204" t="s">
        <v>31</v>
      </c>
      <c r="E117" s="204"/>
      <c r="F117" s="204"/>
      <c r="G117" s="204" t="s">
        <v>32</v>
      </c>
      <c r="H117" s="204"/>
      <c r="I117" s="204"/>
      <c r="J117" s="204"/>
    </row>
    <row r="119" spans="1:26" ht="26.25" x14ac:dyDescent="0.4">
      <c r="A119" s="203" t="s">
        <v>5</v>
      </c>
      <c r="B119" s="203" t="s">
        <v>6</v>
      </c>
      <c r="C119" s="203"/>
      <c r="D119" s="203"/>
      <c r="E119" s="203"/>
      <c r="F119" s="203"/>
      <c r="G119" s="203"/>
      <c r="H119" s="203"/>
      <c r="I119" s="203"/>
      <c r="J119" s="203" t="s">
        <v>7</v>
      </c>
      <c r="K119" s="203"/>
      <c r="L119" s="203"/>
      <c r="M119" s="203"/>
      <c r="N119" s="203"/>
      <c r="O119" s="203"/>
      <c r="P119" s="203"/>
      <c r="Q119" s="203"/>
      <c r="Z119" s="96"/>
    </row>
    <row r="120" spans="1:26" x14ac:dyDescent="0.25">
      <c r="A120" s="203"/>
      <c r="B120" s="208" t="s">
        <v>8</v>
      </c>
      <c r="C120" s="209"/>
      <c r="D120" s="209"/>
      <c r="E120" s="210"/>
      <c r="F120" s="208" t="s">
        <v>9</v>
      </c>
      <c r="G120" s="209"/>
      <c r="H120" s="209"/>
      <c r="I120" s="210"/>
      <c r="J120" s="208" t="s">
        <v>8</v>
      </c>
      <c r="K120" s="209"/>
      <c r="L120" s="209"/>
      <c r="M120" s="210"/>
      <c r="N120" s="208" t="s">
        <v>9</v>
      </c>
      <c r="O120" s="209"/>
      <c r="P120" s="209"/>
      <c r="Q120" s="209"/>
    </row>
    <row r="121" spans="1:26" x14ac:dyDescent="0.25">
      <c r="A121" s="203"/>
      <c r="B121" s="143" t="s">
        <v>24</v>
      </c>
      <c r="C121" s="143" t="s">
        <v>27</v>
      </c>
      <c r="D121" s="143" t="s">
        <v>33</v>
      </c>
      <c r="E121" s="143" t="s">
        <v>26</v>
      </c>
      <c r="F121" s="143" t="s">
        <v>24</v>
      </c>
      <c r="G121" s="143" t="s">
        <v>27</v>
      </c>
      <c r="H121" s="143" t="s">
        <v>33</v>
      </c>
      <c r="I121" s="143" t="s">
        <v>26</v>
      </c>
      <c r="J121" s="142" t="s">
        <v>24</v>
      </c>
      <c r="K121" s="142" t="s">
        <v>27</v>
      </c>
      <c r="L121" s="142" t="s">
        <v>33</v>
      </c>
      <c r="M121" s="142" t="s">
        <v>26</v>
      </c>
      <c r="N121" s="142" t="s">
        <v>24</v>
      </c>
      <c r="O121" s="142" t="s">
        <v>27</v>
      </c>
      <c r="P121" s="142" t="s">
        <v>33</v>
      </c>
      <c r="Q121" s="143" t="s">
        <v>26</v>
      </c>
    </row>
    <row r="122" spans="1:26" x14ac:dyDescent="0.25">
      <c r="A122" s="107">
        <f t="shared" ref="A122:A137" si="106">A12</f>
        <v>160</v>
      </c>
      <c r="B122" s="107">
        <f t="shared" ref="B122:B128" si="107">B71</f>
        <v>435</v>
      </c>
      <c r="C122" s="107">
        <v>415</v>
      </c>
      <c r="D122" s="107">
        <f>C71</f>
        <v>435</v>
      </c>
      <c r="E122" s="105"/>
      <c r="F122" s="107">
        <f>E71</f>
        <v>435</v>
      </c>
      <c r="G122" s="107">
        <v>415</v>
      </c>
      <c r="H122" s="107">
        <f>F71</f>
        <v>435</v>
      </c>
      <c r="I122" s="105"/>
      <c r="J122" s="107">
        <f>H71</f>
        <v>435</v>
      </c>
      <c r="K122" s="107">
        <f t="shared" ref="K122:K137" si="108">C122</f>
        <v>415</v>
      </c>
      <c r="L122" s="107">
        <f>I71</f>
        <v>435</v>
      </c>
      <c r="M122" s="117"/>
      <c r="N122" s="107">
        <f>K71</f>
        <v>435</v>
      </c>
      <c r="O122" s="107">
        <f t="shared" ref="O122:O137" si="109">G122</f>
        <v>415</v>
      </c>
      <c r="P122" s="107">
        <f>L71</f>
        <v>435</v>
      </c>
      <c r="Q122" s="105"/>
    </row>
    <row r="123" spans="1:26" x14ac:dyDescent="0.25">
      <c r="A123" s="107">
        <f t="shared" si="106"/>
        <v>250</v>
      </c>
      <c r="B123" s="107">
        <f t="shared" si="107"/>
        <v>435</v>
      </c>
      <c r="C123" s="107">
        <v>415</v>
      </c>
      <c r="D123" s="107">
        <f>C72</f>
        <v>435</v>
      </c>
      <c r="E123" s="105"/>
      <c r="F123" s="107">
        <f>E72</f>
        <v>435</v>
      </c>
      <c r="G123" s="107">
        <v>415</v>
      </c>
      <c r="H123" s="107">
        <f>F72</f>
        <v>435</v>
      </c>
      <c r="I123" s="105"/>
      <c r="J123" s="107">
        <f>H72</f>
        <v>435</v>
      </c>
      <c r="K123" s="107">
        <f t="shared" si="108"/>
        <v>415</v>
      </c>
      <c r="L123" s="107">
        <f>I72</f>
        <v>435</v>
      </c>
      <c r="M123" s="117"/>
      <c r="N123" s="107">
        <f>K72</f>
        <v>435</v>
      </c>
      <c r="O123" s="107">
        <f t="shared" si="109"/>
        <v>415</v>
      </c>
      <c r="P123" s="107">
        <f>L72</f>
        <v>435</v>
      </c>
      <c r="Q123" s="105"/>
    </row>
    <row r="124" spans="1:26" x14ac:dyDescent="0.25">
      <c r="A124" s="107">
        <f t="shared" si="106"/>
        <v>315</v>
      </c>
      <c r="B124" s="107">
        <f t="shared" si="107"/>
        <v>435</v>
      </c>
      <c r="C124" s="107">
        <v>415</v>
      </c>
      <c r="D124" s="107">
        <f t="shared" ref="D124:D127" si="110">C73</f>
        <v>435</v>
      </c>
      <c r="E124" s="105"/>
      <c r="F124" s="107">
        <f t="shared" ref="F124:F127" si="111">E73</f>
        <v>435</v>
      </c>
      <c r="G124" s="107">
        <v>415</v>
      </c>
      <c r="H124" s="107">
        <f t="shared" ref="H124:H127" si="112">F73</f>
        <v>435</v>
      </c>
      <c r="I124" s="105"/>
      <c r="J124" s="107">
        <f t="shared" ref="J124:J127" si="113">H73</f>
        <v>435</v>
      </c>
      <c r="K124" s="107">
        <f t="shared" ref="K124:K127" si="114">C124</f>
        <v>415</v>
      </c>
      <c r="L124" s="107">
        <f t="shared" ref="L124:L127" si="115">I73</f>
        <v>435</v>
      </c>
      <c r="M124" s="117"/>
      <c r="N124" s="107">
        <f t="shared" ref="N124:N127" si="116">K73</f>
        <v>435</v>
      </c>
      <c r="O124" s="107">
        <f t="shared" ref="O124:O127" si="117">G124</f>
        <v>415</v>
      </c>
      <c r="P124" s="107">
        <f t="shared" ref="P124:P127" si="118">L73</f>
        <v>435</v>
      </c>
      <c r="Q124" s="105"/>
    </row>
    <row r="125" spans="1:26" x14ac:dyDescent="0.25">
      <c r="A125" s="107">
        <f t="shared" si="106"/>
        <v>400</v>
      </c>
      <c r="B125" s="107">
        <f t="shared" si="107"/>
        <v>435</v>
      </c>
      <c r="C125" s="107">
        <v>415</v>
      </c>
      <c r="D125" s="107">
        <f t="shared" si="110"/>
        <v>435</v>
      </c>
      <c r="E125" s="105"/>
      <c r="F125" s="107">
        <f t="shared" si="111"/>
        <v>435</v>
      </c>
      <c r="G125" s="107">
        <v>415</v>
      </c>
      <c r="H125" s="107">
        <f t="shared" si="112"/>
        <v>435</v>
      </c>
      <c r="I125" s="105"/>
      <c r="J125" s="107">
        <f t="shared" si="113"/>
        <v>435</v>
      </c>
      <c r="K125" s="107">
        <f t="shared" si="114"/>
        <v>415</v>
      </c>
      <c r="L125" s="107">
        <f t="shared" si="115"/>
        <v>435</v>
      </c>
      <c r="M125" s="117"/>
      <c r="N125" s="107">
        <f t="shared" si="116"/>
        <v>435</v>
      </c>
      <c r="O125" s="107">
        <f t="shared" si="117"/>
        <v>415</v>
      </c>
      <c r="P125" s="107">
        <f t="shared" si="118"/>
        <v>435</v>
      </c>
      <c r="Q125" s="105"/>
    </row>
    <row r="126" spans="1:26" x14ac:dyDescent="0.25">
      <c r="A126" s="107">
        <f t="shared" si="106"/>
        <v>500</v>
      </c>
      <c r="B126" s="107">
        <f t="shared" si="107"/>
        <v>435</v>
      </c>
      <c r="C126" s="107">
        <v>415</v>
      </c>
      <c r="D126" s="107">
        <f t="shared" si="110"/>
        <v>435</v>
      </c>
      <c r="E126" s="105"/>
      <c r="F126" s="107">
        <f t="shared" si="111"/>
        <v>435</v>
      </c>
      <c r="G126" s="107">
        <v>415</v>
      </c>
      <c r="H126" s="107">
        <f t="shared" si="112"/>
        <v>435</v>
      </c>
      <c r="I126" s="105"/>
      <c r="J126" s="107">
        <f t="shared" si="113"/>
        <v>435</v>
      </c>
      <c r="K126" s="107">
        <f t="shared" si="114"/>
        <v>415</v>
      </c>
      <c r="L126" s="107">
        <f t="shared" si="115"/>
        <v>435</v>
      </c>
      <c r="M126" s="117"/>
      <c r="N126" s="107">
        <f t="shared" si="116"/>
        <v>435</v>
      </c>
      <c r="O126" s="107">
        <f t="shared" si="117"/>
        <v>415</v>
      </c>
      <c r="P126" s="107">
        <f t="shared" si="118"/>
        <v>435</v>
      </c>
      <c r="Q126" s="105"/>
    </row>
    <row r="127" spans="1:26" x14ac:dyDescent="0.25">
      <c r="A127" s="107">
        <f t="shared" si="106"/>
        <v>630</v>
      </c>
      <c r="B127" s="107">
        <f t="shared" si="107"/>
        <v>435</v>
      </c>
      <c r="C127" s="107">
        <v>415</v>
      </c>
      <c r="D127" s="107">
        <f t="shared" si="110"/>
        <v>435</v>
      </c>
      <c r="E127" s="105"/>
      <c r="F127" s="107">
        <f t="shared" si="111"/>
        <v>435</v>
      </c>
      <c r="G127" s="107">
        <v>415</v>
      </c>
      <c r="H127" s="107">
        <f t="shared" si="112"/>
        <v>435</v>
      </c>
      <c r="I127" s="105"/>
      <c r="J127" s="107">
        <f t="shared" si="113"/>
        <v>435</v>
      </c>
      <c r="K127" s="107">
        <f t="shared" si="114"/>
        <v>415</v>
      </c>
      <c r="L127" s="107">
        <f t="shared" si="115"/>
        <v>435</v>
      </c>
      <c r="M127" s="117"/>
      <c r="N127" s="107">
        <f t="shared" si="116"/>
        <v>435</v>
      </c>
      <c r="O127" s="107">
        <f t="shared" si="117"/>
        <v>415</v>
      </c>
      <c r="P127" s="107">
        <f t="shared" si="118"/>
        <v>435</v>
      </c>
      <c r="Q127" s="105"/>
    </row>
    <row r="128" spans="1:26" x14ac:dyDescent="0.25">
      <c r="A128" s="107">
        <f t="shared" si="106"/>
        <v>800</v>
      </c>
      <c r="B128" s="107">
        <f t="shared" si="107"/>
        <v>435</v>
      </c>
      <c r="C128" s="107">
        <v>415</v>
      </c>
      <c r="D128" s="107">
        <f t="shared" ref="D128:D137" si="119">C77</f>
        <v>435</v>
      </c>
      <c r="E128" s="109"/>
      <c r="F128" s="107">
        <f t="shared" ref="F128:F137" si="120">E77</f>
        <v>435</v>
      </c>
      <c r="G128" s="107">
        <v>415</v>
      </c>
      <c r="H128" s="107">
        <f t="shared" ref="H128:H137" si="121">F77</f>
        <v>435</v>
      </c>
      <c r="I128" s="109"/>
      <c r="J128" s="107">
        <f t="shared" ref="J128:J137" si="122">H77</f>
        <v>435</v>
      </c>
      <c r="K128" s="107">
        <f t="shared" si="108"/>
        <v>415</v>
      </c>
      <c r="L128" s="107">
        <f t="shared" ref="L128:L137" si="123">I77</f>
        <v>435</v>
      </c>
      <c r="M128" s="109"/>
      <c r="N128" s="107">
        <f t="shared" ref="N128:N137" si="124">K77</f>
        <v>435</v>
      </c>
      <c r="O128" s="107">
        <f t="shared" si="109"/>
        <v>415</v>
      </c>
      <c r="P128" s="107">
        <f t="shared" ref="P128:P137" si="125">L77</f>
        <v>435</v>
      </c>
      <c r="Q128" s="144"/>
    </row>
    <row r="129" spans="1:17" x14ac:dyDescent="0.25">
      <c r="A129" s="107">
        <f t="shared" si="106"/>
        <v>1000</v>
      </c>
      <c r="B129" s="107">
        <f t="shared" ref="B129:B137" si="126">B78</f>
        <v>435</v>
      </c>
      <c r="C129" s="107">
        <v>415</v>
      </c>
      <c r="D129" s="107">
        <f t="shared" si="119"/>
        <v>435</v>
      </c>
      <c r="E129" s="109"/>
      <c r="F129" s="107">
        <f t="shared" si="120"/>
        <v>435</v>
      </c>
      <c r="G129" s="107">
        <v>415</v>
      </c>
      <c r="H129" s="107">
        <f t="shared" si="121"/>
        <v>435</v>
      </c>
      <c r="I129" s="109"/>
      <c r="J129" s="107">
        <f t="shared" si="122"/>
        <v>435</v>
      </c>
      <c r="K129" s="107">
        <f t="shared" si="108"/>
        <v>415</v>
      </c>
      <c r="L129" s="107">
        <f t="shared" si="123"/>
        <v>435</v>
      </c>
      <c r="M129" s="109"/>
      <c r="N129" s="107">
        <f t="shared" si="124"/>
        <v>435</v>
      </c>
      <c r="O129" s="107">
        <f t="shared" si="109"/>
        <v>415</v>
      </c>
      <c r="P129" s="107">
        <f t="shared" si="125"/>
        <v>435</v>
      </c>
      <c r="Q129" s="144"/>
    </row>
    <row r="130" spans="1:17" x14ac:dyDescent="0.25">
      <c r="A130" s="107">
        <f t="shared" si="106"/>
        <v>1250</v>
      </c>
      <c r="B130" s="107">
        <f t="shared" si="126"/>
        <v>435</v>
      </c>
      <c r="C130" s="107">
        <v>415</v>
      </c>
      <c r="D130" s="107">
        <f t="shared" si="119"/>
        <v>435</v>
      </c>
      <c r="E130" s="109"/>
      <c r="F130" s="107">
        <f t="shared" si="120"/>
        <v>435</v>
      </c>
      <c r="G130" s="107">
        <v>415</v>
      </c>
      <c r="H130" s="107">
        <f t="shared" si="121"/>
        <v>435</v>
      </c>
      <c r="I130" s="109"/>
      <c r="J130" s="107">
        <f t="shared" si="122"/>
        <v>435</v>
      </c>
      <c r="K130" s="107">
        <f t="shared" si="108"/>
        <v>415</v>
      </c>
      <c r="L130" s="107">
        <f t="shared" si="123"/>
        <v>435</v>
      </c>
      <c r="M130" s="109"/>
      <c r="N130" s="107">
        <f t="shared" si="124"/>
        <v>435</v>
      </c>
      <c r="O130" s="107">
        <f t="shared" si="109"/>
        <v>415</v>
      </c>
      <c r="P130" s="107">
        <f t="shared" si="125"/>
        <v>435</v>
      </c>
      <c r="Q130" s="144"/>
    </row>
    <row r="131" spans="1:17" x14ac:dyDescent="0.25">
      <c r="A131" s="107">
        <f t="shared" si="106"/>
        <v>1600</v>
      </c>
      <c r="B131" s="107">
        <f t="shared" si="126"/>
        <v>435</v>
      </c>
      <c r="C131" s="107">
        <v>415</v>
      </c>
      <c r="D131" s="107">
        <f t="shared" si="119"/>
        <v>435</v>
      </c>
      <c r="E131" s="109"/>
      <c r="F131" s="107">
        <f t="shared" si="120"/>
        <v>435</v>
      </c>
      <c r="G131" s="107">
        <v>415</v>
      </c>
      <c r="H131" s="107">
        <f t="shared" si="121"/>
        <v>435</v>
      </c>
      <c r="I131" s="109"/>
      <c r="J131" s="107">
        <f t="shared" si="122"/>
        <v>435</v>
      </c>
      <c r="K131" s="107">
        <f t="shared" si="108"/>
        <v>415</v>
      </c>
      <c r="L131" s="107">
        <f t="shared" si="123"/>
        <v>435</v>
      </c>
      <c r="M131" s="109"/>
      <c r="N131" s="107">
        <f t="shared" si="124"/>
        <v>435</v>
      </c>
      <c r="O131" s="107">
        <f t="shared" si="109"/>
        <v>415</v>
      </c>
      <c r="P131" s="107">
        <f t="shared" si="125"/>
        <v>435</v>
      </c>
      <c r="Q131" s="144"/>
    </row>
    <row r="132" spans="1:17" x14ac:dyDescent="0.25">
      <c r="A132" s="107">
        <f t="shared" si="106"/>
        <v>2000</v>
      </c>
      <c r="B132" s="107">
        <f t="shared" si="126"/>
        <v>435</v>
      </c>
      <c r="C132" s="107">
        <v>415</v>
      </c>
      <c r="D132" s="107">
        <f t="shared" si="119"/>
        <v>435</v>
      </c>
      <c r="E132" s="109"/>
      <c r="F132" s="107">
        <f t="shared" si="120"/>
        <v>435</v>
      </c>
      <c r="G132" s="107">
        <v>415</v>
      </c>
      <c r="H132" s="107">
        <f t="shared" si="121"/>
        <v>435</v>
      </c>
      <c r="I132" s="109"/>
      <c r="J132" s="107">
        <f t="shared" si="122"/>
        <v>435</v>
      </c>
      <c r="K132" s="107">
        <f t="shared" si="108"/>
        <v>415</v>
      </c>
      <c r="L132" s="107">
        <f t="shared" si="123"/>
        <v>435</v>
      </c>
      <c r="M132" s="109"/>
      <c r="N132" s="107">
        <f t="shared" si="124"/>
        <v>435</v>
      </c>
      <c r="O132" s="107">
        <f t="shared" si="109"/>
        <v>415</v>
      </c>
      <c r="P132" s="107">
        <f t="shared" si="125"/>
        <v>435</v>
      </c>
      <c r="Q132" s="144"/>
    </row>
    <row r="133" spans="1:17" x14ac:dyDescent="0.25">
      <c r="A133" s="107">
        <f t="shared" si="106"/>
        <v>2500</v>
      </c>
      <c r="B133" s="107">
        <f t="shared" si="126"/>
        <v>435</v>
      </c>
      <c r="C133" s="107">
        <v>415</v>
      </c>
      <c r="D133" s="107">
        <f t="shared" si="119"/>
        <v>435</v>
      </c>
      <c r="E133" s="109"/>
      <c r="F133" s="107">
        <f t="shared" si="120"/>
        <v>435</v>
      </c>
      <c r="G133" s="107">
        <v>415</v>
      </c>
      <c r="H133" s="107">
        <f t="shared" si="121"/>
        <v>435</v>
      </c>
      <c r="I133" s="109"/>
      <c r="J133" s="107">
        <f t="shared" si="122"/>
        <v>435</v>
      </c>
      <c r="K133" s="107">
        <f t="shared" si="108"/>
        <v>415</v>
      </c>
      <c r="L133" s="107">
        <f t="shared" si="123"/>
        <v>435</v>
      </c>
      <c r="M133" s="109"/>
      <c r="N133" s="107">
        <f t="shared" si="124"/>
        <v>435</v>
      </c>
      <c r="O133" s="107">
        <f t="shared" si="109"/>
        <v>415</v>
      </c>
      <c r="P133" s="107">
        <f t="shared" si="125"/>
        <v>435</v>
      </c>
      <c r="Q133" s="144"/>
    </row>
    <row r="134" spans="1:17" x14ac:dyDescent="0.25">
      <c r="A134" s="107">
        <f t="shared" si="106"/>
        <v>3200</v>
      </c>
      <c r="B134" s="107">
        <f t="shared" si="126"/>
        <v>435</v>
      </c>
      <c r="C134" s="107">
        <v>415</v>
      </c>
      <c r="D134" s="107">
        <f t="shared" si="119"/>
        <v>435</v>
      </c>
      <c r="E134" s="109"/>
      <c r="F134" s="107">
        <f t="shared" si="120"/>
        <v>435</v>
      </c>
      <c r="G134" s="107">
        <v>415</v>
      </c>
      <c r="H134" s="107">
        <f t="shared" si="121"/>
        <v>435</v>
      </c>
      <c r="I134" s="109"/>
      <c r="J134" s="107">
        <f t="shared" si="122"/>
        <v>435</v>
      </c>
      <c r="K134" s="107">
        <f t="shared" si="108"/>
        <v>415</v>
      </c>
      <c r="L134" s="107">
        <f t="shared" si="123"/>
        <v>435</v>
      </c>
      <c r="M134" s="109"/>
      <c r="N134" s="107">
        <f t="shared" si="124"/>
        <v>435</v>
      </c>
      <c r="O134" s="107">
        <f t="shared" si="109"/>
        <v>415</v>
      </c>
      <c r="P134" s="107">
        <f t="shared" si="125"/>
        <v>435</v>
      </c>
      <c r="Q134" s="144"/>
    </row>
    <row r="135" spans="1:17" x14ac:dyDescent="0.25">
      <c r="A135" s="107">
        <f t="shared" si="106"/>
        <v>4000</v>
      </c>
      <c r="B135" s="107">
        <f t="shared" si="126"/>
        <v>435</v>
      </c>
      <c r="C135" s="107">
        <v>415</v>
      </c>
      <c r="D135" s="107">
        <f t="shared" si="119"/>
        <v>435</v>
      </c>
      <c r="E135" s="109"/>
      <c r="F135" s="107">
        <f t="shared" si="120"/>
        <v>435</v>
      </c>
      <c r="G135" s="107">
        <v>415</v>
      </c>
      <c r="H135" s="107">
        <f t="shared" si="121"/>
        <v>435</v>
      </c>
      <c r="I135" s="109"/>
      <c r="J135" s="107">
        <f t="shared" si="122"/>
        <v>435</v>
      </c>
      <c r="K135" s="107">
        <f t="shared" si="108"/>
        <v>415</v>
      </c>
      <c r="L135" s="107">
        <f t="shared" si="123"/>
        <v>435</v>
      </c>
      <c r="M135" s="109"/>
      <c r="N135" s="107">
        <f t="shared" si="124"/>
        <v>435</v>
      </c>
      <c r="O135" s="107">
        <f t="shared" si="109"/>
        <v>415</v>
      </c>
      <c r="P135" s="107">
        <f t="shared" si="125"/>
        <v>435</v>
      </c>
      <c r="Q135" s="144"/>
    </row>
    <row r="136" spans="1:17" x14ac:dyDescent="0.25">
      <c r="A136" s="107">
        <f t="shared" si="106"/>
        <v>5000</v>
      </c>
      <c r="B136" s="107">
        <f t="shared" si="126"/>
        <v>435</v>
      </c>
      <c r="C136" s="107">
        <v>415</v>
      </c>
      <c r="D136" s="107">
        <f t="shared" si="119"/>
        <v>435</v>
      </c>
      <c r="E136" s="109"/>
      <c r="F136" s="107">
        <f t="shared" si="120"/>
        <v>435</v>
      </c>
      <c r="G136" s="107">
        <v>415</v>
      </c>
      <c r="H136" s="107">
        <f t="shared" si="121"/>
        <v>435</v>
      </c>
      <c r="I136" s="109"/>
      <c r="J136" s="107">
        <f t="shared" si="122"/>
        <v>435</v>
      </c>
      <c r="K136" s="107">
        <f t="shared" si="108"/>
        <v>415</v>
      </c>
      <c r="L136" s="107">
        <f t="shared" si="123"/>
        <v>435</v>
      </c>
      <c r="M136" s="109"/>
      <c r="N136" s="107">
        <f t="shared" si="124"/>
        <v>435</v>
      </c>
      <c r="O136" s="107">
        <f t="shared" si="109"/>
        <v>415</v>
      </c>
      <c r="P136" s="107">
        <f t="shared" si="125"/>
        <v>435</v>
      </c>
      <c r="Q136" s="144"/>
    </row>
    <row r="137" spans="1:17" x14ac:dyDescent="0.25">
      <c r="A137" s="107">
        <f t="shared" si="106"/>
        <v>6300</v>
      </c>
      <c r="B137" s="107">
        <f t="shared" si="126"/>
        <v>435</v>
      </c>
      <c r="C137" s="107">
        <v>415</v>
      </c>
      <c r="D137" s="107">
        <f t="shared" si="119"/>
        <v>435</v>
      </c>
      <c r="E137" s="109"/>
      <c r="F137" s="107">
        <f t="shared" si="120"/>
        <v>435</v>
      </c>
      <c r="G137" s="107">
        <v>415</v>
      </c>
      <c r="H137" s="107">
        <f t="shared" si="121"/>
        <v>435</v>
      </c>
      <c r="I137" s="109"/>
      <c r="J137" s="107">
        <f t="shared" si="122"/>
        <v>435</v>
      </c>
      <c r="K137" s="107">
        <f t="shared" si="108"/>
        <v>415</v>
      </c>
      <c r="L137" s="107">
        <f t="shared" si="123"/>
        <v>435</v>
      </c>
      <c r="M137" s="109"/>
      <c r="N137" s="107">
        <f t="shared" si="124"/>
        <v>435</v>
      </c>
      <c r="O137" s="107">
        <f t="shared" si="109"/>
        <v>415</v>
      </c>
      <c r="P137" s="107">
        <f t="shared" si="125"/>
        <v>435</v>
      </c>
      <c r="Q137" s="144"/>
    </row>
    <row r="139" spans="1:17" ht="18.75" x14ac:dyDescent="0.25">
      <c r="D139" s="199" t="s">
        <v>34</v>
      </c>
      <c r="E139" s="199"/>
      <c r="F139" s="199"/>
      <c r="G139" s="199"/>
      <c r="H139" s="199"/>
      <c r="I139" s="199"/>
      <c r="J139" s="199"/>
    </row>
    <row r="140" spans="1:17" x14ac:dyDescent="0.25">
      <c r="D140" s="204" t="s">
        <v>2</v>
      </c>
      <c r="E140" s="204"/>
      <c r="F140" s="204"/>
      <c r="G140" s="204"/>
      <c r="H140" s="204"/>
      <c r="I140" s="204"/>
      <c r="J140" s="204"/>
    </row>
    <row r="141" spans="1:17" x14ac:dyDescent="0.25">
      <c r="D141" s="204" t="s">
        <v>3</v>
      </c>
      <c r="E141" s="204"/>
      <c r="F141" s="204"/>
      <c r="G141" s="204" t="s">
        <v>32</v>
      </c>
      <c r="H141" s="204"/>
      <c r="I141" s="204"/>
      <c r="J141" s="204"/>
    </row>
    <row r="142" spans="1:17" x14ac:dyDescent="0.25">
      <c r="D142" s="204" t="s">
        <v>23</v>
      </c>
      <c r="E142" s="204"/>
      <c r="F142" s="204"/>
      <c r="G142" s="204" t="s">
        <v>32</v>
      </c>
      <c r="H142" s="204"/>
      <c r="I142" s="204"/>
      <c r="J142" s="204"/>
    </row>
    <row r="143" spans="1:17" x14ac:dyDescent="0.25">
      <c r="D143" s="204" t="s">
        <v>31</v>
      </c>
      <c r="E143" s="204"/>
      <c r="F143" s="204"/>
      <c r="G143" s="204" t="s">
        <v>32</v>
      </c>
      <c r="H143" s="204"/>
      <c r="I143" s="204"/>
      <c r="J143" s="204"/>
    </row>
    <row r="145" spans="1:17" x14ac:dyDescent="0.25">
      <c r="A145" s="203" t="s">
        <v>5</v>
      </c>
      <c r="B145" s="203" t="s">
        <v>6</v>
      </c>
      <c r="C145" s="203"/>
      <c r="D145" s="203"/>
      <c r="E145" s="203"/>
      <c r="F145" s="203"/>
      <c r="G145" s="203"/>
      <c r="H145" s="203"/>
      <c r="I145" s="203"/>
      <c r="J145" s="203" t="s">
        <v>7</v>
      </c>
      <c r="K145" s="203"/>
      <c r="L145" s="203"/>
      <c r="M145" s="203"/>
      <c r="N145" s="203"/>
      <c r="O145" s="203"/>
      <c r="P145" s="203"/>
      <c r="Q145" s="203"/>
    </row>
    <row r="146" spans="1:17" x14ac:dyDescent="0.25">
      <c r="A146" s="203"/>
      <c r="B146" s="203" t="s">
        <v>8</v>
      </c>
      <c r="C146" s="203"/>
      <c r="D146" s="203"/>
      <c r="E146" s="203"/>
      <c r="F146" s="203" t="s">
        <v>9</v>
      </c>
      <c r="G146" s="203"/>
      <c r="H146" s="203"/>
      <c r="I146" s="203"/>
      <c r="J146" s="203" t="s">
        <v>8</v>
      </c>
      <c r="K146" s="203"/>
      <c r="L146" s="203"/>
      <c r="M146" s="203"/>
      <c r="N146" s="203" t="s">
        <v>9</v>
      </c>
      <c r="O146" s="203"/>
      <c r="P146" s="203"/>
      <c r="Q146" s="203"/>
    </row>
    <row r="147" spans="1:17" x14ac:dyDescent="0.25">
      <c r="A147" s="203"/>
      <c r="B147" s="143" t="s">
        <v>24</v>
      </c>
      <c r="C147" s="143" t="s">
        <v>27</v>
      </c>
      <c r="D147" s="143" t="s">
        <v>33</v>
      </c>
      <c r="E147" s="143" t="s">
        <v>26</v>
      </c>
      <c r="F147" s="143" t="s">
        <v>24</v>
      </c>
      <c r="G147" s="143" t="s">
        <v>27</v>
      </c>
      <c r="H147" s="143" t="s">
        <v>33</v>
      </c>
      <c r="I147" s="143" t="s">
        <v>26</v>
      </c>
      <c r="J147" s="143" t="s">
        <v>24</v>
      </c>
      <c r="K147" s="143" t="s">
        <v>27</v>
      </c>
      <c r="L147" s="143" t="s">
        <v>33</v>
      </c>
      <c r="M147" s="143" t="s">
        <v>26</v>
      </c>
      <c r="N147" s="143" t="s">
        <v>24</v>
      </c>
      <c r="O147" s="143" t="s">
        <v>27</v>
      </c>
      <c r="P147" s="143" t="s">
        <v>33</v>
      </c>
      <c r="Q147" s="143" t="s">
        <v>26</v>
      </c>
    </row>
    <row r="148" spans="1:17" x14ac:dyDescent="0.25">
      <c r="A148" s="107">
        <v>160</v>
      </c>
      <c r="B148" s="118">
        <f>B96</f>
        <v>300</v>
      </c>
      <c r="C148" s="107">
        <v>180</v>
      </c>
      <c r="D148" s="118">
        <f>C96</f>
        <v>300</v>
      </c>
      <c r="E148" s="105"/>
      <c r="F148" s="118">
        <f>E96</f>
        <v>300</v>
      </c>
      <c r="G148" s="107">
        <v>170</v>
      </c>
      <c r="H148" s="118">
        <f>F96</f>
        <v>300</v>
      </c>
      <c r="I148" s="105"/>
      <c r="J148" s="118">
        <f t="shared" ref="J148:J163" si="127">B148</f>
        <v>300</v>
      </c>
      <c r="K148" s="118">
        <f t="shared" ref="K148:K163" si="128">C148</f>
        <v>180</v>
      </c>
      <c r="L148" s="118">
        <f t="shared" ref="L148:L163" si="129">D148</f>
        <v>300</v>
      </c>
      <c r="M148" s="105"/>
      <c r="N148" s="118">
        <f t="shared" ref="N148:N163" si="130">F148</f>
        <v>300</v>
      </c>
      <c r="O148" s="107">
        <f t="shared" ref="O148:O163" si="131">G148</f>
        <v>170</v>
      </c>
      <c r="P148" s="118">
        <f t="shared" ref="P148:P163" si="132">H148</f>
        <v>300</v>
      </c>
      <c r="Q148" s="105"/>
    </row>
    <row r="149" spans="1:17" x14ac:dyDescent="0.25">
      <c r="A149" s="107">
        <f t="shared" ref="A149:A163" si="133">A13</f>
        <v>250</v>
      </c>
      <c r="B149" s="118">
        <f>B97</f>
        <v>300</v>
      </c>
      <c r="C149" s="107">
        <v>180</v>
      </c>
      <c r="D149" s="118">
        <f>C97</f>
        <v>300</v>
      </c>
      <c r="E149" s="105"/>
      <c r="F149" s="118">
        <f>E97</f>
        <v>300</v>
      </c>
      <c r="G149" s="107">
        <v>170</v>
      </c>
      <c r="H149" s="118">
        <f t="shared" ref="H149:H163" si="134">F149</f>
        <v>300</v>
      </c>
      <c r="I149" s="105"/>
      <c r="J149" s="118">
        <f t="shared" si="127"/>
        <v>300</v>
      </c>
      <c r="K149" s="118">
        <f t="shared" si="128"/>
        <v>180</v>
      </c>
      <c r="L149" s="118">
        <f t="shared" si="129"/>
        <v>300</v>
      </c>
      <c r="M149" s="105"/>
      <c r="N149" s="118">
        <f t="shared" si="130"/>
        <v>300</v>
      </c>
      <c r="O149" s="107">
        <f t="shared" si="131"/>
        <v>170</v>
      </c>
      <c r="P149" s="118">
        <f t="shared" si="132"/>
        <v>300</v>
      </c>
      <c r="Q149" s="105"/>
    </row>
    <row r="150" spans="1:17" x14ac:dyDescent="0.25">
      <c r="A150" s="107">
        <f t="shared" si="133"/>
        <v>315</v>
      </c>
      <c r="B150" s="118">
        <f t="shared" ref="B150:B152" si="135">B98</f>
        <v>300</v>
      </c>
      <c r="C150" s="107">
        <v>180</v>
      </c>
      <c r="D150" s="118">
        <f t="shared" ref="D150:D151" si="136">C98</f>
        <v>300</v>
      </c>
      <c r="E150" s="105"/>
      <c r="F150" s="118">
        <f t="shared" ref="F150:F151" si="137">E98</f>
        <v>300</v>
      </c>
      <c r="G150" s="107">
        <v>170</v>
      </c>
      <c r="H150" s="118">
        <f t="shared" ref="H150" si="138">F98</f>
        <v>300</v>
      </c>
      <c r="I150" s="105"/>
      <c r="J150" s="118">
        <f t="shared" ref="J150:J151" si="139">B150</f>
        <v>300</v>
      </c>
      <c r="K150" s="118">
        <f t="shared" ref="K150:K151" si="140">C150</f>
        <v>180</v>
      </c>
      <c r="L150" s="118">
        <f t="shared" ref="L150:L151" si="141">D150</f>
        <v>300</v>
      </c>
      <c r="M150" s="105"/>
      <c r="N150" s="118">
        <f t="shared" ref="N150:N151" si="142">F150</f>
        <v>300</v>
      </c>
      <c r="O150" s="107">
        <f t="shared" ref="O150:O151" si="143">G150</f>
        <v>170</v>
      </c>
      <c r="P150" s="118">
        <f t="shared" ref="P150:P151" si="144">H150</f>
        <v>300</v>
      </c>
      <c r="Q150" s="105"/>
    </row>
    <row r="151" spans="1:17" x14ac:dyDescent="0.25">
      <c r="A151" s="107">
        <f t="shared" si="133"/>
        <v>400</v>
      </c>
      <c r="B151" s="118">
        <f t="shared" si="135"/>
        <v>300</v>
      </c>
      <c r="C151" s="107">
        <v>180</v>
      </c>
      <c r="D151" s="118">
        <f t="shared" si="136"/>
        <v>300</v>
      </c>
      <c r="E151" s="105"/>
      <c r="F151" s="118">
        <f t="shared" si="137"/>
        <v>300</v>
      </c>
      <c r="G151" s="107">
        <v>170</v>
      </c>
      <c r="H151" s="118">
        <f t="shared" ref="H151" si="145">F151</f>
        <v>300</v>
      </c>
      <c r="I151" s="105"/>
      <c r="J151" s="118">
        <f t="shared" si="139"/>
        <v>300</v>
      </c>
      <c r="K151" s="118">
        <f t="shared" si="140"/>
        <v>180</v>
      </c>
      <c r="L151" s="118">
        <f t="shared" si="141"/>
        <v>300</v>
      </c>
      <c r="M151" s="105"/>
      <c r="N151" s="118">
        <f t="shared" si="142"/>
        <v>300</v>
      </c>
      <c r="O151" s="107">
        <f t="shared" si="143"/>
        <v>170</v>
      </c>
      <c r="P151" s="118">
        <f t="shared" si="144"/>
        <v>300</v>
      </c>
      <c r="Q151" s="105"/>
    </row>
    <row r="152" spans="1:17" x14ac:dyDescent="0.25">
      <c r="A152" s="107">
        <f t="shared" si="133"/>
        <v>500</v>
      </c>
      <c r="B152" s="118">
        <f t="shared" si="135"/>
        <v>300</v>
      </c>
      <c r="C152" s="156">
        <v>180</v>
      </c>
      <c r="D152" s="118">
        <f t="shared" ref="D152" si="146">C100</f>
        <v>300</v>
      </c>
      <c r="E152" s="105"/>
      <c r="F152" s="118">
        <f t="shared" ref="F152" si="147">E100</f>
        <v>300</v>
      </c>
      <c r="G152" s="156">
        <v>170</v>
      </c>
      <c r="H152" s="118">
        <f t="shared" ref="H152" si="148">F100</f>
        <v>300</v>
      </c>
      <c r="I152" s="105"/>
      <c r="J152" s="118">
        <f t="shared" ref="J152" si="149">B152</f>
        <v>300</v>
      </c>
      <c r="K152" s="118">
        <f t="shared" ref="K152" si="150">C152</f>
        <v>180</v>
      </c>
      <c r="L152" s="118">
        <f t="shared" ref="L152" si="151">D152</f>
        <v>300</v>
      </c>
      <c r="M152" s="105"/>
      <c r="N152" s="118">
        <f t="shared" ref="N152" si="152">F152</f>
        <v>300</v>
      </c>
      <c r="O152" s="156">
        <f t="shared" ref="O152" si="153">G152</f>
        <v>170</v>
      </c>
      <c r="P152" s="118">
        <f t="shared" ref="P152" si="154">H152</f>
        <v>300</v>
      </c>
      <c r="Q152" s="105"/>
    </row>
    <row r="153" spans="1:17" x14ac:dyDescent="0.25">
      <c r="A153" s="107">
        <f t="shared" si="133"/>
        <v>630</v>
      </c>
      <c r="B153" s="118">
        <f t="shared" ref="B153:B163" si="155">B101</f>
        <v>300</v>
      </c>
      <c r="C153" s="107">
        <v>220</v>
      </c>
      <c r="D153" s="118">
        <f t="shared" ref="D153:D163" si="156">C101</f>
        <v>300</v>
      </c>
      <c r="E153" s="105"/>
      <c r="F153" s="118">
        <f t="shared" ref="F153:F163" si="157">E101</f>
        <v>300</v>
      </c>
      <c r="G153" s="107">
        <v>210</v>
      </c>
      <c r="H153" s="118">
        <f t="shared" si="134"/>
        <v>300</v>
      </c>
      <c r="I153" s="105"/>
      <c r="J153" s="118">
        <f t="shared" si="127"/>
        <v>300</v>
      </c>
      <c r="K153" s="118">
        <f t="shared" si="128"/>
        <v>220</v>
      </c>
      <c r="L153" s="118">
        <f t="shared" si="129"/>
        <v>300</v>
      </c>
      <c r="M153" s="105"/>
      <c r="N153" s="118">
        <f t="shared" si="130"/>
        <v>300</v>
      </c>
      <c r="O153" s="107">
        <f t="shared" si="131"/>
        <v>210</v>
      </c>
      <c r="P153" s="118">
        <f t="shared" si="132"/>
        <v>300</v>
      </c>
      <c r="Q153" s="105"/>
    </row>
    <row r="154" spans="1:17" x14ac:dyDescent="0.25">
      <c r="A154" s="107">
        <f t="shared" si="133"/>
        <v>800</v>
      </c>
      <c r="B154" s="118">
        <f t="shared" si="155"/>
        <v>300</v>
      </c>
      <c r="C154" s="118">
        <v>260</v>
      </c>
      <c r="D154" s="118">
        <f t="shared" si="156"/>
        <v>300</v>
      </c>
      <c r="E154" s="137"/>
      <c r="F154" s="118">
        <f t="shared" si="157"/>
        <v>300</v>
      </c>
      <c r="G154" s="107">
        <v>250</v>
      </c>
      <c r="H154" s="118">
        <f t="shared" si="134"/>
        <v>300</v>
      </c>
      <c r="I154" s="137"/>
      <c r="J154" s="118">
        <f t="shared" si="127"/>
        <v>300</v>
      </c>
      <c r="K154" s="118">
        <f t="shared" si="128"/>
        <v>260</v>
      </c>
      <c r="L154" s="118">
        <f t="shared" si="129"/>
        <v>300</v>
      </c>
      <c r="M154" s="137"/>
      <c r="N154" s="118">
        <f t="shared" si="130"/>
        <v>300</v>
      </c>
      <c r="O154" s="107">
        <f t="shared" si="131"/>
        <v>250</v>
      </c>
      <c r="P154" s="118">
        <f t="shared" si="132"/>
        <v>300</v>
      </c>
      <c r="Q154" s="145"/>
    </row>
    <row r="155" spans="1:17" x14ac:dyDescent="0.25">
      <c r="A155" s="107">
        <f t="shared" si="133"/>
        <v>1000</v>
      </c>
      <c r="B155" s="118">
        <f t="shared" si="155"/>
        <v>450</v>
      </c>
      <c r="C155" s="118">
        <v>260</v>
      </c>
      <c r="D155" s="118">
        <f t="shared" si="156"/>
        <v>450</v>
      </c>
      <c r="E155" s="137"/>
      <c r="F155" s="118">
        <f t="shared" si="157"/>
        <v>300</v>
      </c>
      <c r="G155" s="107">
        <v>250</v>
      </c>
      <c r="H155" s="118">
        <f t="shared" si="134"/>
        <v>300</v>
      </c>
      <c r="I155" s="137"/>
      <c r="J155" s="118">
        <f t="shared" si="127"/>
        <v>450</v>
      </c>
      <c r="K155" s="118">
        <f t="shared" si="128"/>
        <v>260</v>
      </c>
      <c r="L155" s="118">
        <f t="shared" si="129"/>
        <v>450</v>
      </c>
      <c r="M155" s="137"/>
      <c r="N155" s="118">
        <f t="shared" si="130"/>
        <v>300</v>
      </c>
      <c r="O155" s="107">
        <f t="shared" si="131"/>
        <v>250</v>
      </c>
      <c r="P155" s="118">
        <f t="shared" si="132"/>
        <v>300</v>
      </c>
      <c r="Q155" s="145"/>
    </row>
    <row r="156" spans="1:17" x14ac:dyDescent="0.25">
      <c r="A156" s="107">
        <f t="shared" si="133"/>
        <v>1250</v>
      </c>
      <c r="B156" s="118">
        <f t="shared" si="155"/>
        <v>450</v>
      </c>
      <c r="C156" s="118">
        <v>300</v>
      </c>
      <c r="D156" s="118">
        <f t="shared" si="156"/>
        <v>450</v>
      </c>
      <c r="E156" s="137"/>
      <c r="F156" s="118">
        <f t="shared" si="157"/>
        <v>450</v>
      </c>
      <c r="G156" s="107">
        <v>260</v>
      </c>
      <c r="H156" s="118">
        <f t="shared" si="134"/>
        <v>450</v>
      </c>
      <c r="I156" s="137"/>
      <c r="J156" s="118">
        <f t="shared" si="127"/>
        <v>450</v>
      </c>
      <c r="K156" s="118">
        <f t="shared" si="128"/>
        <v>300</v>
      </c>
      <c r="L156" s="118">
        <f t="shared" si="129"/>
        <v>450</v>
      </c>
      <c r="M156" s="137"/>
      <c r="N156" s="118">
        <f t="shared" si="130"/>
        <v>450</v>
      </c>
      <c r="O156" s="107">
        <f t="shared" si="131"/>
        <v>260</v>
      </c>
      <c r="P156" s="118">
        <f t="shared" si="132"/>
        <v>450</v>
      </c>
      <c r="Q156" s="145"/>
    </row>
    <row r="157" spans="1:17" x14ac:dyDescent="0.25">
      <c r="A157" s="107">
        <f t="shared" si="133"/>
        <v>1600</v>
      </c>
      <c r="B157" s="118">
        <f t="shared" si="155"/>
        <v>450</v>
      </c>
      <c r="C157" s="118">
        <v>340</v>
      </c>
      <c r="D157" s="118">
        <f t="shared" si="156"/>
        <v>450</v>
      </c>
      <c r="E157" s="137"/>
      <c r="F157" s="118">
        <f t="shared" si="157"/>
        <v>450</v>
      </c>
      <c r="G157" s="107">
        <v>260</v>
      </c>
      <c r="H157" s="118">
        <f t="shared" si="134"/>
        <v>450</v>
      </c>
      <c r="I157" s="137"/>
      <c r="J157" s="118">
        <f t="shared" si="127"/>
        <v>450</v>
      </c>
      <c r="K157" s="118">
        <f t="shared" si="128"/>
        <v>340</v>
      </c>
      <c r="L157" s="118">
        <f t="shared" si="129"/>
        <v>450</v>
      </c>
      <c r="M157" s="137"/>
      <c r="N157" s="118">
        <f t="shared" si="130"/>
        <v>450</v>
      </c>
      <c r="O157" s="107">
        <f t="shared" si="131"/>
        <v>260</v>
      </c>
      <c r="P157" s="118">
        <f t="shared" si="132"/>
        <v>450</v>
      </c>
      <c r="Q157" s="145"/>
    </row>
    <row r="158" spans="1:17" x14ac:dyDescent="0.25">
      <c r="A158" s="107">
        <f t="shared" si="133"/>
        <v>2000</v>
      </c>
      <c r="B158" s="118">
        <f t="shared" si="155"/>
        <v>450</v>
      </c>
      <c r="C158" s="118">
        <v>380</v>
      </c>
      <c r="D158" s="118">
        <f t="shared" si="156"/>
        <v>450</v>
      </c>
      <c r="E158" s="137"/>
      <c r="F158" s="118">
        <f t="shared" si="157"/>
        <v>450</v>
      </c>
      <c r="G158" s="107">
        <v>300</v>
      </c>
      <c r="H158" s="118">
        <f t="shared" si="134"/>
        <v>450</v>
      </c>
      <c r="I158" s="137"/>
      <c r="J158" s="118">
        <f t="shared" si="127"/>
        <v>450</v>
      </c>
      <c r="K158" s="118">
        <f t="shared" si="128"/>
        <v>380</v>
      </c>
      <c r="L158" s="118">
        <f t="shared" si="129"/>
        <v>450</v>
      </c>
      <c r="M158" s="137"/>
      <c r="N158" s="118">
        <f t="shared" si="130"/>
        <v>450</v>
      </c>
      <c r="O158" s="107">
        <f t="shared" si="131"/>
        <v>300</v>
      </c>
      <c r="P158" s="118">
        <f t="shared" si="132"/>
        <v>450</v>
      </c>
      <c r="Q158" s="145"/>
    </row>
    <row r="159" spans="1:17" x14ac:dyDescent="0.25">
      <c r="A159" s="107">
        <f t="shared" si="133"/>
        <v>2500</v>
      </c>
      <c r="B159" s="118">
        <f t="shared" si="155"/>
        <v>600</v>
      </c>
      <c r="C159" s="107">
        <v>480</v>
      </c>
      <c r="D159" s="118">
        <f t="shared" si="156"/>
        <v>600</v>
      </c>
      <c r="E159" s="137"/>
      <c r="F159" s="118">
        <f t="shared" si="157"/>
        <v>450</v>
      </c>
      <c r="G159" s="107">
        <v>340</v>
      </c>
      <c r="H159" s="118">
        <f t="shared" si="134"/>
        <v>450</v>
      </c>
      <c r="I159" s="137"/>
      <c r="J159" s="118">
        <f t="shared" si="127"/>
        <v>600</v>
      </c>
      <c r="K159" s="118">
        <f t="shared" si="128"/>
        <v>480</v>
      </c>
      <c r="L159" s="118">
        <f t="shared" si="129"/>
        <v>600</v>
      </c>
      <c r="M159" s="137"/>
      <c r="N159" s="118">
        <f t="shared" si="130"/>
        <v>450</v>
      </c>
      <c r="O159" s="107">
        <f t="shared" si="131"/>
        <v>340</v>
      </c>
      <c r="P159" s="118">
        <f t="shared" si="132"/>
        <v>450</v>
      </c>
      <c r="Q159" s="145"/>
    </row>
    <row r="160" spans="1:17" x14ac:dyDescent="0.25">
      <c r="A160" s="107">
        <f t="shared" si="133"/>
        <v>3200</v>
      </c>
      <c r="B160" s="118">
        <f t="shared" si="155"/>
        <v>650</v>
      </c>
      <c r="C160" s="107">
        <v>550</v>
      </c>
      <c r="D160" s="118">
        <f t="shared" si="156"/>
        <v>650</v>
      </c>
      <c r="E160" s="137"/>
      <c r="F160" s="118">
        <f t="shared" si="157"/>
        <v>600</v>
      </c>
      <c r="G160" s="107">
        <v>420</v>
      </c>
      <c r="H160" s="118">
        <f t="shared" si="134"/>
        <v>600</v>
      </c>
      <c r="I160" s="137"/>
      <c r="J160" s="118">
        <f t="shared" si="127"/>
        <v>650</v>
      </c>
      <c r="K160" s="118">
        <f t="shared" si="128"/>
        <v>550</v>
      </c>
      <c r="L160" s="118">
        <f t="shared" si="129"/>
        <v>650</v>
      </c>
      <c r="M160" s="137"/>
      <c r="N160" s="118">
        <f t="shared" si="130"/>
        <v>600</v>
      </c>
      <c r="O160" s="107">
        <f t="shared" si="131"/>
        <v>420</v>
      </c>
      <c r="P160" s="118">
        <f t="shared" si="132"/>
        <v>600</v>
      </c>
      <c r="Q160" s="145"/>
    </row>
    <row r="161" spans="1:17" x14ac:dyDescent="0.25">
      <c r="A161" s="107">
        <f t="shared" si="133"/>
        <v>4000</v>
      </c>
      <c r="B161" s="118">
        <f t="shared" si="155"/>
        <v>750</v>
      </c>
      <c r="C161" s="107">
        <v>630</v>
      </c>
      <c r="D161" s="118">
        <f t="shared" si="156"/>
        <v>750</v>
      </c>
      <c r="E161" s="137"/>
      <c r="F161" s="118">
        <f t="shared" si="157"/>
        <v>650</v>
      </c>
      <c r="G161" s="107">
        <v>550</v>
      </c>
      <c r="H161" s="118">
        <f t="shared" si="134"/>
        <v>650</v>
      </c>
      <c r="I161" s="137"/>
      <c r="J161" s="118">
        <f t="shared" si="127"/>
        <v>750</v>
      </c>
      <c r="K161" s="118">
        <f t="shared" si="128"/>
        <v>630</v>
      </c>
      <c r="L161" s="118">
        <f t="shared" si="129"/>
        <v>750</v>
      </c>
      <c r="M161" s="137"/>
      <c r="N161" s="118">
        <f t="shared" si="130"/>
        <v>650</v>
      </c>
      <c r="O161" s="107">
        <f t="shared" si="131"/>
        <v>550</v>
      </c>
      <c r="P161" s="118">
        <f t="shared" si="132"/>
        <v>650</v>
      </c>
      <c r="Q161" s="145"/>
    </row>
    <row r="162" spans="1:17" x14ac:dyDescent="0.25">
      <c r="A162" s="107">
        <f t="shared" si="133"/>
        <v>5000</v>
      </c>
      <c r="B162" s="118">
        <f t="shared" si="155"/>
        <v>950</v>
      </c>
      <c r="C162" s="107">
        <v>850</v>
      </c>
      <c r="D162" s="118">
        <f t="shared" si="156"/>
        <v>950</v>
      </c>
      <c r="E162" s="137"/>
      <c r="F162" s="118">
        <f t="shared" si="157"/>
        <v>750</v>
      </c>
      <c r="G162" s="107">
        <v>830</v>
      </c>
      <c r="H162" s="118">
        <f t="shared" si="134"/>
        <v>750</v>
      </c>
      <c r="I162" s="137"/>
      <c r="J162" s="118">
        <f t="shared" si="127"/>
        <v>950</v>
      </c>
      <c r="K162" s="118">
        <f t="shared" si="128"/>
        <v>850</v>
      </c>
      <c r="L162" s="118">
        <f t="shared" si="129"/>
        <v>950</v>
      </c>
      <c r="M162" s="137"/>
      <c r="N162" s="118">
        <f t="shared" si="130"/>
        <v>750</v>
      </c>
      <c r="O162" s="107">
        <f t="shared" si="131"/>
        <v>830</v>
      </c>
      <c r="P162" s="118">
        <f t="shared" si="132"/>
        <v>750</v>
      </c>
      <c r="Q162" s="145"/>
    </row>
    <row r="163" spans="1:17" x14ac:dyDescent="0.25">
      <c r="A163" s="107">
        <f t="shared" si="133"/>
        <v>6300</v>
      </c>
      <c r="B163" s="118">
        <f t="shared" si="155"/>
        <v>1100</v>
      </c>
      <c r="C163" s="107">
        <v>970</v>
      </c>
      <c r="D163" s="118">
        <f t="shared" si="156"/>
        <v>1100</v>
      </c>
      <c r="E163" s="137"/>
      <c r="F163" s="118">
        <f t="shared" si="157"/>
        <v>950</v>
      </c>
      <c r="G163" s="107">
        <v>850</v>
      </c>
      <c r="H163" s="118">
        <f t="shared" si="134"/>
        <v>950</v>
      </c>
      <c r="I163" s="137"/>
      <c r="J163" s="118">
        <f t="shared" si="127"/>
        <v>1100</v>
      </c>
      <c r="K163" s="118">
        <f t="shared" si="128"/>
        <v>970</v>
      </c>
      <c r="L163" s="118">
        <f t="shared" si="129"/>
        <v>1100</v>
      </c>
      <c r="M163" s="137"/>
      <c r="N163" s="118">
        <f t="shared" si="130"/>
        <v>950</v>
      </c>
      <c r="O163" s="107">
        <f t="shared" si="131"/>
        <v>850</v>
      </c>
      <c r="P163" s="118">
        <f t="shared" si="132"/>
        <v>950</v>
      </c>
      <c r="Q163" s="145"/>
    </row>
    <row r="164" spans="1:17" x14ac:dyDescent="0.25">
      <c r="I164" s="146"/>
      <c r="Q164" s="146"/>
    </row>
    <row r="165" spans="1:17" ht="18.75" x14ac:dyDescent="0.25">
      <c r="D165" s="199" t="s">
        <v>35</v>
      </c>
      <c r="E165" s="199"/>
      <c r="F165" s="199"/>
      <c r="G165" s="199"/>
      <c r="H165" s="199"/>
      <c r="I165" s="199"/>
      <c r="J165" s="199"/>
    </row>
    <row r="166" spans="1:17" x14ac:dyDescent="0.25">
      <c r="D166" s="204" t="s">
        <v>2</v>
      </c>
      <c r="E166" s="204"/>
      <c r="F166" s="204"/>
      <c r="G166" s="204"/>
      <c r="H166" s="204"/>
      <c r="I166" s="204"/>
      <c r="J166" s="204"/>
    </row>
    <row r="167" spans="1:17" x14ac:dyDescent="0.25">
      <c r="D167" s="204" t="s">
        <v>3</v>
      </c>
      <c r="E167" s="204"/>
      <c r="F167" s="204"/>
      <c r="G167" s="204" t="s">
        <v>32</v>
      </c>
      <c r="H167" s="204"/>
      <c r="I167" s="204"/>
      <c r="J167" s="204"/>
    </row>
    <row r="168" spans="1:17" x14ac:dyDescent="0.25">
      <c r="D168" s="204" t="s">
        <v>23</v>
      </c>
      <c r="E168" s="204"/>
      <c r="F168" s="204"/>
      <c r="G168" s="204" t="s">
        <v>32</v>
      </c>
      <c r="H168" s="204"/>
      <c r="I168" s="204"/>
      <c r="J168" s="204"/>
    </row>
    <row r="169" spans="1:17" x14ac:dyDescent="0.25">
      <c r="D169" s="204" t="s">
        <v>31</v>
      </c>
      <c r="E169" s="204"/>
      <c r="F169" s="204"/>
      <c r="G169" s="204" t="s">
        <v>32</v>
      </c>
      <c r="H169" s="204"/>
      <c r="I169" s="204"/>
      <c r="J169" s="204"/>
    </row>
    <row r="171" spans="1:17" x14ac:dyDescent="0.25">
      <c r="A171" s="203" t="s">
        <v>5</v>
      </c>
      <c r="B171" s="203" t="s">
        <v>6</v>
      </c>
      <c r="C171" s="203"/>
      <c r="D171" s="203"/>
      <c r="E171" s="203"/>
      <c r="F171" s="203"/>
      <c r="G171" s="203"/>
      <c r="H171" s="203"/>
      <c r="I171" s="203"/>
      <c r="J171" s="203" t="s">
        <v>7</v>
      </c>
      <c r="K171" s="203"/>
      <c r="L171" s="203"/>
      <c r="M171" s="203"/>
      <c r="N171" s="203"/>
      <c r="O171" s="203"/>
      <c r="P171" s="203"/>
      <c r="Q171" s="203"/>
    </row>
    <row r="172" spans="1:17" x14ac:dyDescent="0.25">
      <c r="A172" s="203"/>
      <c r="B172" s="208" t="s">
        <v>8</v>
      </c>
      <c r="C172" s="209"/>
      <c r="D172" s="209"/>
      <c r="E172" s="210"/>
      <c r="F172" s="208" t="s">
        <v>9</v>
      </c>
      <c r="G172" s="209"/>
      <c r="H172" s="209"/>
      <c r="I172" s="210"/>
      <c r="J172" s="211" t="s">
        <v>8</v>
      </c>
      <c r="K172" s="212"/>
      <c r="L172" s="212"/>
      <c r="M172" s="213"/>
      <c r="N172" s="208" t="s">
        <v>9</v>
      </c>
      <c r="O172" s="209"/>
      <c r="P172" s="209"/>
      <c r="Q172" s="209"/>
    </row>
    <row r="173" spans="1:17" x14ac:dyDescent="0.25">
      <c r="A173" s="203"/>
      <c r="B173" s="143" t="s">
        <v>24</v>
      </c>
      <c r="C173" s="143" t="s">
        <v>27</v>
      </c>
      <c r="D173" s="143" t="s">
        <v>36</v>
      </c>
      <c r="E173" s="143" t="s">
        <v>26</v>
      </c>
      <c r="F173" s="143" t="s">
        <v>24</v>
      </c>
      <c r="G173" s="143" t="s">
        <v>27</v>
      </c>
      <c r="H173" s="143" t="s">
        <v>36</v>
      </c>
      <c r="I173" s="143" t="s">
        <v>26</v>
      </c>
      <c r="J173" s="143" t="s">
        <v>24</v>
      </c>
      <c r="K173" s="143" t="s">
        <v>27</v>
      </c>
      <c r="L173" s="143" t="s">
        <v>36</v>
      </c>
      <c r="M173" s="143" t="s">
        <v>26</v>
      </c>
      <c r="N173" s="143" t="s">
        <v>24</v>
      </c>
      <c r="O173" s="143" t="s">
        <v>27</v>
      </c>
      <c r="P173" s="143" t="s">
        <v>36</v>
      </c>
      <c r="Q173" s="143" t="s">
        <v>26</v>
      </c>
    </row>
    <row r="174" spans="1:17" x14ac:dyDescent="0.25">
      <c r="A174" s="107">
        <v>160</v>
      </c>
      <c r="B174" s="118">
        <f>(B96*2-B12)-1</f>
        <v>530</v>
      </c>
      <c r="C174" s="118">
        <f>C96</f>
        <v>300</v>
      </c>
      <c r="D174" s="118">
        <f t="shared" ref="D174:D189" si="158">B174/2</f>
        <v>265</v>
      </c>
      <c r="E174" s="105"/>
      <c r="F174" s="118">
        <f>(E96*2-H12)-1</f>
        <v>530</v>
      </c>
      <c r="G174" s="118">
        <f>F96</f>
        <v>300</v>
      </c>
      <c r="H174" s="118">
        <f t="shared" ref="H174:H189" si="159">F174/2</f>
        <v>265</v>
      </c>
      <c r="I174" s="137"/>
      <c r="J174" s="118">
        <f t="shared" ref="J174:J189" si="160">B174</f>
        <v>530</v>
      </c>
      <c r="K174" s="118">
        <f t="shared" ref="K174:K189" si="161">C174</f>
        <v>300</v>
      </c>
      <c r="L174" s="118">
        <f t="shared" ref="L174:L189" si="162">J174/2</f>
        <v>265</v>
      </c>
      <c r="M174" s="105"/>
      <c r="N174" s="118">
        <f t="shared" ref="N174:N189" si="163">F174</f>
        <v>530</v>
      </c>
      <c r="O174" s="118">
        <f t="shared" ref="O174:O189" si="164">G174</f>
        <v>300</v>
      </c>
      <c r="P174" s="118">
        <f t="shared" ref="P174:P189" si="165">N174/2</f>
        <v>265</v>
      </c>
      <c r="Q174" s="105"/>
    </row>
    <row r="175" spans="1:17" x14ac:dyDescent="0.25">
      <c r="A175" s="107">
        <v>250</v>
      </c>
      <c r="B175" s="118">
        <f>(B97*2-B13)-1</f>
        <v>530</v>
      </c>
      <c r="C175" s="118">
        <f>C97</f>
        <v>300</v>
      </c>
      <c r="D175" s="118">
        <f t="shared" si="158"/>
        <v>265</v>
      </c>
      <c r="E175" s="105"/>
      <c r="F175" s="118">
        <f>(E97*2-H13)-1</f>
        <v>530</v>
      </c>
      <c r="G175" s="118">
        <f>F97</f>
        <v>300</v>
      </c>
      <c r="H175" s="118">
        <f t="shared" si="159"/>
        <v>265</v>
      </c>
      <c r="I175" s="137"/>
      <c r="J175" s="118">
        <f t="shared" si="160"/>
        <v>530</v>
      </c>
      <c r="K175" s="118">
        <f t="shared" si="161"/>
        <v>300</v>
      </c>
      <c r="L175" s="118">
        <f t="shared" si="162"/>
        <v>265</v>
      </c>
      <c r="M175" s="105"/>
      <c r="N175" s="118">
        <f t="shared" si="163"/>
        <v>530</v>
      </c>
      <c r="O175" s="118">
        <f t="shared" si="164"/>
        <v>300</v>
      </c>
      <c r="P175" s="118">
        <f t="shared" si="165"/>
        <v>265</v>
      </c>
      <c r="Q175" s="105"/>
    </row>
    <row r="176" spans="1:17" x14ac:dyDescent="0.25">
      <c r="A176" s="107">
        <f t="shared" ref="A176:A180" si="166">A14</f>
        <v>315</v>
      </c>
      <c r="B176" s="118">
        <f>(B98*2-B14)-1</f>
        <v>530</v>
      </c>
      <c r="C176" s="118">
        <f>C98</f>
        <v>300</v>
      </c>
      <c r="D176" s="118">
        <f t="shared" ref="D176:D177" si="167">B176/2</f>
        <v>265</v>
      </c>
      <c r="E176" s="105"/>
      <c r="F176" s="118">
        <f>(E98*2-H14)-1</f>
        <v>530</v>
      </c>
      <c r="G176" s="118">
        <f>F98</f>
        <v>300</v>
      </c>
      <c r="H176" s="118">
        <f t="shared" ref="H176:H177" si="168">F176/2</f>
        <v>265</v>
      </c>
      <c r="I176" s="137"/>
      <c r="J176" s="118">
        <f t="shared" ref="J176:J177" si="169">B176</f>
        <v>530</v>
      </c>
      <c r="K176" s="118">
        <f t="shared" ref="K176:K177" si="170">C176</f>
        <v>300</v>
      </c>
      <c r="L176" s="118">
        <f t="shared" ref="L176:L177" si="171">J176/2</f>
        <v>265</v>
      </c>
      <c r="M176" s="105"/>
      <c r="N176" s="118">
        <f t="shared" ref="N176:N177" si="172">F176</f>
        <v>530</v>
      </c>
      <c r="O176" s="118">
        <f t="shared" ref="O176:O177" si="173">G176</f>
        <v>300</v>
      </c>
      <c r="P176" s="118">
        <f t="shared" ref="P176:P177" si="174">N176/2</f>
        <v>265</v>
      </c>
      <c r="Q176" s="105"/>
    </row>
    <row r="177" spans="1:17" x14ac:dyDescent="0.25">
      <c r="A177" s="107">
        <f t="shared" si="166"/>
        <v>400</v>
      </c>
      <c r="B177" s="118">
        <f>(B99*2-B15)-1</f>
        <v>530</v>
      </c>
      <c r="C177" s="118">
        <f>C99</f>
        <v>300</v>
      </c>
      <c r="D177" s="118">
        <f t="shared" si="167"/>
        <v>265</v>
      </c>
      <c r="E177" s="105"/>
      <c r="F177" s="118">
        <f>(E99*2-H15)-1</f>
        <v>530</v>
      </c>
      <c r="G177" s="118">
        <f>F99</f>
        <v>300</v>
      </c>
      <c r="H177" s="118">
        <f t="shared" si="168"/>
        <v>265</v>
      </c>
      <c r="I177" s="137"/>
      <c r="J177" s="118">
        <f t="shared" si="169"/>
        <v>530</v>
      </c>
      <c r="K177" s="118">
        <f t="shared" si="170"/>
        <v>300</v>
      </c>
      <c r="L177" s="118">
        <f t="shared" si="171"/>
        <v>265</v>
      </c>
      <c r="M177" s="105"/>
      <c r="N177" s="118">
        <f t="shared" si="172"/>
        <v>530</v>
      </c>
      <c r="O177" s="118">
        <f t="shared" si="173"/>
        <v>300</v>
      </c>
      <c r="P177" s="118">
        <f t="shared" si="174"/>
        <v>265</v>
      </c>
      <c r="Q177" s="105"/>
    </row>
    <row r="178" spans="1:17" x14ac:dyDescent="0.25">
      <c r="A178" s="107">
        <f t="shared" si="166"/>
        <v>500</v>
      </c>
      <c r="B178" s="118">
        <v>530</v>
      </c>
      <c r="C178" s="118">
        <f>C100</f>
        <v>300</v>
      </c>
      <c r="D178" s="118">
        <f t="shared" ref="D178" si="175">B178/2</f>
        <v>265</v>
      </c>
      <c r="E178" s="105"/>
      <c r="F178" s="118">
        <f>(E100*2-H16)-1</f>
        <v>530</v>
      </c>
      <c r="G178" s="118">
        <f>F100</f>
        <v>300</v>
      </c>
      <c r="H178" s="118">
        <f t="shared" ref="H178" si="176">F178/2</f>
        <v>265</v>
      </c>
      <c r="I178" s="137"/>
      <c r="J178" s="118">
        <f t="shared" ref="J178" si="177">B178</f>
        <v>530</v>
      </c>
      <c r="K178" s="118">
        <f t="shared" ref="K178" si="178">C178</f>
        <v>300</v>
      </c>
      <c r="L178" s="118">
        <f t="shared" ref="L178" si="179">J178/2</f>
        <v>265</v>
      </c>
      <c r="M178" s="105"/>
      <c r="N178" s="118">
        <f t="shared" ref="N178" si="180">F178</f>
        <v>530</v>
      </c>
      <c r="O178" s="118">
        <f t="shared" ref="O178" si="181">G178</f>
        <v>300</v>
      </c>
      <c r="P178" s="118">
        <f t="shared" ref="P178" si="182">N178/2</f>
        <v>265</v>
      </c>
      <c r="Q178" s="105"/>
    </row>
    <row r="179" spans="1:17" x14ac:dyDescent="0.25">
      <c r="A179" s="107">
        <f t="shared" si="166"/>
        <v>630</v>
      </c>
      <c r="B179" s="118">
        <v>530</v>
      </c>
      <c r="C179" s="118">
        <f t="shared" ref="C179:C189" si="183">C101</f>
        <v>300</v>
      </c>
      <c r="D179" s="118">
        <f t="shared" si="158"/>
        <v>265</v>
      </c>
      <c r="E179" s="105"/>
      <c r="F179" s="118">
        <v>530</v>
      </c>
      <c r="G179" s="118">
        <f t="shared" ref="G179:G189" si="184">F101</f>
        <v>300</v>
      </c>
      <c r="H179" s="118">
        <f t="shared" si="159"/>
        <v>265</v>
      </c>
      <c r="I179" s="137"/>
      <c r="J179" s="118">
        <f t="shared" si="160"/>
        <v>530</v>
      </c>
      <c r="K179" s="118">
        <f t="shared" si="161"/>
        <v>300</v>
      </c>
      <c r="L179" s="118">
        <f t="shared" si="162"/>
        <v>265</v>
      </c>
      <c r="M179" s="105"/>
      <c r="N179" s="118">
        <f t="shared" si="163"/>
        <v>530</v>
      </c>
      <c r="O179" s="118">
        <f t="shared" si="164"/>
        <v>300</v>
      </c>
      <c r="P179" s="118">
        <f t="shared" si="165"/>
        <v>265</v>
      </c>
      <c r="Q179" s="105"/>
    </row>
    <row r="180" spans="1:17" x14ac:dyDescent="0.25">
      <c r="A180" s="107">
        <f t="shared" si="166"/>
        <v>800</v>
      </c>
      <c r="B180" s="118">
        <v>530</v>
      </c>
      <c r="C180" s="118">
        <f t="shared" si="183"/>
        <v>300</v>
      </c>
      <c r="D180" s="118">
        <f t="shared" si="158"/>
        <v>265</v>
      </c>
      <c r="E180" s="137"/>
      <c r="F180" s="118">
        <v>530</v>
      </c>
      <c r="G180" s="118">
        <f t="shared" si="184"/>
        <v>300</v>
      </c>
      <c r="H180" s="118">
        <f t="shared" si="159"/>
        <v>265</v>
      </c>
      <c r="I180" s="137"/>
      <c r="J180" s="118">
        <f t="shared" si="160"/>
        <v>530</v>
      </c>
      <c r="K180" s="118">
        <f t="shared" si="161"/>
        <v>300</v>
      </c>
      <c r="L180" s="118">
        <f t="shared" si="162"/>
        <v>265</v>
      </c>
      <c r="M180" s="137"/>
      <c r="N180" s="118">
        <f t="shared" si="163"/>
        <v>530</v>
      </c>
      <c r="O180" s="118">
        <f t="shared" si="164"/>
        <v>300</v>
      </c>
      <c r="P180" s="118">
        <f t="shared" si="165"/>
        <v>265</v>
      </c>
      <c r="Q180" s="145"/>
    </row>
    <row r="181" spans="1:17" x14ac:dyDescent="0.25">
      <c r="A181" s="107">
        <f t="shared" ref="A181:A189" si="185">A19</f>
        <v>1000</v>
      </c>
      <c r="B181" s="118">
        <f t="shared" ref="B181:B184" si="186">(B103*2-B19)-1</f>
        <v>760</v>
      </c>
      <c r="C181" s="118">
        <f t="shared" si="183"/>
        <v>450</v>
      </c>
      <c r="D181" s="118">
        <f t="shared" si="158"/>
        <v>380</v>
      </c>
      <c r="E181" s="137"/>
      <c r="F181" s="118">
        <f t="shared" ref="F181:F185" si="187">(E103*2-H19)-1</f>
        <v>495</v>
      </c>
      <c r="G181" s="118">
        <f t="shared" si="184"/>
        <v>300</v>
      </c>
      <c r="H181" s="118">
        <f t="shared" si="159"/>
        <v>247.5</v>
      </c>
      <c r="I181" s="137"/>
      <c r="J181" s="118">
        <f t="shared" si="160"/>
        <v>760</v>
      </c>
      <c r="K181" s="118">
        <f t="shared" si="161"/>
        <v>450</v>
      </c>
      <c r="L181" s="118">
        <f t="shared" si="162"/>
        <v>380</v>
      </c>
      <c r="M181" s="137"/>
      <c r="N181" s="118">
        <f t="shared" si="163"/>
        <v>495</v>
      </c>
      <c r="O181" s="118">
        <f t="shared" si="164"/>
        <v>300</v>
      </c>
      <c r="P181" s="118">
        <f t="shared" si="165"/>
        <v>247.5</v>
      </c>
      <c r="Q181" s="145"/>
    </row>
    <row r="182" spans="1:17" x14ac:dyDescent="0.25">
      <c r="A182" s="107">
        <f t="shared" si="185"/>
        <v>1250</v>
      </c>
      <c r="B182" s="118">
        <f t="shared" si="186"/>
        <v>730</v>
      </c>
      <c r="C182" s="118">
        <f t="shared" si="183"/>
        <v>450</v>
      </c>
      <c r="D182" s="118">
        <f t="shared" si="158"/>
        <v>365</v>
      </c>
      <c r="E182" s="137"/>
      <c r="F182" s="118">
        <f t="shared" si="187"/>
        <v>780</v>
      </c>
      <c r="G182" s="118">
        <f t="shared" si="184"/>
        <v>450</v>
      </c>
      <c r="H182" s="118">
        <f t="shared" si="159"/>
        <v>390</v>
      </c>
      <c r="I182" s="137"/>
      <c r="J182" s="118">
        <f t="shared" si="160"/>
        <v>730</v>
      </c>
      <c r="K182" s="118">
        <f t="shared" si="161"/>
        <v>450</v>
      </c>
      <c r="L182" s="118">
        <f t="shared" si="162"/>
        <v>365</v>
      </c>
      <c r="M182" s="137"/>
      <c r="N182" s="118">
        <f t="shared" si="163"/>
        <v>780</v>
      </c>
      <c r="O182" s="118">
        <f t="shared" si="164"/>
        <v>450</v>
      </c>
      <c r="P182" s="118">
        <f t="shared" si="165"/>
        <v>390</v>
      </c>
      <c r="Q182" s="145"/>
    </row>
    <row r="183" spans="1:17" x14ac:dyDescent="0.25">
      <c r="A183" s="107">
        <f t="shared" si="185"/>
        <v>1600</v>
      </c>
      <c r="B183" s="118">
        <f t="shared" si="186"/>
        <v>700</v>
      </c>
      <c r="C183" s="118">
        <f t="shared" si="183"/>
        <v>450</v>
      </c>
      <c r="D183" s="118">
        <f t="shared" si="158"/>
        <v>350</v>
      </c>
      <c r="E183" s="137"/>
      <c r="F183" s="118">
        <f t="shared" si="187"/>
        <v>760</v>
      </c>
      <c r="G183" s="118">
        <f t="shared" si="184"/>
        <v>450</v>
      </c>
      <c r="H183" s="118">
        <f t="shared" si="159"/>
        <v>380</v>
      </c>
      <c r="I183" s="137"/>
      <c r="J183" s="118">
        <f t="shared" si="160"/>
        <v>700</v>
      </c>
      <c r="K183" s="118">
        <f t="shared" si="161"/>
        <v>450</v>
      </c>
      <c r="L183" s="118">
        <f t="shared" si="162"/>
        <v>350</v>
      </c>
      <c r="M183" s="137"/>
      <c r="N183" s="118">
        <f t="shared" si="163"/>
        <v>760</v>
      </c>
      <c r="O183" s="118">
        <f t="shared" si="164"/>
        <v>450</v>
      </c>
      <c r="P183" s="118">
        <f t="shared" si="165"/>
        <v>380</v>
      </c>
      <c r="Q183" s="145"/>
    </row>
    <row r="184" spans="1:17" x14ac:dyDescent="0.25">
      <c r="A184" s="107">
        <f t="shared" si="185"/>
        <v>2000</v>
      </c>
      <c r="B184" s="118">
        <f t="shared" si="186"/>
        <v>660</v>
      </c>
      <c r="C184" s="118">
        <f t="shared" si="183"/>
        <v>450</v>
      </c>
      <c r="D184" s="118">
        <f t="shared" si="158"/>
        <v>330</v>
      </c>
      <c r="E184" s="137"/>
      <c r="F184" s="118">
        <f t="shared" si="187"/>
        <v>700</v>
      </c>
      <c r="G184" s="118">
        <f t="shared" si="184"/>
        <v>450</v>
      </c>
      <c r="H184" s="118">
        <f t="shared" si="159"/>
        <v>350</v>
      </c>
      <c r="I184" s="137"/>
      <c r="J184" s="118">
        <f t="shared" si="160"/>
        <v>660</v>
      </c>
      <c r="K184" s="118">
        <f t="shared" si="161"/>
        <v>450</v>
      </c>
      <c r="L184" s="118">
        <f t="shared" si="162"/>
        <v>330</v>
      </c>
      <c r="M184" s="137"/>
      <c r="N184" s="118">
        <f t="shared" si="163"/>
        <v>700</v>
      </c>
      <c r="O184" s="118">
        <f t="shared" si="164"/>
        <v>450</v>
      </c>
      <c r="P184" s="118">
        <f t="shared" si="165"/>
        <v>350</v>
      </c>
      <c r="Q184" s="145"/>
    </row>
    <row r="185" spans="1:17" x14ac:dyDescent="0.25">
      <c r="A185" s="107">
        <f t="shared" si="185"/>
        <v>2500</v>
      </c>
      <c r="B185" s="118">
        <f>(B107*2-B23)-2</f>
        <v>850</v>
      </c>
      <c r="C185" s="118">
        <f t="shared" si="183"/>
        <v>600</v>
      </c>
      <c r="D185" s="118">
        <f t="shared" si="158"/>
        <v>425</v>
      </c>
      <c r="E185" s="137"/>
      <c r="F185" s="118">
        <f t="shared" si="187"/>
        <v>660</v>
      </c>
      <c r="G185" s="118">
        <f t="shared" si="184"/>
        <v>450</v>
      </c>
      <c r="H185" s="118">
        <f t="shared" si="159"/>
        <v>330</v>
      </c>
      <c r="I185" s="137"/>
      <c r="J185" s="118">
        <f t="shared" si="160"/>
        <v>850</v>
      </c>
      <c r="K185" s="118">
        <f t="shared" si="161"/>
        <v>600</v>
      </c>
      <c r="L185" s="118">
        <f t="shared" si="162"/>
        <v>425</v>
      </c>
      <c r="M185" s="137"/>
      <c r="N185" s="118">
        <f t="shared" si="163"/>
        <v>660</v>
      </c>
      <c r="O185" s="118">
        <f t="shared" si="164"/>
        <v>450</v>
      </c>
      <c r="P185" s="118">
        <f t="shared" si="165"/>
        <v>330</v>
      </c>
      <c r="Q185" s="145"/>
    </row>
    <row r="186" spans="1:17" x14ac:dyDescent="0.25">
      <c r="A186" s="107">
        <f t="shared" si="185"/>
        <v>3200</v>
      </c>
      <c r="B186" s="118">
        <f>(B108*2-B24)-2</f>
        <v>890</v>
      </c>
      <c r="C186" s="118">
        <f t="shared" si="183"/>
        <v>650</v>
      </c>
      <c r="D186" s="118">
        <f t="shared" si="158"/>
        <v>445</v>
      </c>
      <c r="E186" s="137"/>
      <c r="F186" s="118">
        <f>(E108*2-H24)-2</f>
        <v>850</v>
      </c>
      <c r="G186" s="118">
        <f t="shared" si="184"/>
        <v>600</v>
      </c>
      <c r="H186" s="118">
        <f t="shared" si="159"/>
        <v>425</v>
      </c>
      <c r="I186" s="137"/>
      <c r="J186" s="118">
        <f t="shared" si="160"/>
        <v>890</v>
      </c>
      <c r="K186" s="118">
        <f t="shared" si="161"/>
        <v>650</v>
      </c>
      <c r="L186" s="118">
        <f t="shared" si="162"/>
        <v>445</v>
      </c>
      <c r="M186" s="137"/>
      <c r="N186" s="118">
        <f t="shared" si="163"/>
        <v>850</v>
      </c>
      <c r="O186" s="118">
        <f t="shared" si="164"/>
        <v>600</v>
      </c>
      <c r="P186" s="118">
        <f t="shared" si="165"/>
        <v>425</v>
      </c>
      <c r="Q186" s="145"/>
    </row>
    <row r="187" spans="1:17" x14ac:dyDescent="0.25">
      <c r="A187" s="107">
        <f t="shared" si="185"/>
        <v>4000</v>
      </c>
      <c r="B187" s="118">
        <f>(B109*2-B25)-2</f>
        <v>1010</v>
      </c>
      <c r="C187" s="118">
        <f t="shared" si="183"/>
        <v>750</v>
      </c>
      <c r="D187" s="118">
        <f t="shared" si="158"/>
        <v>505</v>
      </c>
      <c r="E187" s="137"/>
      <c r="F187" s="118">
        <f>(E109*2-H25)-2</f>
        <v>890</v>
      </c>
      <c r="G187" s="118">
        <f t="shared" si="184"/>
        <v>650</v>
      </c>
      <c r="H187" s="118">
        <f t="shared" si="159"/>
        <v>445</v>
      </c>
      <c r="I187" s="137"/>
      <c r="J187" s="118">
        <f t="shared" si="160"/>
        <v>1010</v>
      </c>
      <c r="K187" s="118">
        <f t="shared" si="161"/>
        <v>750</v>
      </c>
      <c r="L187" s="118">
        <f t="shared" si="162"/>
        <v>505</v>
      </c>
      <c r="M187" s="137"/>
      <c r="N187" s="118">
        <f t="shared" si="163"/>
        <v>890</v>
      </c>
      <c r="O187" s="118">
        <f t="shared" si="164"/>
        <v>650</v>
      </c>
      <c r="P187" s="118">
        <f t="shared" si="165"/>
        <v>445</v>
      </c>
      <c r="Q187" s="145"/>
    </row>
    <row r="188" spans="1:17" x14ac:dyDescent="0.25">
      <c r="A188" s="107">
        <f t="shared" si="185"/>
        <v>5000</v>
      </c>
      <c r="B188" s="118">
        <f>(B110*2-B26)+6</f>
        <v>1200</v>
      </c>
      <c r="C188" s="118">
        <f t="shared" si="183"/>
        <v>950</v>
      </c>
      <c r="D188" s="118">
        <f t="shared" si="158"/>
        <v>600</v>
      </c>
      <c r="E188" s="137"/>
      <c r="F188" s="118">
        <f>(E110*2-H26)-2</f>
        <v>1010</v>
      </c>
      <c r="G188" s="118">
        <f t="shared" si="184"/>
        <v>750</v>
      </c>
      <c r="H188" s="118">
        <f t="shared" si="159"/>
        <v>505</v>
      </c>
      <c r="I188" s="137"/>
      <c r="J188" s="118">
        <f t="shared" si="160"/>
        <v>1200</v>
      </c>
      <c r="K188" s="118">
        <f t="shared" si="161"/>
        <v>950</v>
      </c>
      <c r="L188" s="118">
        <f t="shared" si="162"/>
        <v>600</v>
      </c>
      <c r="M188" s="137"/>
      <c r="N188" s="118">
        <f t="shared" si="163"/>
        <v>1010</v>
      </c>
      <c r="O188" s="118">
        <f t="shared" si="164"/>
        <v>750</v>
      </c>
      <c r="P188" s="118">
        <f t="shared" si="165"/>
        <v>505</v>
      </c>
      <c r="Q188" s="145"/>
    </row>
    <row r="189" spans="1:17" x14ac:dyDescent="0.25">
      <c r="A189" s="107">
        <f t="shared" si="185"/>
        <v>6300</v>
      </c>
      <c r="B189" s="158">
        <f>(B111*2-B27)+6</f>
        <v>1380</v>
      </c>
      <c r="C189" s="118">
        <f t="shared" si="183"/>
        <v>1100</v>
      </c>
      <c r="D189" s="118">
        <f t="shared" si="158"/>
        <v>690</v>
      </c>
      <c r="E189" s="137"/>
      <c r="F189" s="118">
        <f>(E111*2-H27)+7</f>
        <v>1170</v>
      </c>
      <c r="G189" s="118">
        <f t="shared" si="184"/>
        <v>950</v>
      </c>
      <c r="H189" s="118">
        <f t="shared" si="159"/>
        <v>585</v>
      </c>
      <c r="I189" s="137"/>
      <c r="J189" s="118">
        <f t="shared" si="160"/>
        <v>1380</v>
      </c>
      <c r="K189" s="118">
        <f t="shared" si="161"/>
        <v>1100</v>
      </c>
      <c r="L189" s="118">
        <f t="shared" si="162"/>
        <v>690</v>
      </c>
      <c r="M189" s="137"/>
      <c r="N189" s="118">
        <f t="shared" si="163"/>
        <v>1170</v>
      </c>
      <c r="O189" s="118">
        <f t="shared" si="164"/>
        <v>950</v>
      </c>
      <c r="P189" s="118">
        <f t="shared" si="165"/>
        <v>585</v>
      </c>
      <c r="Q189" s="145"/>
    </row>
    <row r="191" spans="1:17" ht="18.75" x14ac:dyDescent="0.25">
      <c r="D191" s="199" t="s">
        <v>37</v>
      </c>
      <c r="E191" s="199"/>
      <c r="F191" s="199"/>
      <c r="G191" s="199"/>
      <c r="H191" s="199"/>
      <c r="I191" s="199"/>
      <c r="J191" s="199"/>
    </row>
    <row r="192" spans="1:17" x14ac:dyDescent="0.25">
      <c r="D192" s="204" t="s">
        <v>2</v>
      </c>
      <c r="E192" s="204"/>
      <c r="F192" s="204"/>
      <c r="G192" s="204"/>
      <c r="H192" s="204"/>
      <c r="I192" s="204"/>
      <c r="J192" s="204"/>
    </row>
    <row r="193" spans="1:28" x14ac:dyDescent="0.25">
      <c r="D193" s="204" t="s">
        <v>3</v>
      </c>
      <c r="E193" s="204"/>
      <c r="F193" s="204"/>
      <c r="G193" s="204" t="s">
        <v>22</v>
      </c>
      <c r="H193" s="204"/>
      <c r="I193" s="204"/>
      <c r="J193" s="204"/>
    </row>
    <row r="194" spans="1:28" x14ac:dyDescent="0.25">
      <c r="D194" s="204" t="s">
        <v>23</v>
      </c>
      <c r="E194" s="204"/>
      <c r="F194" s="204"/>
      <c r="G194" s="204" t="s">
        <v>22</v>
      </c>
      <c r="H194" s="204"/>
      <c r="I194" s="204"/>
      <c r="J194" s="204"/>
    </row>
    <row r="195" spans="1:28" x14ac:dyDescent="0.25">
      <c r="D195" s="204" t="s">
        <v>31</v>
      </c>
      <c r="E195" s="204"/>
      <c r="F195" s="204"/>
      <c r="G195" s="204" t="s">
        <v>32</v>
      </c>
      <c r="H195" s="204"/>
      <c r="I195" s="204"/>
      <c r="J195" s="204"/>
    </row>
    <row r="196" spans="1:28" x14ac:dyDescent="0.25">
      <c r="B196" s="127"/>
      <c r="C196" s="127"/>
      <c r="D196" s="127"/>
    </row>
    <row r="197" spans="1:28" x14ac:dyDescent="0.25">
      <c r="A197" s="205" t="s">
        <v>5</v>
      </c>
      <c r="B197" s="205" t="s">
        <v>6</v>
      </c>
      <c r="C197" s="206"/>
      <c r="D197" s="206"/>
      <c r="E197" s="206"/>
      <c r="F197" s="206"/>
      <c r="G197" s="206"/>
      <c r="H197" s="206"/>
      <c r="I197" s="207"/>
      <c r="J197" s="205" t="s">
        <v>7</v>
      </c>
      <c r="K197" s="206"/>
      <c r="L197" s="206"/>
      <c r="M197" s="206"/>
      <c r="N197" s="206"/>
      <c r="O197" s="206"/>
      <c r="P197" s="206"/>
      <c r="Q197" s="207"/>
      <c r="S197" s="100"/>
      <c r="T197" s="101"/>
      <c r="U197" s="101"/>
      <c r="V197" s="101"/>
      <c r="W197" s="101"/>
      <c r="X197" s="101"/>
      <c r="Y197" s="101"/>
      <c r="Z197" s="101"/>
      <c r="AA197" s="101"/>
      <c r="AB197" s="102"/>
    </row>
    <row r="198" spans="1:28" x14ac:dyDescent="0.25">
      <c r="A198" s="203"/>
      <c r="B198" s="214" t="s">
        <v>8</v>
      </c>
      <c r="C198" s="214"/>
      <c r="D198" s="214"/>
      <c r="E198" s="208"/>
      <c r="F198" s="147"/>
      <c r="G198" s="209" t="s">
        <v>9</v>
      </c>
      <c r="H198" s="210"/>
      <c r="I198" s="148"/>
      <c r="J198" s="214" t="s">
        <v>8</v>
      </c>
      <c r="K198" s="214"/>
      <c r="L198" s="214"/>
      <c r="M198" s="208"/>
      <c r="N198" s="205"/>
      <c r="O198" s="206"/>
      <c r="P198" s="140"/>
      <c r="Q198" s="149"/>
      <c r="S198" s="103"/>
      <c r="AB198" s="104"/>
    </row>
    <row r="199" spans="1:28" x14ac:dyDescent="0.25">
      <c r="A199" s="203"/>
      <c r="B199" s="143" t="s">
        <v>24</v>
      </c>
      <c r="C199" s="143" t="s">
        <v>27</v>
      </c>
      <c r="D199" s="143" t="s">
        <v>36</v>
      </c>
      <c r="E199" s="143" t="s">
        <v>26</v>
      </c>
      <c r="F199" s="142" t="s">
        <v>24</v>
      </c>
      <c r="G199" s="143" t="s">
        <v>27</v>
      </c>
      <c r="H199" s="142" t="s">
        <v>36</v>
      </c>
      <c r="I199" s="143" t="s">
        <v>26</v>
      </c>
      <c r="J199" s="143" t="s">
        <v>24</v>
      </c>
      <c r="K199" s="143" t="s">
        <v>27</v>
      </c>
      <c r="L199" s="143" t="s">
        <v>36</v>
      </c>
      <c r="M199" s="143" t="s">
        <v>26</v>
      </c>
      <c r="N199" s="143" t="s">
        <v>24</v>
      </c>
      <c r="O199" s="143" t="s">
        <v>27</v>
      </c>
      <c r="P199" s="143" t="s">
        <v>36</v>
      </c>
      <c r="Q199" s="143" t="s">
        <v>26</v>
      </c>
      <c r="S199" s="103"/>
      <c r="AB199" s="104"/>
    </row>
    <row r="200" spans="1:28" x14ac:dyDescent="0.25">
      <c r="A200" s="107">
        <v>160</v>
      </c>
      <c r="B200" s="107">
        <f>SUM(B96)</f>
        <v>300</v>
      </c>
      <c r="C200" s="107">
        <f>C96</f>
        <v>300</v>
      </c>
      <c r="D200" s="107">
        <f>B71</f>
        <v>435</v>
      </c>
      <c r="E200" s="105"/>
      <c r="F200" s="107">
        <f t="shared" ref="F200:G203" si="188">E96</f>
        <v>300</v>
      </c>
      <c r="G200" s="124">
        <f t="shared" si="188"/>
        <v>300</v>
      </c>
      <c r="H200" s="124">
        <f>E71</f>
        <v>435</v>
      </c>
      <c r="I200" s="105"/>
      <c r="J200" s="107">
        <f t="shared" ref="J200:J215" si="189">B200</f>
        <v>300</v>
      </c>
      <c r="K200" s="107">
        <f t="shared" ref="K200:K215" si="190">C200</f>
        <v>300</v>
      </c>
      <c r="L200" s="107">
        <f t="shared" ref="L200:L215" si="191">D200</f>
        <v>435</v>
      </c>
      <c r="M200" s="105"/>
      <c r="N200" s="107">
        <f t="shared" ref="N200:N215" si="192">F200</f>
        <v>300</v>
      </c>
      <c r="O200" s="124">
        <f t="shared" ref="O200:O215" si="193">G200</f>
        <v>300</v>
      </c>
      <c r="P200" s="124">
        <f t="shared" ref="P200:P215" si="194">H200</f>
        <v>435</v>
      </c>
      <c r="Q200" s="105"/>
      <c r="S200" s="103"/>
      <c r="AB200" s="104"/>
    </row>
    <row r="201" spans="1:28" x14ac:dyDescent="0.25">
      <c r="A201" s="107">
        <f t="shared" ref="A201:A205" si="195">A13</f>
        <v>250</v>
      </c>
      <c r="B201" s="107">
        <f>SUM(B97)</f>
        <v>300</v>
      </c>
      <c r="C201" s="107">
        <f>C97</f>
        <v>300</v>
      </c>
      <c r="D201" s="107">
        <f>B72</f>
        <v>435</v>
      </c>
      <c r="E201" s="105"/>
      <c r="F201" s="107">
        <f t="shared" si="188"/>
        <v>300</v>
      </c>
      <c r="G201" s="124">
        <f t="shared" si="188"/>
        <v>300</v>
      </c>
      <c r="H201" s="124">
        <f>E72</f>
        <v>435</v>
      </c>
      <c r="I201" s="105"/>
      <c r="J201" s="107">
        <f t="shared" si="189"/>
        <v>300</v>
      </c>
      <c r="K201" s="107">
        <f t="shared" si="190"/>
        <v>300</v>
      </c>
      <c r="L201" s="107">
        <f t="shared" si="191"/>
        <v>435</v>
      </c>
      <c r="M201" s="105"/>
      <c r="N201" s="107">
        <f t="shared" si="192"/>
        <v>300</v>
      </c>
      <c r="O201" s="124">
        <f t="shared" si="193"/>
        <v>300</v>
      </c>
      <c r="P201" s="124">
        <f t="shared" si="194"/>
        <v>435</v>
      </c>
      <c r="Q201" s="105"/>
      <c r="S201" s="103"/>
      <c r="AB201" s="104"/>
    </row>
    <row r="202" spans="1:28" x14ac:dyDescent="0.25">
      <c r="A202" s="107">
        <f t="shared" si="195"/>
        <v>315</v>
      </c>
      <c r="B202" s="107">
        <f>SUM(B98)</f>
        <v>300</v>
      </c>
      <c r="C202" s="107">
        <f>C98</f>
        <v>300</v>
      </c>
      <c r="D202" s="107">
        <f>B73</f>
        <v>435</v>
      </c>
      <c r="E202" s="105"/>
      <c r="F202" s="107">
        <f t="shared" si="188"/>
        <v>300</v>
      </c>
      <c r="G202" s="124">
        <f t="shared" si="188"/>
        <v>300</v>
      </c>
      <c r="H202" s="124">
        <f>E73</f>
        <v>435</v>
      </c>
      <c r="I202" s="105"/>
      <c r="J202" s="107">
        <f t="shared" ref="J202" si="196">B202</f>
        <v>300</v>
      </c>
      <c r="K202" s="107">
        <f t="shared" ref="K202" si="197">C202</f>
        <v>300</v>
      </c>
      <c r="L202" s="107">
        <f t="shared" ref="L202" si="198">D202</f>
        <v>435</v>
      </c>
      <c r="M202" s="105"/>
      <c r="N202" s="107">
        <f t="shared" ref="N202" si="199">F202</f>
        <v>300</v>
      </c>
      <c r="O202" s="124">
        <f t="shared" ref="O202" si="200">G202</f>
        <v>300</v>
      </c>
      <c r="P202" s="124">
        <f t="shared" ref="P202" si="201">H202</f>
        <v>435</v>
      </c>
      <c r="Q202" s="105"/>
      <c r="S202" s="103"/>
      <c r="AB202" s="104"/>
    </row>
    <row r="203" spans="1:28" x14ac:dyDescent="0.25">
      <c r="A203" s="107">
        <f t="shared" si="195"/>
        <v>400</v>
      </c>
      <c r="B203" s="107">
        <f>SUM(B99)</f>
        <v>300</v>
      </c>
      <c r="C203" s="107">
        <f>C99</f>
        <v>300</v>
      </c>
      <c r="D203" s="107">
        <f>B74</f>
        <v>435</v>
      </c>
      <c r="E203" s="105"/>
      <c r="F203" s="107">
        <f t="shared" si="188"/>
        <v>300</v>
      </c>
      <c r="G203" s="124">
        <f t="shared" si="188"/>
        <v>300</v>
      </c>
      <c r="H203" s="124">
        <f>E74</f>
        <v>435</v>
      </c>
      <c r="I203" s="105"/>
      <c r="J203" s="107">
        <f t="shared" si="189"/>
        <v>300</v>
      </c>
      <c r="K203" s="107">
        <f t="shared" si="190"/>
        <v>300</v>
      </c>
      <c r="L203" s="107">
        <f t="shared" si="191"/>
        <v>435</v>
      </c>
      <c r="M203" s="105"/>
      <c r="N203" s="107">
        <f t="shared" si="192"/>
        <v>300</v>
      </c>
      <c r="O203" s="124">
        <f t="shared" si="193"/>
        <v>300</v>
      </c>
      <c r="P203" s="124">
        <f t="shared" si="194"/>
        <v>435</v>
      </c>
      <c r="Q203" s="105"/>
      <c r="S203" s="103"/>
      <c r="AB203" s="104"/>
    </row>
    <row r="204" spans="1:28" x14ac:dyDescent="0.25">
      <c r="A204" s="107">
        <f t="shared" si="195"/>
        <v>500</v>
      </c>
      <c r="B204" s="156">
        <f>SUM(B100)</f>
        <v>300</v>
      </c>
      <c r="C204" s="156">
        <f>C100</f>
        <v>300</v>
      </c>
      <c r="D204" s="156">
        <f>B75</f>
        <v>435</v>
      </c>
      <c r="E204" s="105"/>
      <c r="F204" s="156">
        <f t="shared" ref="F204" si="202">E100</f>
        <v>300</v>
      </c>
      <c r="G204" s="124">
        <f t="shared" ref="G204" si="203">F100</f>
        <v>300</v>
      </c>
      <c r="H204" s="124">
        <f>E75</f>
        <v>435</v>
      </c>
      <c r="I204" s="105"/>
      <c r="J204" s="156">
        <f t="shared" ref="J204" si="204">B204</f>
        <v>300</v>
      </c>
      <c r="K204" s="156">
        <f t="shared" ref="K204" si="205">C204</f>
        <v>300</v>
      </c>
      <c r="L204" s="156">
        <f t="shared" ref="L204" si="206">D204</f>
        <v>435</v>
      </c>
      <c r="M204" s="105"/>
      <c r="N204" s="156">
        <f t="shared" ref="N204" si="207">F204</f>
        <v>300</v>
      </c>
      <c r="O204" s="124">
        <f t="shared" ref="O204" si="208">G204</f>
        <v>300</v>
      </c>
      <c r="P204" s="124">
        <f t="shared" ref="P204" si="209">H204</f>
        <v>435</v>
      </c>
      <c r="Q204" s="105"/>
      <c r="S204" s="103"/>
      <c r="AB204" s="104"/>
    </row>
    <row r="205" spans="1:28" x14ac:dyDescent="0.25">
      <c r="A205" s="107">
        <f t="shared" si="195"/>
        <v>630</v>
      </c>
      <c r="B205" s="107">
        <f t="shared" ref="B205:B215" si="210">SUM(B101)</f>
        <v>300</v>
      </c>
      <c r="C205" s="107">
        <f t="shared" ref="C205:C215" si="211">C101</f>
        <v>300</v>
      </c>
      <c r="D205" s="107">
        <f t="shared" ref="D205:D215" si="212">B76</f>
        <v>435</v>
      </c>
      <c r="E205" s="105"/>
      <c r="F205" s="107">
        <f t="shared" ref="F205:G215" si="213">E101</f>
        <v>300</v>
      </c>
      <c r="G205" s="124">
        <f t="shared" si="213"/>
        <v>300</v>
      </c>
      <c r="H205" s="124">
        <f t="shared" ref="H205:H215" si="214">E76</f>
        <v>435</v>
      </c>
      <c r="I205" s="105"/>
      <c r="J205" s="107">
        <f t="shared" si="189"/>
        <v>300</v>
      </c>
      <c r="K205" s="107">
        <f t="shared" si="190"/>
        <v>300</v>
      </c>
      <c r="L205" s="107">
        <f t="shared" si="191"/>
        <v>435</v>
      </c>
      <c r="M205" s="105"/>
      <c r="N205" s="107">
        <f t="shared" si="192"/>
        <v>300</v>
      </c>
      <c r="O205" s="124">
        <f t="shared" si="193"/>
        <v>300</v>
      </c>
      <c r="P205" s="124">
        <f t="shared" si="194"/>
        <v>435</v>
      </c>
      <c r="Q205" s="105"/>
      <c r="S205" s="103"/>
      <c r="AB205" s="104"/>
    </row>
    <row r="206" spans="1:28" x14ac:dyDescent="0.25">
      <c r="A206" s="107">
        <f t="shared" ref="A206:A215" si="215">A18</f>
        <v>800</v>
      </c>
      <c r="B206" s="107">
        <f t="shared" si="210"/>
        <v>300</v>
      </c>
      <c r="C206" s="107">
        <f t="shared" si="211"/>
        <v>300</v>
      </c>
      <c r="D206" s="107">
        <f t="shared" si="212"/>
        <v>435</v>
      </c>
      <c r="E206" s="137"/>
      <c r="F206" s="107">
        <f t="shared" si="213"/>
        <v>300</v>
      </c>
      <c r="G206" s="124">
        <f t="shared" si="213"/>
        <v>300</v>
      </c>
      <c r="H206" s="124">
        <f t="shared" si="214"/>
        <v>435</v>
      </c>
      <c r="I206" s="145"/>
      <c r="J206" s="107">
        <f t="shared" si="189"/>
        <v>300</v>
      </c>
      <c r="K206" s="107">
        <f t="shared" si="190"/>
        <v>300</v>
      </c>
      <c r="L206" s="107">
        <f t="shared" si="191"/>
        <v>435</v>
      </c>
      <c r="M206" s="137"/>
      <c r="N206" s="107">
        <f t="shared" si="192"/>
        <v>300</v>
      </c>
      <c r="O206" s="124">
        <f t="shared" si="193"/>
        <v>300</v>
      </c>
      <c r="P206" s="124">
        <f t="shared" si="194"/>
        <v>435</v>
      </c>
      <c r="Q206" s="145"/>
      <c r="S206" s="103"/>
      <c r="AB206" s="104"/>
    </row>
    <row r="207" spans="1:28" x14ac:dyDescent="0.25">
      <c r="A207" s="107">
        <f t="shared" si="215"/>
        <v>1000</v>
      </c>
      <c r="B207" s="107">
        <f t="shared" si="210"/>
        <v>450</v>
      </c>
      <c r="C207" s="107">
        <f t="shared" si="211"/>
        <v>450</v>
      </c>
      <c r="D207" s="107">
        <f t="shared" si="212"/>
        <v>435</v>
      </c>
      <c r="E207" s="137"/>
      <c r="F207" s="107">
        <f t="shared" si="213"/>
        <v>300</v>
      </c>
      <c r="G207" s="124">
        <f t="shared" si="213"/>
        <v>300</v>
      </c>
      <c r="H207" s="124">
        <f t="shared" si="214"/>
        <v>435</v>
      </c>
      <c r="I207" s="145"/>
      <c r="J207" s="107">
        <f t="shared" si="189"/>
        <v>450</v>
      </c>
      <c r="K207" s="107">
        <f t="shared" si="190"/>
        <v>450</v>
      </c>
      <c r="L207" s="107">
        <f t="shared" si="191"/>
        <v>435</v>
      </c>
      <c r="M207" s="137"/>
      <c r="N207" s="107">
        <f t="shared" si="192"/>
        <v>300</v>
      </c>
      <c r="O207" s="124">
        <f t="shared" si="193"/>
        <v>300</v>
      </c>
      <c r="P207" s="124">
        <f t="shared" si="194"/>
        <v>435</v>
      </c>
      <c r="Q207" s="145"/>
      <c r="S207" s="103"/>
      <c r="AB207" s="104"/>
    </row>
    <row r="208" spans="1:28" x14ac:dyDescent="0.25">
      <c r="A208" s="107">
        <f t="shared" si="215"/>
        <v>1250</v>
      </c>
      <c r="B208" s="107">
        <f t="shared" si="210"/>
        <v>450</v>
      </c>
      <c r="C208" s="107">
        <f t="shared" si="211"/>
        <v>450</v>
      </c>
      <c r="D208" s="107">
        <f t="shared" si="212"/>
        <v>435</v>
      </c>
      <c r="E208" s="137"/>
      <c r="F208" s="107">
        <f t="shared" si="213"/>
        <v>450</v>
      </c>
      <c r="G208" s="124">
        <f t="shared" si="213"/>
        <v>450</v>
      </c>
      <c r="H208" s="124">
        <f t="shared" si="214"/>
        <v>435</v>
      </c>
      <c r="I208" s="145"/>
      <c r="J208" s="107">
        <f t="shared" si="189"/>
        <v>450</v>
      </c>
      <c r="K208" s="107">
        <f t="shared" si="190"/>
        <v>450</v>
      </c>
      <c r="L208" s="107">
        <f t="shared" si="191"/>
        <v>435</v>
      </c>
      <c r="M208" s="137"/>
      <c r="N208" s="107">
        <f t="shared" si="192"/>
        <v>450</v>
      </c>
      <c r="O208" s="124">
        <f t="shared" si="193"/>
        <v>450</v>
      </c>
      <c r="P208" s="124">
        <f t="shared" si="194"/>
        <v>435</v>
      </c>
      <c r="Q208" s="145"/>
      <c r="S208" s="103"/>
      <c r="AB208" s="104"/>
    </row>
    <row r="209" spans="1:28" x14ac:dyDescent="0.25">
      <c r="A209" s="107">
        <f t="shared" si="215"/>
        <v>1600</v>
      </c>
      <c r="B209" s="107">
        <f t="shared" si="210"/>
        <v>450</v>
      </c>
      <c r="C209" s="107">
        <f t="shared" si="211"/>
        <v>450</v>
      </c>
      <c r="D209" s="107">
        <f t="shared" si="212"/>
        <v>435</v>
      </c>
      <c r="E209" s="137"/>
      <c r="F209" s="107">
        <f t="shared" si="213"/>
        <v>450</v>
      </c>
      <c r="G209" s="124">
        <f t="shared" si="213"/>
        <v>450</v>
      </c>
      <c r="H209" s="124">
        <f t="shared" si="214"/>
        <v>435</v>
      </c>
      <c r="I209" s="145"/>
      <c r="J209" s="107">
        <f t="shared" si="189"/>
        <v>450</v>
      </c>
      <c r="K209" s="107">
        <f t="shared" si="190"/>
        <v>450</v>
      </c>
      <c r="L209" s="107">
        <f t="shared" si="191"/>
        <v>435</v>
      </c>
      <c r="M209" s="137"/>
      <c r="N209" s="107">
        <f t="shared" si="192"/>
        <v>450</v>
      </c>
      <c r="O209" s="124">
        <f t="shared" si="193"/>
        <v>450</v>
      </c>
      <c r="P209" s="124">
        <f t="shared" si="194"/>
        <v>435</v>
      </c>
      <c r="Q209" s="145"/>
      <c r="S209" s="103"/>
      <c r="AB209" s="104"/>
    </row>
    <row r="210" spans="1:28" x14ac:dyDescent="0.25">
      <c r="A210" s="107">
        <f t="shared" si="215"/>
        <v>2000</v>
      </c>
      <c r="B210" s="107">
        <f t="shared" si="210"/>
        <v>450</v>
      </c>
      <c r="C210" s="107">
        <f t="shared" si="211"/>
        <v>450</v>
      </c>
      <c r="D210" s="107">
        <f t="shared" si="212"/>
        <v>435</v>
      </c>
      <c r="E210" s="137"/>
      <c r="F210" s="107">
        <f t="shared" si="213"/>
        <v>450</v>
      </c>
      <c r="G210" s="124">
        <f t="shared" si="213"/>
        <v>450</v>
      </c>
      <c r="H210" s="124">
        <f t="shared" si="214"/>
        <v>435</v>
      </c>
      <c r="I210" s="145"/>
      <c r="J210" s="107">
        <f t="shared" si="189"/>
        <v>450</v>
      </c>
      <c r="K210" s="107">
        <f t="shared" si="190"/>
        <v>450</v>
      </c>
      <c r="L210" s="107">
        <f t="shared" si="191"/>
        <v>435</v>
      </c>
      <c r="M210" s="137"/>
      <c r="N210" s="107">
        <f t="shared" si="192"/>
        <v>450</v>
      </c>
      <c r="O210" s="124">
        <f t="shared" si="193"/>
        <v>450</v>
      </c>
      <c r="P210" s="124">
        <f t="shared" si="194"/>
        <v>435</v>
      </c>
      <c r="Q210" s="145"/>
      <c r="S210" s="103"/>
      <c r="AB210" s="104"/>
    </row>
    <row r="211" spans="1:28" x14ac:dyDescent="0.25">
      <c r="A211" s="107">
        <f t="shared" si="215"/>
        <v>2500</v>
      </c>
      <c r="B211" s="107">
        <f t="shared" si="210"/>
        <v>600</v>
      </c>
      <c r="C211" s="107">
        <f t="shared" si="211"/>
        <v>600</v>
      </c>
      <c r="D211" s="107">
        <f t="shared" si="212"/>
        <v>435</v>
      </c>
      <c r="E211" s="137"/>
      <c r="F211" s="107">
        <f t="shared" si="213"/>
        <v>450</v>
      </c>
      <c r="G211" s="124">
        <f t="shared" si="213"/>
        <v>450</v>
      </c>
      <c r="H211" s="124">
        <f t="shared" si="214"/>
        <v>435</v>
      </c>
      <c r="I211" s="145"/>
      <c r="J211" s="107">
        <f t="shared" si="189"/>
        <v>600</v>
      </c>
      <c r="K211" s="107">
        <f t="shared" si="190"/>
        <v>600</v>
      </c>
      <c r="L211" s="107">
        <f t="shared" si="191"/>
        <v>435</v>
      </c>
      <c r="M211" s="137"/>
      <c r="N211" s="107">
        <f t="shared" si="192"/>
        <v>450</v>
      </c>
      <c r="O211" s="124">
        <f t="shared" si="193"/>
        <v>450</v>
      </c>
      <c r="P211" s="124">
        <f t="shared" si="194"/>
        <v>435</v>
      </c>
      <c r="Q211" s="145"/>
      <c r="S211" s="103"/>
      <c r="AB211" s="104"/>
    </row>
    <row r="212" spans="1:28" x14ac:dyDescent="0.25">
      <c r="A212" s="107">
        <f t="shared" si="215"/>
        <v>3200</v>
      </c>
      <c r="B212" s="107">
        <f t="shared" si="210"/>
        <v>650</v>
      </c>
      <c r="C212" s="107">
        <f t="shared" si="211"/>
        <v>650</v>
      </c>
      <c r="D212" s="107">
        <f t="shared" si="212"/>
        <v>435</v>
      </c>
      <c r="E212" s="137"/>
      <c r="F212" s="107">
        <f t="shared" si="213"/>
        <v>600</v>
      </c>
      <c r="G212" s="124">
        <f t="shared" si="213"/>
        <v>600</v>
      </c>
      <c r="H212" s="124">
        <f t="shared" si="214"/>
        <v>435</v>
      </c>
      <c r="I212" s="145"/>
      <c r="J212" s="107">
        <f t="shared" si="189"/>
        <v>650</v>
      </c>
      <c r="K212" s="107">
        <f t="shared" si="190"/>
        <v>650</v>
      </c>
      <c r="L212" s="107">
        <f t="shared" si="191"/>
        <v>435</v>
      </c>
      <c r="M212" s="137"/>
      <c r="N212" s="107">
        <f t="shared" si="192"/>
        <v>600</v>
      </c>
      <c r="O212" s="124">
        <f t="shared" si="193"/>
        <v>600</v>
      </c>
      <c r="P212" s="124">
        <f t="shared" si="194"/>
        <v>435</v>
      </c>
      <c r="Q212" s="145"/>
      <c r="S212" s="103"/>
      <c r="AB212" s="104"/>
    </row>
    <row r="213" spans="1:28" x14ac:dyDescent="0.25">
      <c r="A213" s="107">
        <f t="shared" si="215"/>
        <v>4000</v>
      </c>
      <c r="B213" s="107">
        <f t="shared" si="210"/>
        <v>750</v>
      </c>
      <c r="C213" s="107">
        <f t="shared" si="211"/>
        <v>750</v>
      </c>
      <c r="D213" s="107">
        <f t="shared" si="212"/>
        <v>435</v>
      </c>
      <c r="E213" s="137"/>
      <c r="F213" s="107">
        <f t="shared" si="213"/>
        <v>650</v>
      </c>
      <c r="G213" s="124">
        <f t="shared" si="213"/>
        <v>650</v>
      </c>
      <c r="H213" s="124">
        <f t="shared" si="214"/>
        <v>435</v>
      </c>
      <c r="I213" s="145"/>
      <c r="J213" s="107">
        <f t="shared" si="189"/>
        <v>750</v>
      </c>
      <c r="K213" s="107">
        <f t="shared" si="190"/>
        <v>750</v>
      </c>
      <c r="L213" s="107">
        <f t="shared" si="191"/>
        <v>435</v>
      </c>
      <c r="M213" s="137"/>
      <c r="N213" s="107">
        <f t="shared" si="192"/>
        <v>650</v>
      </c>
      <c r="O213" s="124">
        <f t="shared" si="193"/>
        <v>650</v>
      </c>
      <c r="P213" s="124">
        <f t="shared" si="194"/>
        <v>435</v>
      </c>
      <c r="Q213" s="145"/>
      <c r="S213" s="103"/>
      <c r="AB213" s="104"/>
    </row>
    <row r="214" spans="1:28" x14ac:dyDescent="0.25">
      <c r="A214" s="107">
        <f t="shared" si="215"/>
        <v>5000</v>
      </c>
      <c r="B214" s="107">
        <f t="shared" si="210"/>
        <v>950</v>
      </c>
      <c r="C214" s="107">
        <f t="shared" si="211"/>
        <v>950</v>
      </c>
      <c r="D214" s="107">
        <f t="shared" si="212"/>
        <v>435</v>
      </c>
      <c r="E214" s="137"/>
      <c r="F214" s="107">
        <f t="shared" si="213"/>
        <v>750</v>
      </c>
      <c r="G214" s="124">
        <f t="shared" si="213"/>
        <v>750</v>
      </c>
      <c r="H214" s="124">
        <f t="shared" si="214"/>
        <v>435</v>
      </c>
      <c r="I214" s="145"/>
      <c r="J214" s="107">
        <f t="shared" si="189"/>
        <v>950</v>
      </c>
      <c r="K214" s="107">
        <f t="shared" si="190"/>
        <v>950</v>
      </c>
      <c r="L214" s="107">
        <f t="shared" si="191"/>
        <v>435</v>
      </c>
      <c r="M214" s="137"/>
      <c r="N214" s="107">
        <f t="shared" si="192"/>
        <v>750</v>
      </c>
      <c r="O214" s="124">
        <f t="shared" si="193"/>
        <v>750</v>
      </c>
      <c r="P214" s="124">
        <f t="shared" si="194"/>
        <v>435</v>
      </c>
      <c r="Q214" s="145"/>
      <c r="S214" s="103"/>
      <c r="AB214" s="104"/>
    </row>
    <row r="215" spans="1:28" x14ac:dyDescent="0.25">
      <c r="A215" s="107">
        <f t="shared" si="215"/>
        <v>6300</v>
      </c>
      <c r="B215" s="107">
        <f t="shared" si="210"/>
        <v>1100</v>
      </c>
      <c r="C215" s="107">
        <f t="shared" si="211"/>
        <v>1100</v>
      </c>
      <c r="D215" s="107">
        <f t="shared" si="212"/>
        <v>435</v>
      </c>
      <c r="E215" s="137"/>
      <c r="F215" s="107">
        <f t="shared" si="213"/>
        <v>950</v>
      </c>
      <c r="G215" s="124">
        <f t="shared" si="213"/>
        <v>950</v>
      </c>
      <c r="H215" s="124">
        <f t="shared" si="214"/>
        <v>435</v>
      </c>
      <c r="I215" s="145"/>
      <c r="J215" s="107">
        <f t="shared" si="189"/>
        <v>1100</v>
      </c>
      <c r="K215" s="107">
        <f t="shared" si="190"/>
        <v>1100</v>
      </c>
      <c r="L215" s="107">
        <f t="shared" si="191"/>
        <v>435</v>
      </c>
      <c r="M215" s="137"/>
      <c r="N215" s="107">
        <f t="shared" si="192"/>
        <v>950</v>
      </c>
      <c r="O215" s="124">
        <f t="shared" si="193"/>
        <v>950</v>
      </c>
      <c r="P215" s="124">
        <f t="shared" si="194"/>
        <v>435</v>
      </c>
      <c r="Q215" s="145"/>
      <c r="S215" s="111"/>
      <c r="T215" s="112"/>
      <c r="U215" s="112"/>
      <c r="V215" s="112"/>
      <c r="W215" s="112"/>
      <c r="X215" s="112"/>
      <c r="Y215" s="112"/>
      <c r="Z215" s="112"/>
      <c r="AA215" s="112"/>
      <c r="AB215" s="113"/>
    </row>
    <row r="217" spans="1:28" ht="18.75" x14ac:dyDescent="0.25">
      <c r="D217" s="199" t="s">
        <v>38</v>
      </c>
      <c r="E217" s="199"/>
      <c r="F217" s="199"/>
      <c r="G217" s="199"/>
      <c r="H217" s="199"/>
      <c r="I217" s="199"/>
      <c r="J217" s="199"/>
    </row>
    <row r="218" spans="1:28" x14ac:dyDescent="0.25">
      <c r="D218" s="204" t="s">
        <v>2</v>
      </c>
      <c r="E218" s="204"/>
      <c r="F218" s="204"/>
      <c r="G218" s="204"/>
      <c r="H218" s="204"/>
      <c r="I218" s="204"/>
      <c r="J218" s="204"/>
    </row>
    <row r="219" spans="1:28" x14ac:dyDescent="0.25">
      <c r="D219" s="204" t="s">
        <v>3</v>
      </c>
      <c r="E219" s="204"/>
      <c r="F219" s="204"/>
      <c r="G219" s="204" t="s">
        <v>32</v>
      </c>
      <c r="H219" s="204"/>
      <c r="I219" s="204"/>
      <c r="J219" s="204"/>
    </row>
    <row r="220" spans="1:28" x14ac:dyDescent="0.25">
      <c r="D220" s="204" t="s">
        <v>23</v>
      </c>
      <c r="E220" s="204"/>
      <c r="F220" s="204"/>
      <c r="G220" s="204" t="s">
        <v>32</v>
      </c>
      <c r="H220" s="204"/>
      <c r="I220" s="204"/>
      <c r="J220" s="204"/>
    </row>
    <row r="221" spans="1:28" x14ac:dyDescent="0.25">
      <c r="D221" s="204" t="s">
        <v>31</v>
      </c>
      <c r="E221" s="204"/>
      <c r="F221" s="204"/>
      <c r="G221" s="204" t="s">
        <v>32</v>
      </c>
      <c r="H221" s="204"/>
      <c r="I221" s="204"/>
      <c r="J221" s="204"/>
    </row>
    <row r="223" spans="1:28" x14ac:dyDescent="0.25">
      <c r="A223" s="203" t="s">
        <v>5</v>
      </c>
      <c r="B223" s="203" t="s">
        <v>6</v>
      </c>
      <c r="C223" s="203"/>
      <c r="D223" s="203"/>
      <c r="E223" s="203"/>
      <c r="F223" s="203"/>
      <c r="G223" s="203"/>
      <c r="H223" s="203"/>
      <c r="I223" s="203"/>
      <c r="J223" s="203" t="s">
        <v>7</v>
      </c>
      <c r="K223" s="203"/>
      <c r="L223" s="203"/>
      <c r="M223" s="203"/>
      <c r="N223" s="203"/>
      <c r="O223" s="203"/>
      <c r="P223" s="203"/>
      <c r="Q223" s="203"/>
      <c r="S223" s="100"/>
      <c r="T223" s="101"/>
      <c r="U223" s="101"/>
      <c r="V223" s="101"/>
      <c r="W223" s="101"/>
      <c r="X223" s="101"/>
      <c r="Y223" s="101"/>
      <c r="Z223" s="101"/>
      <c r="AA223" s="102"/>
    </row>
    <row r="224" spans="1:28" x14ac:dyDescent="0.25">
      <c r="A224" s="203"/>
      <c r="B224" s="208" t="s">
        <v>8</v>
      </c>
      <c r="C224" s="209"/>
      <c r="D224" s="209"/>
      <c r="E224" s="210"/>
      <c r="F224" s="208" t="s">
        <v>9</v>
      </c>
      <c r="G224" s="209"/>
      <c r="H224" s="209"/>
      <c r="I224" s="210"/>
      <c r="J224" s="211" t="s">
        <v>8</v>
      </c>
      <c r="K224" s="212"/>
      <c r="L224" s="212"/>
      <c r="M224" s="213"/>
      <c r="N224" s="208" t="s">
        <v>9</v>
      </c>
      <c r="O224" s="209"/>
      <c r="P224" s="209"/>
      <c r="Q224" s="209"/>
      <c r="S224" s="103"/>
      <c r="AA224" s="104"/>
    </row>
    <row r="225" spans="1:27" x14ac:dyDescent="0.25">
      <c r="A225" s="203"/>
      <c r="B225" s="143" t="s">
        <v>24</v>
      </c>
      <c r="C225" s="143" t="s">
        <v>27</v>
      </c>
      <c r="D225" s="143" t="s">
        <v>36</v>
      </c>
      <c r="E225" s="143" t="s">
        <v>26</v>
      </c>
      <c r="F225" s="143" t="s">
        <v>24</v>
      </c>
      <c r="G225" s="143" t="s">
        <v>27</v>
      </c>
      <c r="H225" s="143" t="s">
        <v>36</v>
      </c>
      <c r="I225" s="143" t="s">
        <v>26</v>
      </c>
      <c r="J225" s="143" t="s">
        <v>24</v>
      </c>
      <c r="K225" s="143" t="s">
        <v>27</v>
      </c>
      <c r="L225" s="143" t="s">
        <v>36</v>
      </c>
      <c r="M225" s="143" t="s">
        <v>26</v>
      </c>
      <c r="N225" s="143" t="s">
        <v>24</v>
      </c>
      <c r="O225" s="143" t="s">
        <v>27</v>
      </c>
      <c r="P225" s="143" t="s">
        <v>36</v>
      </c>
      <c r="Q225" s="143" t="s">
        <v>26</v>
      </c>
      <c r="S225" s="103"/>
      <c r="AA225" s="104"/>
    </row>
    <row r="226" spans="1:27" x14ac:dyDescent="0.25">
      <c r="A226" s="107">
        <v>160</v>
      </c>
      <c r="B226" s="118">
        <f>(11+93+130+10)*2+E12+E12+33+99</f>
        <v>680</v>
      </c>
      <c r="C226" s="118">
        <f>'Минимальные габариты IP55 и 68'!C171+99</f>
        <v>485</v>
      </c>
      <c r="D226" s="118">
        <f t="shared" ref="D226:D241" si="216">B226/2</f>
        <v>340</v>
      </c>
      <c r="E226" s="137"/>
      <c r="F226" s="118">
        <f>(11+93+130+10)*2+K12+K12+33+99</f>
        <v>680</v>
      </c>
      <c r="G226" s="118">
        <f>'Минимальные габариты IP55 и 68'!G171+99</f>
        <v>485</v>
      </c>
      <c r="H226" s="118">
        <f t="shared" ref="H226:H241" si="217">F226/2</f>
        <v>340</v>
      </c>
      <c r="I226" s="137"/>
      <c r="J226" s="118">
        <f>(11+93+130+10)*2+(Q12*3)+15+33+99</f>
        <v>725</v>
      </c>
      <c r="K226" s="118">
        <f>'Минимальные габариты IP55 и 68'!K171+99</f>
        <v>485</v>
      </c>
      <c r="L226" s="118">
        <f t="shared" ref="L226:L231" si="218">J226/2+2</f>
        <v>364.5</v>
      </c>
      <c r="M226" s="137"/>
      <c r="N226" s="118">
        <f>(11+93+130+10)*2+(W12*3)+15+33+(99+5)</f>
        <v>730</v>
      </c>
      <c r="O226" s="118">
        <f>'Минимальные габариты IP55 и 68'!O171+99</f>
        <v>485</v>
      </c>
      <c r="P226" s="118">
        <f t="shared" ref="P226:P232" si="219">N226/2+2</f>
        <v>367</v>
      </c>
      <c r="Q226" s="105"/>
      <c r="S226" s="103"/>
      <c r="AA226" s="104"/>
    </row>
    <row r="227" spans="1:27" x14ac:dyDescent="0.25">
      <c r="A227" s="107">
        <f t="shared" ref="A227:A231" si="220">A13</f>
        <v>250</v>
      </c>
      <c r="B227" s="118">
        <f t="shared" ref="B227:B236" si="221">(11+93+130+10)*2+E13+E13+33+99</f>
        <v>680</v>
      </c>
      <c r="C227" s="118">
        <f>'Минимальные габариты IP55 и 68'!C172+99</f>
        <v>485</v>
      </c>
      <c r="D227" s="118">
        <f t="shared" si="216"/>
        <v>340</v>
      </c>
      <c r="E227" s="137"/>
      <c r="F227" s="118">
        <f t="shared" ref="F227:F230" si="222">(11+93+130+10)*2+K13+K13+33+99</f>
        <v>680</v>
      </c>
      <c r="G227" s="118">
        <f>'Минимальные габариты IP55 и 68'!G172+99</f>
        <v>485</v>
      </c>
      <c r="H227" s="118">
        <f t="shared" si="217"/>
        <v>340</v>
      </c>
      <c r="I227" s="137"/>
      <c r="J227" s="118">
        <f t="shared" ref="J227:J232" si="223">(11+93+130+10)*2+(Q13*3)+15+33+99</f>
        <v>725</v>
      </c>
      <c r="K227" s="118">
        <f>'Минимальные габариты IP55 и 68'!K172+99</f>
        <v>485</v>
      </c>
      <c r="L227" s="118">
        <f t="shared" si="218"/>
        <v>364.5</v>
      </c>
      <c r="M227" s="137"/>
      <c r="N227" s="118">
        <f t="shared" ref="N227:N232" si="224">(11+93+130+10)*2+(W13*3)+15+33+(99+5)</f>
        <v>730</v>
      </c>
      <c r="O227" s="118">
        <f>'Минимальные габариты IP55 и 68'!O172+99</f>
        <v>485</v>
      </c>
      <c r="P227" s="118">
        <f t="shared" si="219"/>
        <v>367</v>
      </c>
      <c r="Q227" s="105"/>
      <c r="S227" s="103"/>
      <c r="AA227" s="104"/>
    </row>
    <row r="228" spans="1:27" x14ac:dyDescent="0.25">
      <c r="A228" s="107">
        <f t="shared" si="220"/>
        <v>315</v>
      </c>
      <c r="B228" s="118">
        <f t="shared" si="221"/>
        <v>680</v>
      </c>
      <c r="C228" s="118">
        <f>'Минимальные габариты IP55 и 68'!C173+99</f>
        <v>485</v>
      </c>
      <c r="D228" s="118">
        <f t="shared" ref="D228" si="225">B228/2</f>
        <v>340</v>
      </c>
      <c r="E228" s="137"/>
      <c r="F228" s="118">
        <f t="shared" si="222"/>
        <v>680</v>
      </c>
      <c r="G228" s="118">
        <f>'Минимальные габариты IP55 и 68'!G173+99</f>
        <v>485</v>
      </c>
      <c r="H228" s="118">
        <f t="shared" ref="H228" si="226">F228/2</f>
        <v>340</v>
      </c>
      <c r="I228" s="137"/>
      <c r="J228" s="118">
        <f t="shared" si="223"/>
        <v>725</v>
      </c>
      <c r="K228" s="118">
        <f>'Минимальные габариты IP55 и 68'!K173+99</f>
        <v>485</v>
      </c>
      <c r="L228" s="118">
        <f t="shared" ref="L228" si="227">J228/2+2</f>
        <v>364.5</v>
      </c>
      <c r="M228" s="137"/>
      <c r="N228" s="118">
        <f t="shared" si="224"/>
        <v>730</v>
      </c>
      <c r="O228" s="118">
        <f>'Минимальные габариты IP55 и 68'!O173+99</f>
        <v>485</v>
      </c>
      <c r="P228" s="118">
        <f t="shared" ref="P228" si="228">N228/2+2</f>
        <v>367</v>
      </c>
      <c r="Q228" s="105"/>
      <c r="S228" s="103"/>
      <c r="AA228" s="104"/>
    </row>
    <row r="229" spans="1:27" x14ac:dyDescent="0.25">
      <c r="A229" s="107">
        <f t="shared" si="220"/>
        <v>400</v>
      </c>
      <c r="B229" s="118">
        <f t="shared" si="221"/>
        <v>680</v>
      </c>
      <c r="C229" s="118">
        <f>'Минимальные габариты IP55 и 68'!C173+99</f>
        <v>485</v>
      </c>
      <c r="D229" s="118">
        <f t="shared" si="216"/>
        <v>340</v>
      </c>
      <c r="E229" s="137"/>
      <c r="F229" s="118">
        <f t="shared" si="222"/>
        <v>680</v>
      </c>
      <c r="G229" s="118">
        <f>'Минимальные габариты IP55 и 68'!G173+99</f>
        <v>485</v>
      </c>
      <c r="H229" s="118">
        <f t="shared" si="217"/>
        <v>340</v>
      </c>
      <c r="I229" s="137"/>
      <c r="J229" s="118">
        <f t="shared" si="223"/>
        <v>725</v>
      </c>
      <c r="K229" s="118">
        <f>'Минимальные габариты IP55 и 68'!K173+99</f>
        <v>485</v>
      </c>
      <c r="L229" s="118">
        <f t="shared" si="218"/>
        <v>364.5</v>
      </c>
      <c r="M229" s="137"/>
      <c r="N229" s="118">
        <f t="shared" si="224"/>
        <v>730</v>
      </c>
      <c r="O229" s="118">
        <f>'Минимальные габариты IP55 и 68'!O173+99</f>
        <v>485</v>
      </c>
      <c r="P229" s="118">
        <f t="shared" si="219"/>
        <v>367</v>
      </c>
      <c r="Q229" s="105"/>
      <c r="S229" s="103"/>
      <c r="AA229" s="104"/>
    </row>
    <row r="230" spans="1:27" x14ac:dyDescent="0.25">
      <c r="A230" s="107">
        <f t="shared" si="220"/>
        <v>500</v>
      </c>
      <c r="B230" s="118">
        <f t="shared" si="221"/>
        <v>700</v>
      </c>
      <c r="C230" s="118">
        <f>'Минимальные габариты IP55 и 68'!C175+99</f>
        <v>485</v>
      </c>
      <c r="D230" s="118">
        <f t="shared" si="216"/>
        <v>350</v>
      </c>
      <c r="E230" s="137"/>
      <c r="F230" s="118">
        <f t="shared" si="222"/>
        <v>680</v>
      </c>
      <c r="G230" s="118">
        <f>'Минимальные габариты IP55 и 68'!G175+99</f>
        <v>485</v>
      </c>
      <c r="H230" s="118">
        <f t="shared" si="217"/>
        <v>340</v>
      </c>
      <c r="I230" s="137"/>
      <c r="J230" s="118">
        <f t="shared" si="223"/>
        <v>755</v>
      </c>
      <c r="K230" s="118">
        <f>'Минимальные габариты IP55 и 68'!K175+99</f>
        <v>485</v>
      </c>
      <c r="L230" s="118">
        <f t="shared" si="218"/>
        <v>379.5</v>
      </c>
      <c r="M230" s="137"/>
      <c r="N230" s="118">
        <f t="shared" si="224"/>
        <v>730</v>
      </c>
      <c r="O230" s="118">
        <f>'Минимальные габариты IP55 и 68'!O175+99</f>
        <v>485</v>
      </c>
      <c r="P230" s="118">
        <f t="shared" si="219"/>
        <v>367</v>
      </c>
      <c r="Q230" s="105"/>
      <c r="S230" s="103"/>
      <c r="AA230" s="104"/>
    </row>
    <row r="231" spans="1:27" x14ac:dyDescent="0.25">
      <c r="A231" s="107">
        <f t="shared" si="220"/>
        <v>630</v>
      </c>
      <c r="B231" s="118">
        <f t="shared" si="221"/>
        <v>720</v>
      </c>
      <c r="C231" s="118">
        <f>'Минимальные габариты IP55 и 68'!C174+99</f>
        <v>485</v>
      </c>
      <c r="D231" s="118">
        <f t="shared" si="216"/>
        <v>360</v>
      </c>
      <c r="E231" s="137"/>
      <c r="F231" s="118">
        <f>(11+93+130+10)*2+K17+K17+33+99</f>
        <v>700</v>
      </c>
      <c r="G231" s="118">
        <f>'Минимальные габариты IP55 и 68'!G174+99</f>
        <v>485</v>
      </c>
      <c r="H231" s="118">
        <f t="shared" si="217"/>
        <v>350</v>
      </c>
      <c r="I231" s="137"/>
      <c r="J231" s="118">
        <f t="shared" si="223"/>
        <v>785</v>
      </c>
      <c r="K231" s="118">
        <f>'Минимальные габариты IP55 и 68'!K174+99</f>
        <v>485</v>
      </c>
      <c r="L231" s="118">
        <f t="shared" si="218"/>
        <v>394.5</v>
      </c>
      <c r="M231" s="137"/>
      <c r="N231" s="118">
        <f t="shared" si="224"/>
        <v>760</v>
      </c>
      <c r="O231" s="118">
        <f>'Минимальные габариты IP55 и 68'!O174+99</f>
        <v>485</v>
      </c>
      <c r="P231" s="118">
        <f t="shared" si="219"/>
        <v>382</v>
      </c>
      <c r="Q231" s="105"/>
      <c r="S231" s="103"/>
      <c r="AA231" s="104"/>
    </row>
    <row r="232" spans="1:27" x14ac:dyDescent="0.25">
      <c r="A232" s="107">
        <f t="shared" ref="A232:A241" si="229">A18</f>
        <v>800</v>
      </c>
      <c r="B232" s="118">
        <f t="shared" si="221"/>
        <v>750</v>
      </c>
      <c r="C232" s="118">
        <f>'Минимальные габариты IP55 и 68'!C175+99</f>
        <v>485</v>
      </c>
      <c r="D232" s="118">
        <f t="shared" si="216"/>
        <v>375</v>
      </c>
      <c r="E232" s="137"/>
      <c r="F232" s="118">
        <f>(11+93+130+10)*2+K18+K18+33+99</f>
        <v>740</v>
      </c>
      <c r="G232" s="118">
        <f>'Минимальные габариты IP55 и 68'!G175+99</f>
        <v>485</v>
      </c>
      <c r="H232" s="118">
        <f t="shared" si="217"/>
        <v>370</v>
      </c>
      <c r="I232" s="137"/>
      <c r="J232" s="118">
        <f t="shared" si="223"/>
        <v>830</v>
      </c>
      <c r="K232" s="118">
        <f>'Минимальные габариты IP55 и 68'!K175+99</f>
        <v>485</v>
      </c>
      <c r="L232" s="118">
        <f>J232/2</f>
        <v>415</v>
      </c>
      <c r="M232" s="137"/>
      <c r="N232" s="118">
        <f t="shared" si="224"/>
        <v>820</v>
      </c>
      <c r="O232" s="118">
        <f>'Минимальные габариты IP55 и 68'!O175+99</f>
        <v>485</v>
      </c>
      <c r="P232" s="118">
        <f t="shared" si="219"/>
        <v>412</v>
      </c>
      <c r="Q232" s="145"/>
      <c r="S232" s="103"/>
      <c r="AA232" s="104"/>
    </row>
    <row r="233" spans="1:27" x14ac:dyDescent="0.25">
      <c r="A233" s="107">
        <f t="shared" si="229"/>
        <v>1000</v>
      </c>
      <c r="B233" s="118">
        <f t="shared" si="221"/>
        <v>820</v>
      </c>
      <c r="C233" s="118">
        <f>'Минимальные габариты IP55 и 68'!C176+99</f>
        <v>485</v>
      </c>
      <c r="D233" s="118">
        <f t="shared" si="216"/>
        <v>410</v>
      </c>
      <c r="E233" s="137"/>
      <c r="F233" s="118">
        <f t="shared" ref="F233:F237" si="230">(11+93+130+10)*2+K19+K19+33+99</f>
        <v>750</v>
      </c>
      <c r="G233" s="118">
        <f>'Минимальные габариты IP55 и 68'!G176+99</f>
        <v>485</v>
      </c>
      <c r="H233" s="118">
        <f t="shared" si="217"/>
        <v>375</v>
      </c>
      <c r="I233" s="137"/>
      <c r="J233" s="118">
        <f>(11+93+130+10)*2+(Q19*3)+15+33+(99+5)</f>
        <v>940</v>
      </c>
      <c r="K233" s="118">
        <f>'Минимальные габариты IP55 и 68'!K176+99</f>
        <v>485</v>
      </c>
      <c r="L233" s="118">
        <f>J233/2+2</f>
        <v>472</v>
      </c>
      <c r="M233" s="137"/>
      <c r="N233" s="118">
        <f t="shared" ref="N233" si="231">(11+93+130+10)*2+(W19*3)+15+33+(99)</f>
        <v>830</v>
      </c>
      <c r="O233" s="118">
        <f>'Минимальные габариты IP55 и 68'!O176+99</f>
        <v>485</v>
      </c>
      <c r="P233" s="118">
        <f>N233/2</f>
        <v>415</v>
      </c>
      <c r="Q233" s="145"/>
      <c r="S233" s="103"/>
      <c r="AA233" s="104"/>
    </row>
    <row r="234" spans="1:27" x14ac:dyDescent="0.25">
      <c r="A234" s="107">
        <f t="shared" si="229"/>
        <v>1250</v>
      </c>
      <c r="B234" s="118">
        <f t="shared" si="221"/>
        <v>880</v>
      </c>
      <c r="C234" s="118">
        <f>'Минимальные габариты IP55 и 68'!C177+99</f>
        <v>485</v>
      </c>
      <c r="D234" s="118">
        <f t="shared" si="216"/>
        <v>440</v>
      </c>
      <c r="E234" s="137"/>
      <c r="F234" s="118">
        <f t="shared" si="230"/>
        <v>780</v>
      </c>
      <c r="G234" s="118">
        <f>'Минимальные габариты IP55 и 68'!G177+99</f>
        <v>485</v>
      </c>
      <c r="H234" s="118">
        <f t="shared" si="217"/>
        <v>390</v>
      </c>
      <c r="I234" s="137"/>
      <c r="J234" s="118">
        <f t="shared" ref="J234:J236" si="232">(11+93+130+10)*2+(Q20*3)+15+33+(99+5)</f>
        <v>1030</v>
      </c>
      <c r="K234" s="118">
        <f>'Минимальные габариты IP55 и 68'!K177+99</f>
        <v>485</v>
      </c>
      <c r="L234" s="118">
        <f t="shared" ref="L234:L241" si="233">J234/2</f>
        <v>515</v>
      </c>
      <c r="M234" s="137"/>
      <c r="N234" s="118">
        <f>(11+93+130+10)*2+(W20*3)+15+33+(99+5)</f>
        <v>880</v>
      </c>
      <c r="O234" s="118">
        <f>'Минимальные габариты IP55 и 68'!O177+99</f>
        <v>485</v>
      </c>
      <c r="P234" s="118">
        <f t="shared" ref="P234:P241" si="234">N234/2+2</f>
        <v>442</v>
      </c>
      <c r="Q234" s="145"/>
      <c r="S234" s="103"/>
      <c r="AA234" s="104"/>
    </row>
    <row r="235" spans="1:27" x14ac:dyDescent="0.25">
      <c r="A235" s="107">
        <f t="shared" si="229"/>
        <v>1600</v>
      </c>
      <c r="B235" s="118">
        <f t="shared" si="221"/>
        <v>940</v>
      </c>
      <c r="C235" s="118">
        <f>'Минимальные габариты IP55 и 68'!C178+99</f>
        <v>485</v>
      </c>
      <c r="D235" s="118">
        <f t="shared" si="216"/>
        <v>470</v>
      </c>
      <c r="E235" s="137"/>
      <c r="F235" s="118">
        <f t="shared" si="230"/>
        <v>820</v>
      </c>
      <c r="G235" s="118">
        <f>'Минимальные габариты IP55 и 68'!G178+99</f>
        <v>485</v>
      </c>
      <c r="H235" s="118">
        <f t="shared" si="217"/>
        <v>410</v>
      </c>
      <c r="I235" s="137"/>
      <c r="J235" s="118">
        <f t="shared" si="232"/>
        <v>1120</v>
      </c>
      <c r="K235" s="118">
        <f>'Минимальные габариты IP55 и 68'!K178+99</f>
        <v>485</v>
      </c>
      <c r="L235" s="118">
        <f t="shared" si="233"/>
        <v>560</v>
      </c>
      <c r="M235" s="137"/>
      <c r="N235" s="118">
        <f t="shared" ref="N235:N237" si="235">(11+93+130+10)*2+(W21*3)+15+33+(99+5)</f>
        <v>940</v>
      </c>
      <c r="O235" s="118">
        <f>'Минимальные габариты IP55 и 68'!O178+99</f>
        <v>485</v>
      </c>
      <c r="P235" s="118">
        <f t="shared" si="234"/>
        <v>472</v>
      </c>
      <c r="Q235" s="145"/>
      <c r="S235" s="103"/>
      <c r="AA235" s="104"/>
    </row>
    <row r="236" spans="1:27" x14ac:dyDescent="0.25">
      <c r="A236" s="107">
        <f t="shared" si="229"/>
        <v>2000</v>
      </c>
      <c r="B236" s="118">
        <f t="shared" si="221"/>
        <v>1020</v>
      </c>
      <c r="C236" s="118">
        <f>'Минимальные габариты IP55 и 68'!C179+99</f>
        <v>485</v>
      </c>
      <c r="D236" s="118">
        <f t="shared" si="216"/>
        <v>510</v>
      </c>
      <c r="E236" s="137"/>
      <c r="F236" s="118">
        <f t="shared" si="230"/>
        <v>940</v>
      </c>
      <c r="G236" s="118">
        <f>'Минимальные габариты IP55 и 68'!G179+99</f>
        <v>485</v>
      </c>
      <c r="H236" s="118">
        <f t="shared" si="217"/>
        <v>470</v>
      </c>
      <c r="I236" s="137"/>
      <c r="J236" s="118">
        <f t="shared" si="232"/>
        <v>1240</v>
      </c>
      <c r="K236" s="118">
        <f>'Минимальные габариты IP55 и 68'!K179+99</f>
        <v>485</v>
      </c>
      <c r="L236" s="118">
        <f t="shared" si="233"/>
        <v>620</v>
      </c>
      <c r="M236" s="137"/>
      <c r="N236" s="118">
        <f t="shared" si="235"/>
        <v>1120</v>
      </c>
      <c r="O236" s="118">
        <f>'Минимальные габариты IP55 и 68'!O179+99</f>
        <v>485</v>
      </c>
      <c r="P236" s="118">
        <f t="shared" si="234"/>
        <v>562</v>
      </c>
      <c r="Q236" s="145"/>
      <c r="S236" s="103"/>
      <c r="AA236" s="104"/>
    </row>
    <row r="237" spans="1:27" x14ac:dyDescent="0.25">
      <c r="A237" s="107">
        <f t="shared" si="229"/>
        <v>2500</v>
      </c>
      <c r="B237" s="118">
        <f>(11+93+130+10)*2+(E23+E23)*D23+33+99</f>
        <v>1140</v>
      </c>
      <c r="C237" s="118">
        <f>'Минимальные габариты IP55 и 68'!C180+99</f>
        <v>485</v>
      </c>
      <c r="D237" s="118">
        <f t="shared" si="216"/>
        <v>570</v>
      </c>
      <c r="E237" s="137"/>
      <c r="F237" s="118">
        <f t="shared" si="230"/>
        <v>1020</v>
      </c>
      <c r="G237" s="118">
        <f>'Минимальные габариты IP55 и 68'!G180+99</f>
        <v>485</v>
      </c>
      <c r="H237" s="118">
        <f t="shared" si="217"/>
        <v>510</v>
      </c>
      <c r="I237" s="137"/>
      <c r="J237" s="118">
        <f>(11+93+130+10)*2+(Q23*3)*P23+15+33+(99+5)</f>
        <v>1420</v>
      </c>
      <c r="K237" s="118">
        <f>'Минимальные габариты IP55 и 68'!K180+99</f>
        <v>485</v>
      </c>
      <c r="L237" s="118">
        <f t="shared" si="233"/>
        <v>710</v>
      </c>
      <c r="M237" s="137"/>
      <c r="N237" s="118">
        <f t="shared" si="235"/>
        <v>1240</v>
      </c>
      <c r="O237" s="118">
        <f>'Минимальные габариты IP55 и 68'!O180+99</f>
        <v>485</v>
      </c>
      <c r="P237" s="118">
        <f t="shared" si="234"/>
        <v>622</v>
      </c>
      <c r="Q237" s="145"/>
      <c r="S237" s="103"/>
      <c r="AA237" s="104"/>
    </row>
    <row r="238" spans="1:27" x14ac:dyDescent="0.25">
      <c r="A238" s="107">
        <f t="shared" si="229"/>
        <v>3200</v>
      </c>
      <c r="B238" s="118">
        <f>(11+93+130+10)*2+(E24+E24)*D24+33+99</f>
        <v>1260</v>
      </c>
      <c r="C238" s="118">
        <f>'Минимальные габариты IP55 и 68'!C181+99</f>
        <v>485</v>
      </c>
      <c r="D238" s="118">
        <f t="shared" si="216"/>
        <v>630</v>
      </c>
      <c r="E238" s="137"/>
      <c r="F238" s="118">
        <f>(11+93+130+10)*2+(K24+K24)*J24+33+99</f>
        <v>1140</v>
      </c>
      <c r="G238" s="118">
        <f>'Минимальные габариты IP55 и 68'!G181+99</f>
        <v>485</v>
      </c>
      <c r="H238" s="118">
        <f t="shared" si="217"/>
        <v>570</v>
      </c>
      <c r="I238" s="137"/>
      <c r="J238" s="118">
        <f t="shared" ref="J238:J241" si="236">(11+93+130+10)*2+(Q24*3)*P24+15+33+(99+5)</f>
        <v>1600</v>
      </c>
      <c r="K238" s="118">
        <f>'Минимальные габариты IP55 и 68'!K181+99</f>
        <v>485</v>
      </c>
      <c r="L238" s="118">
        <f t="shared" si="233"/>
        <v>800</v>
      </c>
      <c r="M238" s="137"/>
      <c r="N238" s="118">
        <f>(11+93+130+10)*2+(W24*3)*V24+15+33+(99+5)</f>
        <v>1420</v>
      </c>
      <c r="O238" s="118">
        <f>'Минимальные габариты IP55 и 68'!O181+99</f>
        <v>485</v>
      </c>
      <c r="P238" s="118">
        <f t="shared" si="234"/>
        <v>712</v>
      </c>
      <c r="Q238" s="145"/>
      <c r="S238" s="103"/>
      <c r="AA238" s="104"/>
    </row>
    <row r="239" spans="1:27" x14ac:dyDescent="0.25">
      <c r="A239" s="107">
        <f t="shared" si="229"/>
        <v>4000</v>
      </c>
      <c r="B239" s="118">
        <f>(11+93+130+10)*2+(E25+E25)*D25+33+99</f>
        <v>1420</v>
      </c>
      <c r="C239" s="118">
        <f>'Минимальные габариты IP55 и 68'!C182+99</f>
        <v>485</v>
      </c>
      <c r="D239" s="118">
        <f t="shared" si="216"/>
        <v>710</v>
      </c>
      <c r="E239" s="137"/>
      <c r="F239" s="118">
        <f t="shared" ref="F239:F241" si="237">(11+93+130+10)*2+(K25+K25)*J25+33+99</f>
        <v>1260</v>
      </c>
      <c r="G239" s="118">
        <f>'Минимальные габариты IP55 и 68'!G182+99</f>
        <v>485</v>
      </c>
      <c r="H239" s="118">
        <f t="shared" si="217"/>
        <v>630</v>
      </c>
      <c r="I239" s="137"/>
      <c r="J239" s="118">
        <f t="shared" si="236"/>
        <v>1840</v>
      </c>
      <c r="K239" s="118">
        <f>'Минимальные габариты IP55 и 68'!K182+99</f>
        <v>485</v>
      </c>
      <c r="L239" s="118">
        <f t="shared" si="233"/>
        <v>920</v>
      </c>
      <c r="M239" s="137"/>
      <c r="N239" s="118">
        <f t="shared" ref="N239:N241" si="238">(11+93+130+10)*2+(W25*3)*V25+15+33+(99+5)</f>
        <v>1600</v>
      </c>
      <c r="O239" s="118">
        <f>'Минимальные габариты IP55 и 68'!O182+99</f>
        <v>485</v>
      </c>
      <c r="P239" s="118">
        <f t="shared" si="234"/>
        <v>802</v>
      </c>
      <c r="Q239" s="145"/>
      <c r="S239" s="103"/>
      <c r="AA239" s="104"/>
    </row>
    <row r="240" spans="1:27" x14ac:dyDescent="0.25">
      <c r="A240" s="107">
        <f t="shared" si="229"/>
        <v>5000</v>
      </c>
      <c r="B240" s="118">
        <f>(11+93+130+10)*2+(E26+E26)*D26+33+99</f>
        <v>1660</v>
      </c>
      <c r="C240" s="118">
        <f>'Минимальные габариты IP55 и 68'!C183+99</f>
        <v>485</v>
      </c>
      <c r="D240" s="118">
        <f t="shared" si="216"/>
        <v>830</v>
      </c>
      <c r="E240" s="137"/>
      <c r="F240" s="118">
        <f t="shared" si="237"/>
        <v>1420</v>
      </c>
      <c r="G240" s="118">
        <f>'Минимальные габариты IP55 и 68'!G183+99</f>
        <v>485</v>
      </c>
      <c r="H240" s="118">
        <f t="shared" si="217"/>
        <v>710</v>
      </c>
      <c r="I240" s="137"/>
      <c r="J240" s="118">
        <f t="shared" si="236"/>
        <v>2200</v>
      </c>
      <c r="K240" s="118">
        <f>'Минимальные габариты IP55 и 68'!K183+99</f>
        <v>485</v>
      </c>
      <c r="L240" s="118">
        <f t="shared" si="233"/>
        <v>1100</v>
      </c>
      <c r="M240" s="137"/>
      <c r="N240" s="118">
        <f t="shared" si="238"/>
        <v>1840</v>
      </c>
      <c r="O240" s="118">
        <f>'Минимальные габариты IP55 и 68'!O183+99</f>
        <v>485</v>
      </c>
      <c r="P240" s="118">
        <f t="shared" si="234"/>
        <v>922</v>
      </c>
      <c r="Q240" s="145"/>
      <c r="S240" s="103"/>
      <c r="AA240" s="104"/>
    </row>
    <row r="241" spans="1:27" x14ac:dyDescent="0.25">
      <c r="A241" s="107">
        <f t="shared" si="229"/>
        <v>6300</v>
      </c>
      <c r="B241" s="118">
        <f>(11+93+130+10)*2+(E27+E27)*D27+33+99</f>
        <v>1900</v>
      </c>
      <c r="C241" s="118">
        <f>'Минимальные габариты IP55 и 68'!C184+99</f>
        <v>485</v>
      </c>
      <c r="D241" s="118">
        <f t="shared" si="216"/>
        <v>950</v>
      </c>
      <c r="E241" s="137"/>
      <c r="F241" s="118">
        <f t="shared" si="237"/>
        <v>1820</v>
      </c>
      <c r="G241" s="118">
        <f>'Минимальные габариты IP55 и 68'!G184+99</f>
        <v>485</v>
      </c>
      <c r="H241" s="118">
        <f t="shared" si="217"/>
        <v>910</v>
      </c>
      <c r="I241" s="137"/>
      <c r="J241" s="118">
        <f t="shared" si="236"/>
        <v>2560</v>
      </c>
      <c r="K241" s="118">
        <f>'Минимальные габариты IP55 и 68'!K184+99</f>
        <v>485</v>
      </c>
      <c r="L241" s="118">
        <f t="shared" si="233"/>
        <v>1280</v>
      </c>
      <c r="M241" s="137"/>
      <c r="N241" s="118">
        <f t="shared" si="238"/>
        <v>2440</v>
      </c>
      <c r="O241" s="118">
        <f>'Минимальные габариты IP55 и 68'!O184+99</f>
        <v>485</v>
      </c>
      <c r="P241" s="118">
        <f t="shared" si="234"/>
        <v>1222</v>
      </c>
      <c r="Q241" s="145"/>
      <c r="S241" s="111"/>
      <c r="T241" s="112"/>
      <c r="U241" s="112"/>
      <c r="V241" s="112"/>
      <c r="W241" s="112"/>
      <c r="X241" s="112"/>
      <c r="Y241" s="112"/>
      <c r="Z241" s="112"/>
      <c r="AA241" s="113"/>
    </row>
    <row r="243" spans="1:27" ht="18.75" x14ac:dyDescent="0.25">
      <c r="D243" s="199" t="s">
        <v>39</v>
      </c>
      <c r="E243" s="199"/>
      <c r="F243" s="199"/>
      <c r="G243" s="199"/>
      <c r="H243" s="199"/>
      <c r="I243" s="199"/>
      <c r="J243" s="199"/>
    </row>
    <row r="244" spans="1:27" x14ac:dyDescent="0.25">
      <c r="D244" s="204" t="s">
        <v>2</v>
      </c>
      <c r="E244" s="204"/>
      <c r="F244" s="204"/>
      <c r="G244" s="204"/>
      <c r="H244" s="204"/>
      <c r="I244" s="204"/>
      <c r="J244" s="204"/>
    </row>
    <row r="245" spans="1:27" x14ac:dyDescent="0.25">
      <c r="D245" s="204" t="s">
        <v>3</v>
      </c>
      <c r="E245" s="204"/>
      <c r="F245" s="204"/>
      <c r="G245" s="204" t="s">
        <v>22</v>
      </c>
      <c r="H245" s="204"/>
      <c r="I245" s="204"/>
      <c r="J245" s="204"/>
    </row>
    <row r="246" spans="1:27" x14ac:dyDescent="0.25">
      <c r="D246" s="204" t="s">
        <v>23</v>
      </c>
      <c r="E246" s="204"/>
      <c r="F246" s="204"/>
      <c r="G246" s="204" t="s">
        <v>22</v>
      </c>
      <c r="H246" s="204"/>
      <c r="I246" s="204"/>
      <c r="J246" s="204"/>
    </row>
    <row r="248" spans="1:27" x14ac:dyDescent="0.25">
      <c r="A248" s="203" t="s">
        <v>5</v>
      </c>
      <c r="B248" s="205" t="s">
        <v>6</v>
      </c>
      <c r="C248" s="206"/>
      <c r="D248" s="206"/>
      <c r="E248" s="206"/>
      <c r="F248" s="206"/>
      <c r="G248" s="206"/>
      <c r="H248" s="206"/>
      <c r="I248" s="206"/>
      <c r="J248" s="206"/>
      <c r="K248" s="207"/>
      <c r="L248" s="203" t="s">
        <v>7</v>
      </c>
      <c r="M248" s="203"/>
      <c r="N248" s="203"/>
      <c r="O248" s="203"/>
      <c r="P248" s="203"/>
      <c r="Q248" s="203"/>
      <c r="R248" s="203"/>
      <c r="S248" s="203"/>
      <c r="T248" s="203"/>
      <c r="U248" s="203"/>
      <c r="W248" s="100"/>
      <c r="X248" s="101"/>
      <c r="Y248" s="101"/>
      <c r="Z248" s="101"/>
      <c r="AA248" s="102"/>
    </row>
    <row r="249" spans="1:27" x14ac:dyDescent="0.25">
      <c r="A249" s="203"/>
      <c r="B249" s="205" t="s">
        <v>8</v>
      </c>
      <c r="C249" s="206"/>
      <c r="D249" s="206"/>
      <c r="E249" s="206"/>
      <c r="F249" s="207"/>
      <c r="G249" s="205" t="s">
        <v>9</v>
      </c>
      <c r="H249" s="206"/>
      <c r="I249" s="206"/>
      <c r="J249" s="206"/>
      <c r="K249" s="206"/>
      <c r="L249" s="203" t="s">
        <v>8</v>
      </c>
      <c r="M249" s="203"/>
      <c r="N249" s="203"/>
      <c r="O249" s="203"/>
      <c r="P249" s="203"/>
      <c r="Q249" s="203" t="s">
        <v>9</v>
      </c>
      <c r="R249" s="203"/>
      <c r="S249" s="203"/>
      <c r="T249" s="203"/>
      <c r="U249" s="203"/>
      <c r="W249" s="103"/>
      <c r="AA249" s="104"/>
    </row>
    <row r="250" spans="1:27" x14ac:dyDescent="0.25">
      <c r="A250" s="203"/>
      <c r="B250" s="143" t="s">
        <v>24</v>
      </c>
      <c r="C250" s="143" t="s">
        <v>27</v>
      </c>
      <c r="D250" s="143" t="s">
        <v>40</v>
      </c>
      <c r="E250" s="143" t="s">
        <v>41</v>
      </c>
      <c r="F250" s="143" t="s">
        <v>26</v>
      </c>
      <c r="G250" s="143" t="s">
        <v>24</v>
      </c>
      <c r="H250" s="143" t="s">
        <v>27</v>
      </c>
      <c r="I250" s="143" t="s">
        <v>40</v>
      </c>
      <c r="J250" s="143" t="s">
        <v>41</v>
      </c>
      <c r="K250" s="143" t="s">
        <v>26</v>
      </c>
      <c r="L250" s="143" t="s">
        <v>24</v>
      </c>
      <c r="M250" s="143" t="s">
        <v>27</v>
      </c>
      <c r="N250" s="143" t="s">
        <v>40</v>
      </c>
      <c r="O250" s="143" t="s">
        <v>41</v>
      </c>
      <c r="P250" s="143" t="s">
        <v>26</v>
      </c>
      <c r="Q250" s="143" t="s">
        <v>24</v>
      </c>
      <c r="R250" s="143" t="s">
        <v>27</v>
      </c>
      <c r="S250" s="143" t="s">
        <v>40</v>
      </c>
      <c r="T250" s="143" t="s">
        <v>41</v>
      </c>
      <c r="U250" s="143" t="s">
        <v>26</v>
      </c>
      <c r="W250" s="103"/>
      <c r="AA250" s="104"/>
    </row>
    <row r="251" spans="1:27" x14ac:dyDescent="0.25">
      <c r="A251" s="107">
        <v>160</v>
      </c>
      <c r="B251" s="107">
        <f>C251-210</f>
        <v>240</v>
      </c>
      <c r="C251" s="107">
        <v>450</v>
      </c>
      <c r="D251" s="107">
        <f t="shared" ref="D251:D257" si="239">E12+7+(106.5*2)</f>
        <v>250</v>
      </c>
      <c r="E251" s="107">
        <v>500</v>
      </c>
      <c r="F251" s="124"/>
      <c r="G251" s="107">
        <f t="shared" ref="G251:G266" si="240">H251-210</f>
        <v>240</v>
      </c>
      <c r="H251" s="107">
        <v>450</v>
      </c>
      <c r="I251" s="107">
        <f t="shared" ref="I251:I259" si="241">K12+7+106.5+106.5</f>
        <v>250</v>
      </c>
      <c r="J251" s="107">
        <v>500</v>
      </c>
      <c r="K251" s="124"/>
      <c r="L251" s="107">
        <f t="shared" ref="L251:L266" si="242">M251-210</f>
        <v>240</v>
      </c>
      <c r="M251" s="107">
        <v>450</v>
      </c>
      <c r="N251" s="107">
        <f t="shared" ref="N251:N266" si="243">D251</f>
        <v>250</v>
      </c>
      <c r="O251" s="107">
        <v>500</v>
      </c>
      <c r="P251" s="124"/>
      <c r="Q251" s="107">
        <f t="shared" ref="Q251:Q266" si="244">G251</f>
        <v>240</v>
      </c>
      <c r="R251" s="107">
        <v>450</v>
      </c>
      <c r="S251" s="107">
        <f t="shared" ref="S251:S266" si="245">I251</f>
        <v>250</v>
      </c>
      <c r="T251" s="107">
        <v>500</v>
      </c>
      <c r="U251" s="124"/>
      <c r="W251" s="103"/>
      <c r="AA251" s="104"/>
    </row>
    <row r="252" spans="1:27" x14ac:dyDescent="0.25">
      <c r="A252" s="107">
        <f t="shared" ref="A252:A256" si="246">A13</f>
        <v>250</v>
      </c>
      <c r="B252" s="107">
        <f t="shared" ref="B252:B266" si="247">C252-210</f>
        <v>240</v>
      </c>
      <c r="C252" s="107">
        <v>450</v>
      </c>
      <c r="D252" s="107">
        <f t="shared" si="239"/>
        <v>250</v>
      </c>
      <c r="E252" s="107">
        <v>500</v>
      </c>
      <c r="F252" s="124"/>
      <c r="G252" s="107">
        <f t="shared" si="240"/>
        <v>240</v>
      </c>
      <c r="H252" s="107">
        <v>450</v>
      </c>
      <c r="I252" s="107">
        <f t="shared" si="241"/>
        <v>250</v>
      </c>
      <c r="J252" s="107">
        <v>500</v>
      </c>
      <c r="K252" s="124"/>
      <c r="L252" s="107">
        <f t="shared" si="242"/>
        <v>240</v>
      </c>
      <c r="M252" s="107">
        <v>450</v>
      </c>
      <c r="N252" s="107">
        <f t="shared" si="243"/>
        <v>250</v>
      </c>
      <c r="O252" s="107">
        <v>500</v>
      </c>
      <c r="P252" s="124"/>
      <c r="Q252" s="107">
        <f t="shared" si="244"/>
        <v>240</v>
      </c>
      <c r="R252" s="107">
        <v>450</v>
      </c>
      <c r="S252" s="107">
        <f t="shared" si="245"/>
        <v>250</v>
      </c>
      <c r="T252" s="107">
        <v>500</v>
      </c>
      <c r="U252" s="124"/>
      <c r="W252" s="103"/>
      <c r="AA252" s="104"/>
    </row>
    <row r="253" spans="1:27" x14ac:dyDescent="0.25">
      <c r="A253" s="107">
        <f t="shared" si="246"/>
        <v>315</v>
      </c>
      <c r="B253" s="107">
        <f t="shared" si="247"/>
        <v>240</v>
      </c>
      <c r="C253" s="107">
        <v>450</v>
      </c>
      <c r="D253" s="107">
        <f t="shared" si="239"/>
        <v>250</v>
      </c>
      <c r="E253" s="107">
        <v>500</v>
      </c>
      <c r="F253" s="124"/>
      <c r="G253" s="107">
        <f t="shared" ref="G253:G255" si="248">H253-210</f>
        <v>240</v>
      </c>
      <c r="H253" s="107">
        <v>450</v>
      </c>
      <c r="I253" s="107">
        <f t="shared" si="241"/>
        <v>250</v>
      </c>
      <c r="J253" s="107">
        <v>500</v>
      </c>
      <c r="K253" s="124"/>
      <c r="L253" s="107">
        <f t="shared" ref="L253:L255" si="249">M253-210</f>
        <v>240</v>
      </c>
      <c r="M253" s="107">
        <v>450</v>
      </c>
      <c r="N253" s="107">
        <f t="shared" ref="N253:N255" si="250">D253</f>
        <v>250</v>
      </c>
      <c r="O253" s="107">
        <v>500</v>
      </c>
      <c r="P253" s="124"/>
      <c r="Q253" s="107">
        <f t="shared" ref="Q253:Q255" si="251">G253</f>
        <v>240</v>
      </c>
      <c r="R253" s="107">
        <v>450</v>
      </c>
      <c r="S253" s="107">
        <f t="shared" ref="S253:S255" si="252">I253</f>
        <v>250</v>
      </c>
      <c r="T253" s="107">
        <v>500</v>
      </c>
      <c r="U253" s="124"/>
      <c r="W253" s="103"/>
      <c r="AA253" s="104"/>
    </row>
    <row r="254" spans="1:27" x14ac:dyDescent="0.25">
      <c r="A254" s="107">
        <f t="shared" si="246"/>
        <v>400</v>
      </c>
      <c r="B254" s="107">
        <f t="shared" ref="B254:B255" si="253">C254-210</f>
        <v>240</v>
      </c>
      <c r="C254" s="107">
        <v>450</v>
      </c>
      <c r="D254" s="107">
        <f t="shared" si="239"/>
        <v>250</v>
      </c>
      <c r="E254" s="107">
        <v>500</v>
      </c>
      <c r="F254" s="124"/>
      <c r="G254" s="107">
        <f t="shared" si="248"/>
        <v>240</v>
      </c>
      <c r="H254" s="107">
        <v>450</v>
      </c>
      <c r="I254" s="107">
        <f t="shared" si="241"/>
        <v>250</v>
      </c>
      <c r="J254" s="107">
        <v>500</v>
      </c>
      <c r="K254" s="124"/>
      <c r="L254" s="107">
        <f t="shared" si="249"/>
        <v>240</v>
      </c>
      <c r="M254" s="107">
        <v>450</v>
      </c>
      <c r="N254" s="107">
        <f t="shared" si="250"/>
        <v>250</v>
      </c>
      <c r="O254" s="107">
        <v>500</v>
      </c>
      <c r="P254" s="124"/>
      <c r="Q254" s="107">
        <f t="shared" si="251"/>
        <v>240</v>
      </c>
      <c r="R254" s="107">
        <v>450</v>
      </c>
      <c r="S254" s="107">
        <f t="shared" si="252"/>
        <v>250</v>
      </c>
      <c r="T254" s="107">
        <v>500</v>
      </c>
      <c r="U254" s="124"/>
      <c r="W254" s="103"/>
      <c r="AA254" s="104"/>
    </row>
    <row r="255" spans="1:27" x14ac:dyDescent="0.25">
      <c r="A255" s="107">
        <f t="shared" si="246"/>
        <v>500</v>
      </c>
      <c r="B255" s="107">
        <f t="shared" si="253"/>
        <v>240</v>
      </c>
      <c r="C255" s="107">
        <v>450</v>
      </c>
      <c r="D255" s="107">
        <f t="shared" si="239"/>
        <v>260</v>
      </c>
      <c r="E255" s="107">
        <v>500</v>
      </c>
      <c r="F255" s="124"/>
      <c r="G255" s="107">
        <f t="shared" si="248"/>
        <v>240</v>
      </c>
      <c r="H255" s="107">
        <v>450</v>
      </c>
      <c r="I255" s="107">
        <f t="shared" si="241"/>
        <v>250</v>
      </c>
      <c r="J255" s="107">
        <v>500</v>
      </c>
      <c r="K255" s="124"/>
      <c r="L255" s="107">
        <f t="shared" si="249"/>
        <v>240</v>
      </c>
      <c r="M255" s="107">
        <v>450</v>
      </c>
      <c r="N255" s="107">
        <f t="shared" si="250"/>
        <v>260</v>
      </c>
      <c r="O255" s="107">
        <v>500</v>
      </c>
      <c r="P255" s="124"/>
      <c r="Q255" s="107">
        <f t="shared" si="251"/>
        <v>240</v>
      </c>
      <c r="R255" s="107">
        <v>450</v>
      </c>
      <c r="S255" s="107">
        <f t="shared" si="252"/>
        <v>250</v>
      </c>
      <c r="T255" s="107">
        <v>500</v>
      </c>
      <c r="U255" s="124"/>
      <c r="W255" s="103"/>
      <c r="AA255" s="104"/>
    </row>
    <row r="256" spans="1:27" x14ac:dyDescent="0.25">
      <c r="A256" s="107">
        <f t="shared" si="246"/>
        <v>630</v>
      </c>
      <c r="B256" s="107">
        <f t="shared" si="247"/>
        <v>240</v>
      </c>
      <c r="C256" s="107">
        <v>450</v>
      </c>
      <c r="D256" s="107">
        <f t="shared" si="239"/>
        <v>270</v>
      </c>
      <c r="E256" s="107">
        <v>500</v>
      </c>
      <c r="F256" s="124"/>
      <c r="G256" s="107">
        <f t="shared" si="240"/>
        <v>240</v>
      </c>
      <c r="H256" s="107">
        <v>450</v>
      </c>
      <c r="I256" s="107">
        <f t="shared" si="241"/>
        <v>260</v>
      </c>
      <c r="J256" s="107">
        <v>500</v>
      </c>
      <c r="K256" s="124"/>
      <c r="L256" s="107">
        <f t="shared" si="242"/>
        <v>240</v>
      </c>
      <c r="M256" s="107">
        <v>450</v>
      </c>
      <c r="N256" s="107">
        <f t="shared" si="243"/>
        <v>270</v>
      </c>
      <c r="O256" s="107">
        <v>500</v>
      </c>
      <c r="P256" s="124"/>
      <c r="Q256" s="107">
        <f t="shared" si="244"/>
        <v>240</v>
      </c>
      <c r="R256" s="107">
        <v>450</v>
      </c>
      <c r="S256" s="107">
        <f t="shared" si="245"/>
        <v>260</v>
      </c>
      <c r="T256" s="107">
        <v>500</v>
      </c>
      <c r="U256" s="124"/>
      <c r="W256" s="103"/>
      <c r="AA256" s="104"/>
    </row>
    <row r="257" spans="1:27" x14ac:dyDescent="0.25">
      <c r="A257" s="107">
        <f t="shared" ref="A257:A266" si="254">A18</f>
        <v>800</v>
      </c>
      <c r="B257" s="107">
        <f t="shared" si="247"/>
        <v>240</v>
      </c>
      <c r="C257" s="107">
        <v>450</v>
      </c>
      <c r="D257" s="107">
        <f t="shared" si="239"/>
        <v>285</v>
      </c>
      <c r="E257" s="107">
        <v>500</v>
      </c>
      <c r="F257" s="124"/>
      <c r="G257" s="107">
        <f t="shared" si="240"/>
        <v>240</v>
      </c>
      <c r="H257" s="107">
        <v>450</v>
      </c>
      <c r="I257" s="107">
        <f t="shared" si="241"/>
        <v>280</v>
      </c>
      <c r="J257" s="107">
        <v>500</v>
      </c>
      <c r="K257" s="124"/>
      <c r="L257" s="107">
        <f t="shared" si="242"/>
        <v>240</v>
      </c>
      <c r="M257" s="107">
        <v>450</v>
      </c>
      <c r="N257" s="107">
        <f t="shared" si="243"/>
        <v>285</v>
      </c>
      <c r="O257" s="107">
        <v>500</v>
      </c>
      <c r="P257" s="124"/>
      <c r="Q257" s="107">
        <f t="shared" si="244"/>
        <v>240</v>
      </c>
      <c r="R257" s="107">
        <v>450</v>
      </c>
      <c r="S257" s="107">
        <f t="shared" si="245"/>
        <v>280</v>
      </c>
      <c r="T257" s="107">
        <v>500</v>
      </c>
      <c r="U257" s="124"/>
      <c r="W257" s="103"/>
      <c r="AA257" s="104"/>
    </row>
    <row r="258" spans="1:27" x14ac:dyDescent="0.25">
      <c r="A258" s="107">
        <f t="shared" si="254"/>
        <v>1000</v>
      </c>
      <c r="B258" s="107">
        <f t="shared" si="247"/>
        <v>240</v>
      </c>
      <c r="C258" s="107">
        <v>450</v>
      </c>
      <c r="D258" s="107">
        <f>E19+7+(109*2)</f>
        <v>325</v>
      </c>
      <c r="E258" s="107">
        <v>500</v>
      </c>
      <c r="F258" s="124"/>
      <c r="G258" s="107">
        <f t="shared" si="240"/>
        <v>240</v>
      </c>
      <c r="H258" s="107">
        <v>450</v>
      </c>
      <c r="I258" s="107">
        <f t="shared" si="241"/>
        <v>285</v>
      </c>
      <c r="J258" s="107">
        <v>500</v>
      </c>
      <c r="K258" s="124"/>
      <c r="L258" s="107">
        <f t="shared" si="242"/>
        <v>240</v>
      </c>
      <c r="M258" s="107">
        <v>450</v>
      </c>
      <c r="N258" s="107">
        <f t="shared" si="243"/>
        <v>325</v>
      </c>
      <c r="O258" s="107">
        <v>500</v>
      </c>
      <c r="P258" s="124"/>
      <c r="Q258" s="107">
        <f t="shared" si="244"/>
        <v>240</v>
      </c>
      <c r="R258" s="107">
        <v>450</v>
      </c>
      <c r="S258" s="107">
        <f t="shared" si="245"/>
        <v>285</v>
      </c>
      <c r="T258" s="107">
        <v>500</v>
      </c>
      <c r="U258" s="124"/>
      <c r="W258" s="103"/>
      <c r="AA258" s="104"/>
    </row>
    <row r="259" spans="1:27" x14ac:dyDescent="0.25">
      <c r="A259" s="107">
        <f t="shared" si="254"/>
        <v>1250</v>
      </c>
      <c r="B259" s="107">
        <f t="shared" si="247"/>
        <v>240</v>
      </c>
      <c r="C259" s="107">
        <v>450</v>
      </c>
      <c r="D259" s="107">
        <f>E20+7+(111.5*2)</f>
        <v>360</v>
      </c>
      <c r="E259" s="107">
        <v>500</v>
      </c>
      <c r="F259" s="124"/>
      <c r="G259" s="107">
        <f t="shared" si="240"/>
        <v>240</v>
      </c>
      <c r="H259" s="107">
        <v>450</v>
      </c>
      <c r="I259" s="107">
        <f t="shared" si="241"/>
        <v>300</v>
      </c>
      <c r="J259" s="107">
        <v>500</v>
      </c>
      <c r="K259" s="124"/>
      <c r="L259" s="107">
        <f t="shared" si="242"/>
        <v>240</v>
      </c>
      <c r="M259" s="107">
        <v>450</v>
      </c>
      <c r="N259" s="107">
        <f t="shared" si="243"/>
        <v>360</v>
      </c>
      <c r="O259" s="107">
        <v>500</v>
      </c>
      <c r="P259" s="124"/>
      <c r="Q259" s="107">
        <f t="shared" si="244"/>
        <v>240</v>
      </c>
      <c r="R259" s="107">
        <v>450</v>
      </c>
      <c r="S259" s="107">
        <f t="shared" si="245"/>
        <v>300</v>
      </c>
      <c r="T259" s="107">
        <v>500</v>
      </c>
      <c r="U259" s="124"/>
      <c r="W259" s="103"/>
      <c r="AA259" s="104"/>
    </row>
    <row r="260" spans="1:27" x14ac:dyDescent="0.25">
      <c r="A260" s="107">
        <f t="shared" si="254"/>
        <v>1600</v>
      </c>
      <c r="B260" s="107">
        <f t="shared" si="247"/>
        <v>240</v>
      </c>
      <c r="C260" s="107">
        <v>450</v>
      </c>
      <c r="D260" s="107">
        <f>E21+7+(111.5*2)</f>
        <v>390</v>
      </c>
      <c r="E260" s="107">
        <v>500</v>
      </c>
      <c r="F260" s="124"/>
      <c r="G260" s="107">
        <f t="shared" si="240"/>
        <v>240</v>
      </c>
      <c r="H260" s="107">
        <v>450</v>
      </c>
      <c r="I260" s="107">
        <f>K21+7+(109*2)</f>
        <v>325</v>
      </c>
      <c r="J260" s="107">
        <v>500</v>
      </c>
      <c r="K260" s="124"/>
      <c r="L260" s="107">
        <f t="shared" si="242"/>
        <v>240</v>
      </c>
      <c r="M260" s="107">
        <v>450</v>
      </c>
      <c r="N260" s="107">
        <f t="shared" si="243"/>
        <v>390</v>
      </c>
      <c r="O260" s="107">
        <v>500</v>
      </c>
      <c r="P260" s="124"/>
      <c r="Q260" s="107">
        <f t="shared" si="244"/>
        <v>240</v>
      </c>
      <c r="R260" s="107">
        <v>450</v>
      </c>
      <c r="S260" s="107">
        <f t="shared" si="245"/>
        <v>325</v>
      </c>
      <c r="T260" s="107">
        <v>500</v>
      </c>
      <c r="U260" s="124"/>
      <c r="W260" s="103"/>
      <c r="AA260" s="104"/>
    </row>
    <row r="261" spans="1:27" x14ac:dyDescent="0.25">
      <c r="A261" s="107">
        <f t="shared" si="254"/>
        <v>2000</v>
      </c>
      <c r="B261" s="107">
        <f t="shared" si="247"/>
        <v>240</v>
      </c>
      <c r="C261" s="107">
        <v>450</v>
      </c>
      <c r="D261" s="107">
        <f>E22+7+(111.5*2)</f>
        <v>430</v>
      </c>
      <c r="E261" s="107">
        <v>500</v>
      </c>
      <c r="F261" s="124"/>
      <c r="G261" s="107">
        <f t="shared" si="240"/>
        <v>240</v>
      </c>
      <c r="H261" s="107">
        <v>450</v>
      </c>
      <c r="I261" s="107">
        <f>K22+7+(111.5*2)</f>
        <v>390</v>
      </c>
      <c r="J261" s="107">
        <v>500</v>
      </c>
      <c r="K261" s="124"/>
      <c r="L261" s="107">
        <f t="shared" si="242"/>
        <v>240</v>
      </c>
      <c r="M261" s="107">
        <v>450</v>
      </c>
      <c r="N261" s="107">
        <f t="shared" si="243"/>
        <v>430</v>
      </c>
      <c r="O261" s="107">
        <v>500</v>
      </c>
      <c r="P261" s="124"/>
      <c r="Q261" s="107">
        <f t="shared" si="244"/>
        <v>240</v>
      </c>
      <c r="R261" s="107">
        <v>450</v>
      </c>
      <c r="S261" s="107">
        <f t="shared" si="245"/>
        <v>390</v>
      </c>
      <c r="T261" s="107">
        <v>500</v>
      </c>
      <c r="U261" s="124"/>
      <c r="W261" s="103"/>
      <c r="AA261" s="104"/>
    </row>
    <row r="262" spans="1:27" x14ac:dyDescent="0.25">
      <c r="A262" s="107">
        <f t="shared" si="254"/>
        <v>2500</v>
      </c>
      <c r="B262" s="107">
        <f t="shared" si="247"/>
        <v>240</v>
      </c>
      <c r="C262" s="107">
        <v>450</v>
      </c>
      <c r="D262" s="107">
        <f>E23*D23+(7*D23)+(112*2)+42*(D23-1)</f>
        <v>540</v>
      </c>
      <c r="E262" s="107">
        <v>500</v>
      </c>
      <c r="F262" s="124"/>
      <c r="G262" s="107">
        <f t="shared" si="240"/>
        <v>240</v>
      </c>
      <c r="H262" s="107">
        <v>450</v>
      </c>
      <c r="I262" s="107">
        <f>K23+7+(111.5*2)</f>
        <v>430</v>
      </c>
      <c r="J262" s="107">
        <v>500</v>
      </c>
      <c r="K262" s="124"/>
      <c r="L262" s="107">
        <f t="shared" si="242"/>
        <v>240</v>
      </c>
      <c r="M262" s="107">
        <v>450</v>
      </c>
      <c r="N262" s="107">
        <f t="shared" si="243"/>
        <v>540</v>
      </c>
      <c r="O262" s="107">
        <v>500</v>
      </c>
      <c r="P262" s="124"/>
      <c r="Q262" s="107">
        <f t="shared" si="244"/>
        <v>240</v>
      </c>
      <c r="R262" s="107">
        <v>450</v>
      </c>
      <c r="S262" s="107">
        <f t="shared" si="245"/>
        <v>430</v>
      </c>
      <c r="T262" s="107">
        <v>500</v>
      </c>
      <c r="U262" s="124"/>
      <c r="W262" s="103"/>
      <c r="AA262" s="104"/>
    </row>
    <row r="263" spans="1:27" x14ac:dyDescent="0.25">
      <c r="A263" s="107">
        <f t="shared" si="254"/>
        <v>3200</v>
      </c>
      <c r="B263" s="107">
        <f t="shared" si="247"/>
        <v>240</v>
      </c>
      <c r="C263" s="107">
        <v>450</v>
      </c>
      <c r="D263" s="107">
        <f>E24*D24+(7*D24)+(112*2)+42*(D24-1)</f>
        <v>600</v>
      </c>
      <c r="E263" s="107">
        <v>500</v>
      </c>
      <c r="F263" s="124"/>
      <c r="G263" s="107">
        <f t="shared" si="240"/>
        <v>240</v>
      </c>
      <c r="H263" s="107">
        <v>450</v>
      </c>
      <c r="I263" s="107">
        <f>K24*J24+(7*J24)+(112*2)+42*(J24-1)</f>
        <v>540</v>
      </c>
      <c r="J263" s="107">
        <v>500</v>
      </c>
      <c r="K263" s="124"/>
      <c r="L263" s="107">
        <f t="shared" si="242"/>
        <v>240</v>
      </c>
      <c r="M263" s="107">
        <v>450</v>
      </c>
      <c r="N263" s="107">
        <f t="shared" si="243"/>
        <v>600</v>
      </c>
      <c r="O263" s="107">
        <v>500</v>
      </c>
      <c r="P263" s="124"/>
      <c r="Q263" s="107">
        <f t="shared" si="244"/>
        <v>240</v>
      </c>
      <c r="R263" s="107">
        <v>450</v>
      </c>
      <c r="S263" s="107">
        <f t="shared" si="245"/>
        <v>540</v>
      </c>
      <c r="T263" s="107">
        <v>500</v>
      </c>
      <c r="U263" s="124"/>
      <c r="W263" s="103"/>
      <c r="AA263" s="104"/>
    </row>
    <row r="264" spans="1:27" x14ac:dyDescent="0.25">
      <c r="A264" s="107">
        <f t="shared" si="254"/>
        <v>4000</v>
      </c>
      <c r="B264" s="107">
        <f t="shared" si="247"/>
        <v>240</v>
      </c>
      <c r="C264" s="107">
        <v>450</v>
      </c>
      <c r="D264" s="107">
        <f>E25*D25+(7*D25)+(112*2)+42*(D25-1)</f>
        <v>680</v>
      </c>
      <c r="E264" s="107">
        <v>500</v>
      </c>
      <c r="F264" s="124"/>
      <c r="G264" s="107">
        <f t="shared" si="240"/>
        <v>240</v>
      </c>
      <c r="H264" s="107">
        <v>450</v>
      </c>
      <c r="I264" s="107">
        <f>K25*J25+(7*J25)+(112*2)+42*(J25-1)</f>
        <v>600</v>
      </c>
      <c r="J264" s="107">
        <v>500</v>
      </c>
      <c r="K264" s="124"/>
      <c r="L264" s="107">
        <f t="shared" si="242"/>
        <v>240</v>
      </c>
      <c r="M264" s="107">
        <v>450</v>
      </c>
      <c r="N264" s="107">
        <f t="shared" si="243"/>
        <v>680</v>
      </c>
      <c r="O264" s="107">
        <v>500</v>
      </c>
      <c r="P264" s="124"/>
      <c r="Q264" s="107">
        <f t="shared" si="244"/>
        <v>240</v>
      </c>
      <c r="R264" s="107">
        <v>450</v>
      </c>
      <c r="S264" s="107">
        <f t="shared" si="245"/>
        <v>600</v>
      </c>
      <c r="T264" s="107">
        <v>500</v>
      </c>
      <c r="U264" s="124"/>
      <c r="W264" s="103"/>
      <c r="AA264" s="104"/>
    </row>
    <row r="265" spans="1:27" x14ac:dyDescent="0.25">
      <c r="A265" s="107">
        <f t="shared" si="254"/>
        <v>5000</v>
      </c>
      <c r="B265" s="107">
        <f t="shared" si="247"/>
        <v>240</v>
      </c>
      <c r="C265" s="107">
        <v>450</v>
      </c>
      <c r="D265" s="107">
        <f>E26*D26+(7*D26)+(113*2)+42*(D26-1)</f>
        <v>900</v>
      </c>
      <c r="E265" s="107">
        <v>500</v>
      </c>
      <c r="F265" s="124"/>
      <c r="G265" s="107">
        <f t="shared" si="240"/>
        <v>240</v>
      </c>
      <c r="H265" s="107">
        <v>450</v>
      </c>
      <c r="I265" s="107">
        <f>K26*J26+(7*J26)+(112*2)+42*(J26-1)</f>
        <v>680</v>
      </c>
      <c r="J265" s="107">
        <v>500</v>
      </c>
      <c r="K265" s="124"/>
      <c r="L265" s="107">
        <f t="shared" si="242"/>
        <v>240</v>
      </c>
      <c r="M265" s="107">
        <v>450</v>
      </c>
      <c r="N265" s="107">
        <f t="shared" si="243"/>
        <v>900</v>
      </c>
      <c r="O265" s="107">
        <v>500</v>
      </c>
      <c r="P265" s="124"/>
      <c r="Q265" s="107">
        <f t="shared" si="244"/>
        <v>240</v>
      </c>
      <c r="R265" s="107">
        <v>450</v>
      </c>
      <c r="S265" s="107">
        <f t="shared" si="245"/>
        <v>680</v>
      </c>
      <c r="T265" s="107">
        <v>500</v>
      </c>
      <c r="U265" s="124"/>
      <c r="W265" s="103"/>
      <c r="AA265" s="104"/>
    </row>
    <row r="266" spans="1:27" x14ac:dyDescent="0.25">
      <c r="A266" s="107">
        <f t="shared" si="254"/>
        <v>6300</v>
      </c>
      <c r="B266" s="107">
        <f t="shared" si="247"/>
        <v>240</v>
      </c>
      <c r="C266" s="107">
        <v>450</v>
      </c>
      <c r="D266" s="107">
        <f>E27*D27+(7*D27)+(113*2)+42*(D27-1)</f>
        <v>1020</v>
      </c>
      <c r="E266" s="107">
        <v>500</v>
      </c>
      <c r="F266" s="124"/>
      <c r="G266" s="107">
        <f t="shared" si="240"/>
        <v>240</v>
      </c>
      <c r="H266" s="107">
        <v>450</v>
      </c>
      <c r="I266" s="107">
        <f>K27*J27+(7*J27)+(112*2)+42*(J27-1)</f>
        <v>929</v>
      </c>
      <c r="J266" s="107">
        <v>500</v>
      </c>
      <c r="K266" s="124"/>
      <c r="L266" s="107">
        <f t="shared" si="242"/>
        <v>240</v>
      </c>
      <c r="M266" s="107">
        <v>450</v>
      </c>
      <c r="N266" s="107">
        <f t="shared" si="243"/>
        <v>1020</v>
      </c>
      <c r="O266" s="107">
        <v>500</v>
      </c>
      <c r="P266" s="124"/>
      <c r="Q266" s="107">
        <f t="shared" si="244"/>
        <v>240</v>
      </c>
      <c r="R266" s="107">
        <v>450</v>
      </c>
      <c r="S266" s="107">
        <f t="shared" si="245"/>
        <v>929</v>
      </c>
      <c r="T266" s="107">
        <v>500</v>
      </c>
      <c r="U266" s="124"/>
      <c r="W266" s="103"/>
      <c r="AA266" s="104"/>
    </row>
    <row r="267" spans="1:27" x14ac:dyDescent="0.25">
      <c r="W267" s="103"/>
      <c r="AA267" s="104"/>
    </row>
    <row r="268" spans="1:27" ht="18.75" x14ac:dyDescent="0.25">
      <c r="D268" s="199" t="s">
        <v>42</v>
      </c>
      <c r="E268" s="199"/>
      <c r="F268" s="199"/>
      <c r="G268" s="199"/>
      <c r="H268" s="199"/>
      <c r="I268" s="199"/>
      <c r="J268" s="199"/>
      <c r="W268" s="103"/>
      <c r="AA268" s="104"/>
    </row>
    <row r="269" spans="1:27" ht="18.75" customHeight="1" x14ac:dyDescent="0.25">
      <c r="D269" s="200" t="s">
        <v>2</v>
      </c>
      <c r="E269" s="201"/>
      <c r="F269" s="201"/>
      <c r="G269" s="201"/>
      <c r="H269" s="201"/>
      <c r="I269" s="201"/>
      <c r="J269" s="202"/>
      <c r="W269" s="111"/>
      <c r="X269" s="112"/>
      <c r="Y269" s="112"/>
      <c r="Z269" s="112"/>
      <c r="AA269" s="113"/>
    </row>
    <row r="270" spans="1:27" x14ac:dyDescent="0.25">
      <c r="D270" s="204" t="s">
        <v>3</v>
      </c>
      <c r="E270" s="204"/>
      <c r="F270" s="204"/>
      <c r="G270" s="204" t="s">
        <v>22</v>
      </c>
      <c r="H270" s="204"/>
      <c r="I270" s="204"/>
      <c r="J270" s="204"/>
    </row>
    <row r="271" spans="1:27" x14ac:dyDescent="0.25">
      <c r="D271" s="204" t="s">
        <v>23</v>
      </c>
      <c r="E271" s="204"/>
      <c r="F271" s="204"/>
      <c r="G271" s="204" t="s">
        <v>22</v>
      </c>
      <c r="H271" s="204"/>
      <c r="I271" s="204"/>
      <c r="J271" s="204"/>
    </row>
    <row r="272" spans="1:27" x14ac:dyDescent="0.25">
      <c r="D272" s="204" t="s">
        <v>31</v>
      </c>
      <c r="E272" s="204"/>
      <c r="F272" s="204"/>
      <c r="G272" s="204" t="s">
        <v>22</v>
      </c>
      <c r="H272" s="204"/>
      <c r="I272" s="204"/>
      <c r="J272" s="204"/>
    </row>
    <row r="274" spans="1:37" x14ac:dyDescent="0.25">
      <c r="A274" s="205" t="s">
        <v>5</v>
      </c>
      <c r="B274" s="203" t="s">
        <v>6</v>
      </c>
      <c r="C274" s="203"/>
      <c r="D274" s="203"/>
      <c r="E274" s="203"/>
      <c r="F274" s="203"/>
      <c r="G274" s="203"/>
      <c r="H274" s="203"/>
      <c r="I274" s="203"/>
      <c r="J274" s="203"/>
      <c r="K274" s="203"/>
      <c r="L274" s="203"/>
      <c r="M274" s="203"/>
      <c r="N274" s="203" t="s">
        <v>7</v>
      </c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AA274" s="100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2"/>
    </row>
    <row r="275" spans="1:37" x14ac:dyDescent="0.25">
      <c r="A275" s="203"/>
      <c r="B275" s="205" t="s">
        <v>8</v>
      </c>
      <c r="C275" s="206"/>
      <c r="D275" s="206"/>
      <c r="E275" s="206"/>
      <c r="F275" s="206"/>
      <c r="G275" s="206"/>
      <c r="H275" s="206" t="s">
        <v>9</v>
      </c>
      <c r="I275" s="206"/>
      <c r="J275" s="206"/>
      <c r="K275" s="206"/>
      <c r="L275" s="206"/>
      <c r="M275" s="207"/>
      <c r="N275" s="205" t="s">
        <v>8</v>
      </c>
      <c r="O275" s="206"/>
      <c r="P275" s="206"/>
      <c r="Q275" s="206"/>
      <c r="R275" s="206"/>
      <c r="S275" s="206"/>
      <c r="T275" s="206" t="s">
        <v>9</v>
      </c>
      <c r="U275" s="206"/>
      <c r="V275" s="206"/>
      <c r="W275" s="206"/>
      <c r="X275" s="206"/>
      <c r="Y275" s="207"/>
      <c r="AA275" s="103"/>
      <c r="AK275" s="104"/>
    </row>
    <row r="276" spans="1:37" x14ac:dyDescent="0.25">
      <c r="A276" s="203"/>
      <c r="B276" s="143" t="s">
        <v>24</v>
      </c>
      <c r="C276" s="143" t="s">
        <v>27</v>
      </c>
      <c r="D276" s="135" t="s">
        <v>36</v>
      </c>
      <c r="E276" s="143" t="s">
        <v>40</v>
      </c>
      <c r="F276" s="143" t="s">
        <v>41</v>
      </c>
      <c r="G276" s="143" t="s">
        <v>26</v>
      </c>
      <c r="H276" s="143" t="s">
        <v>24</v>
      </c>
      <c r="I276" s="143" t="s">
        <v>27</v>
      </c>
      <c r="J276" s="143" t="s">
        <v>36</v>
      </c>
      <c r="K276" s="143" t="s">
        <v>40</v>
      </c>
      <c r="L276" s="143" t="s">
        <v>41</v>
      </c>
      <c r="M276" s="143" t="s">
        <v>26</v>
      </c>
      <c r="N276" s="143" t="s">
        <v>24</v>
      </c>
      <c r="O276" s="143" t="s">
        <v>27</v>
      </c>
      <c r="P276" s="143" t="s">
        <v>36</v>
      </c>
      <c r="Q276" s="143" t="s">
        <v>40</v>
      </c>
      <c r="R276" s="143" t="s">
        <v>41</v>
      </c>
      <c r="S276" s="143" t="s">
        <v>26</v>
      </c>
      <c r="T276" s="143" t="s">
        <v>24</v>
      </c>
      <c r="U276" s="143" t="s">
        <v>27</v>
      </c>
      <c r="V276" s="143" t="s">
        <v>36</v>
      </c>
      <c r="W276" s="143" t="s">
        <v>40</v>
      </c>
      <c r="X276" s="143" t="s">
        <v>41</v>
      </c>
      <c r="Y276" s="143" t="s">
        <v>26</v>
      </c>
      <c r="AA276" s="103"/>
      <c r="AK276" s="104"/>
    </row>
    <row r="277" spans="1:37" x14ac:dyDescent="0.25">
      <c r="A277" s="107">
        <v>160</v>
      </c>
      <c r="B277" s="108">
        <f>120+B12+1</f>
        <v>190</v>
      </c>
      <c r="C277" s="108">
        <f t="shared" ref="C277:C318" si="255">210+B277</f>
        <v>400</v>
      </c>
      <c r="D277" s="150">
        <f>B96</f>
        <v>300</v>
      </c>
      <c r="E277" s="107">
        <f>D251</f>
        <v>250</v>
      </c>
      <c r="F277" s="107">
        <v>500</v>
      </c>
      <c r="G277" s="105"/>
      <c r="H277" s="108">
        <f>120+H12+1</f>
        <v>190</v>
      </c>
      <c r="I277" s="150">
        <f t="shared" ref="I277:I318" si="256">210+H277</f>
        <v>400</v>
      </c>
      <c r="J277" s="107">
        <f>E96</f>
        <v>300</v>
      </c>
      <c r="K277" s="107">
        <f>I251</f>
        <v>250</v>
      </c>
      <c r="L277" s="107">
        <v>500</v>
      </c>
      <c r="M277" s="151"/>
      <c r="N277" s="108">
        <f t="shared" ref="N277:N292" si="257">B277</f>
        <v>190</v>
      </c>
      <c r="O277" s="150">
        <f t="shared" ref="O277:O292" si="258">C277</f>
        <v>400</v>
      </c>
      <c r="P277" s="150">
        <f t="shared" ref="P277:P292" si="259">D277</f>
        <v>300</v>
      </c>
      <c r="Q277" s="107">
        <f>N251</f>
        <v>250</v>
      </c>
      <c r="R277" s="107">
        <v>500</v>
      </c>
      <c r="S277" s="122"/>
      <c r="T277" s="108">
        <f t="shared" ref="T277:T292" si="260">H277</f>
        <v>190</v>
      </c>
      <c r="U277" s="108">
        <f t="shared" ref="U277:V318" si="261">I277</f>
        <v>400</v>
      </c>
      <c r="V277" s="108">
        <f t="shared" si="261"/>
        <v>300</v>
      </c>
      <c r="W277" s="107">
        <f>S251</f>
        <v>250</v>
      </c>
      <c r="X277" s="107">
        <v>500</v>
      </c>
      <c r="Y277" s="105"/>
      <c r="AA277" s="103"/>
      <c r="AK277" s="104"/>
    </row>
    <row r="278" spans="1:37" x14ac:dyDescent="0.25">
      <c r="A278" s="107">
        <f t="shared" ref="A278:A282" si="262">A13</f>
        <v>250</v>
      </c>
      <c r="B278" s="108">
        <f>120+B13+1</f>
        <v>190</v>
      </c>
      <c r="C278" s="108">
        <f t="shared" si="255"/>
        <v>400</v>
      </c>
      <c r="D278" s="150">
        <f>B97</f>
        <v>300</v>
      </c>
      <c r="E278" s="107">
        <f>D252</f>
        <v>250</v>
      </c>
      <c r="F278" s="107">
        <v>500</v>
      </c>
      <c r="G278" s="105"/>
      <c r="H278" s="108">
        <f>120+H13+1</f>
        <v>190</v>
      </c>
      <c r="I278" s="150">
        <f t="shared" si="256"/>
        <v>400</v>
      </c>
      <c r="J278" s="107">
        <f>E97</f>
        <v>300</v>
      </c>
      <c r="K278" s="107">
        <f>I252</f>
        <v>250</v>
      </c>
      <c r="L278" s="107">
        <v>500</v>
      </c>
      <c r="M278" s="151"/>
      <c r="N278" s="108">
        <f t="shared" si="257"/>
        <v>190</v>
      </c>
      <c r="O278" s="150">
        <f t="shared" si="258"/>
        <v>400</v>
      </c>
      <c r="P278" s="150">
        <f t="shared" si="259"/>
        <v>300</v>
      </c>
      <c r="Q278" s="107">
        <f>N252</f>
        <v>250</v>
      </c>
      <c r="R278" s="107">
        <v>500</v>
      </c>
      <c r="S278" s="122"/>
      <c r="T278" s="108">
        <f t="shared" si="260"/>
        <v>190</v>
      </c>
      <c r="U278" s="108">
        <f t="shared" si="261"/>
        <v>400</v>
      </c>
      <c r="V278" s="108">
        <f t="shared" ref="V278:V318" si="263">J278</f>
        <v>300</v>
      </c>
      <c r="W278" s="107">
        <f>S252</f>
        <v>250</v>
      </c>
      <c r="X278" s="107">
        <v>500</v>
      </c>
      <c r="Y278" s="105"/>
      <c r="AA278" s="103"/>
      <c r="AK278" s="104"/>
    </row>
    <row r="279" spans="1:37" x14ac:dyDescent="0.25">
      <c r="A279" s="107">
        <f t="shared" si="262"/>
        <v>315</v>
      </c>
      <c r="B279" s="108">
        <f>120+B14+1</f>
        <v>190</v>
      </c>
      <c r="C279" s="108">
        <f t="shared" ref="C279" si="264">210+B279</f>
        <v>400</v>
      </c>
      <c r="D279" s="150">
        <f>B98</f>
        <v>300</v>
      </c>
      <c r="E279" s="107">
        <f>D253</f>
        <v>250</v>
      </c>
      <c r="F279" s="107">
        <v>500</v>
      </c>
      <c r="G279" s="105"/>
      <c r="H279" s="108">
        <f>120+H14+1</f>
        <v>190</v>
      </c>
      <c r="I279" s="150">
        <f t="shared" ref="I279" si="265">210+H279</f>
        <v>400</v>
      </c>
      <c r="J279" s="107">
        <f>E98</f>
        <v>300</v>
      </c>
      <c r="K279" s="107">
        <f>I253</f>
        <v>250</v>
      </c>
      <c r="L279" s="107">
        <v>500</v>
      </c>
      <c r="M279" s="151"/>
      <c r="N279" s="108">
        <f t="shared" ref="N279" si="266">B279</f>
        <v>190</v>
      </c>
      <c r="O279" s="150">
        <f t="shared" ref="O279" si="267">C279</f>
        <v>400</v>
      </c>
      <c r="P279" s="150">
        <f t="shared" ref="P279" si="268">D279</f>
        <v>300</v>
      </c>
      <c r="Q279" s="107">
        <f>N253</f>
        <v>250</v>
      </c>
      <c r="R279" s="107">
        <v>500</v>
      </c>
      <c r="S279" s="122"/>
      <c r="T279" s="108">
        <f t="shared" ref="T279" si="269">H279</f>
        <v>190</v>
      </c>
      <c r="U279" s="108">
        <f t="shared" ref="U279" si="270">I279</f>
        <v>400</v>
      </c>
      <c r="V279" s="108">
        <f t="shared" si="263"/>
        <v>300</v>
      </c>
      <c r="W279" s="107">
        <f>S253</f>
        <v>250</v>
      </c>
      <c r="X279" s="107">
        <v>500</v>
      </c>
      <c r="Y279" s="105"/>
      <c r="AA279" s="103"/>
      <c r="AK279" s="104"/>
    </row>
    <row r="280" spans="1:37" x14ac:dyDescent="0.25">
      <c r="A280" s="107">
        <f t="shared" si="262"/>
        <v>400</v>
      </c>
      <c r="B280" s="108">
        <f>120+B15+1</f>
        <v>190</v>
      </c>
      <c r="C280" s="108">
        <f t="shared" si="255"/>
        <v>400</v>
      </c>
      <c r="D280" s="150">
        <f>B99</f>
        <v>300</v>
      </c>
      <c r="E280" s="107">
        <f>D254</f>
        <v>250</v>
      </c>
      <c r="F280" s="107">
        <v>500</v>
      </c>
      <c r="G280" s="105"/>
      <c r="H280" s="108">
        <f>120+H15+1</f>
        <v>190</v>
      </c>
      <c r="I280" s="150">
        <f t="shared" si="256"/>
        <v>400</v>
      </c>
      <c r="J280" s="107">
        <f>E99</f>
        <v>300</v>
      </c>
      <c r="K280" s="107">
        <f>I254</f>
        <v>250</v>
      </c>
      <c r="L280" s="107">
        <v>500</v>
      </c>
      <c r="M280" s="151"/>
      <c r="N280" s="108">
        <f t="shared" si="257"/>
        <v>190</v>
      </c>
      <c r="O280" s="150">
        <f t="shared" si="258"/>
        <v>400</v>
      </c>
      <c r="P280" s="150">
        <f t="shared" si="259"/>
        <v>300</v>
      </c>
      <c r="Q280" s="107">
        <f>N254</f>
        <v>250</v>
      </c>
      <c r="R280" s="107">
        <v>500</v>
      </c>
      <c r="S280" s="122"/>
      <c r="T280" s="108">
        <f t="shared" si="260"/>
        <v>190</v>
      </c>
      <c r="U280" s="108">
        <f t="shared" si="261"/>
        <v>400</v>
      </c>
      <c r="V280" s="108">
        <f t="shared" si="263"/>
        <v>300</v>
      </c>
      <c r="W280" s="107">
        <f>S254</f>
        <v>250</v>
      </c>
      <c r="X280" s="107">
        <v>500</v>
      </c>
      <c r="Y280" s="105"/>
      <c r="AA280" s="103"/>
      <c r="AK280" s="104"/>
    </row>
    <row r="281" spans="1:37" x14ac:dyDescent="0.25">
      <c r="A281" s="107">
        <f t="shared" si="262"/>
        <v>500</v>
      </c>
      <c r="B281" s="108">
        <f>120+B16+1</f>
        <v>200</v>
      </c>
      <c r="C281" s="108">
        <f t="shared" si="255"/>
        <v>410</v>
      </c>
      <c r="D281" s="150">
        <f>B100</f>
        <v>300</v>
      </c>
      <c r="E281" s="156">
        <f>D255</f>
        <v>260</v>
      </c>
      <c r="F281" s="156">
        <v>500</v>
      </c>
      <c r="G281" s="105"/>
      <c r="H281" s="108">
        <f>120+H16+1</f>
        <v>190</v>
      </c>
      <c r="I281" s="150">
        <f t="shared" si="256"/>
        <v>400</v>
      </c>
      <c r="J281" s="156">
        <f>E100</f>
        <v>300</v>
      </c>
      <c r="K281" s="156">
        <f>I255</f>
        <v>250</v>
      </c>
      <c r="L281" s="156">
        <v>500</v>
      </c>
      <c r="M281" s="151"/>
      <c r="N281" s="108">
        <f t="shared" si="257"/>
        <v>200</v>
      </c>
      <c r="O281" s="150">
        <f t="shared" si="258"/>
        <v>410</v>
      </c>
      <c r="P281" s="150">
        <f t="shared" si="259"/>
        <v>300</v>
      </c>
      <c r="Q281" s="156">
        <f>N255</f>
        <v>260</v>
      </c>
      <c r="R281" s="156">
        <v>500</v>
      </c>
      <c r="S281" s="122"/>
      <c r="T281" s="108">
        <f t="shared" si="260"/>
        <v>190</v>
      </c>
      <c r="U281" s="108">
        <f t="shared" si="261"/>
        <v>400</v>
      </c>
      <c r="V281" s="108">
        <f t="shared" ref="V281" si="271">J281</f>
        <v>300</v>
      </c>
      <c r="W281" s="156">
        <f>S255</f>
        <v>250</v>
      </c>
      <c r="X281" s="156">
        <v>500</v>
      </c>
      <c r="Y281" s="105"/>
      <c r="AA281" s="103"/>
      <c r="AK281" s="104"/>
    </row>
    <row r="282" spans="1:37" x14ac:dyDescent="0.25">
      <c r="A282" s="107">
        <f t="shared" si="262"/>
        <v>630</v>
      </c>
      <c r="B282" s="108">
        <f t="shared" ref="B282:B287" si="272">120+B17+1</f>
        <v>210</v>
      </c>
      <c r="C282" s="108">
        <f t="shared" si="255"/>
        <v>420</v>
      </c>
      <c r="D282" s="150">
        <f t="shared" ref="D282:D292" si="273">B101</f>
        <v>300</v>
      </c>
      <c r="E282" s="107">
        <f t="shared" ref="E282:E292" si="274">D256</f>
        <v>270</v>
      </c>
      <c r="F282" s="107">
        <v>500</v>
      </c>
      <c r="G282" s="105"/>
      <c r="H282" s="108">
        <f t="shared" ref="H282:H288" si="275">120+H17+1</f>
        <v>200</v>
      </c>
      <c r="I282" s="150">
        <f t="shared" si="256"/>
        <v>410</v>
      </c>
      <c r="J282" s="107">
        <f t="shared" ref="J282:J292" si="276">E101</f>
        <v>300</v>
      </c>
      <c r="K282" s="107">
        <f t="shared" ref="K282:K292" si="277">I256</f>
        <v>260</v>
      </c>
      <c r="L282" s="107">
        <v>500</v>
      </c>
      <c r="M282" s="151"/>
      <c r="N282" s="108">
        <f t="shared" si="257"/>
        <v>210</v>
      </c>
      <c r="O282" s="150">
        <f t="shared" si="258"/>
        <v>420</v>
      </c>
      <c r="P282" s="150">
        <f t="shared" si="259"/>
        <v>300</v>
      </c>
      <c r="Q282" s="107">
        <f t="shared" ref="Q282:Q292" si="278">N256</f>
        <v>270</v>
      </c>
      <c r="R282" s="107">
        <v>500</v>
      </c>
      <c r="S282" s="122"/>
      <c r="T282" s="108">
        <f t="shared" si="260"/>
        <v>200</v>
      </c>
      <c r="U282" s="108">
        <f t="shared" si="261"/>
        <v>410</v>
      </c>
      <c r="V282" s="108">
        <f t="shared" si="263"/>
        <v>300</v>
      </c>
      <c r="W282" s="107">
        <f t="shared" ref="W282:W292" si="279">S256</f>
        <v>260</v>
      </c>
      <c r="X282" s="107">
        <v>500</v>
      </c>
      <c r="Y282" s="105"/>
      <c r="AA282" s="103"/>
      <c r="AK282" s="104"/>
    </row>
    <row r="283" spans="1:37" x14ac:dyDescent="0.25">
      <c r="A283" s="107">
        <f t="shared" ref="A283:A292" si="280">A18</f>
        <v>800</v>
      </c>
      <c r="B283" s="108">
        <f t="shared" si="272"/>
        <v>225</v>
      </c>
      <c r="C283" s="108">
        <f t="shared" si="255"/>
        <v>435</v>
      </c>
      <c r="D283" s="150">
        <f t="shared" si="273"/>
        <v>300</v>
      </c>
      <c r="E283" s="107">
        <f t="shared" si="274"/>
        <v>285</v>
      </c>
      <c r="F283" s="107">
        <v>500</v>
      </c>
      <c r="G283" s="105"/>
      <c r="H283" s="108">
        <f t="shared" si="275"/>
        <v>220</v>
      </c>
      <c r="I283" s="150">
        <f t="shared" si="256"/>
        <v>430</v>
      </c>
      <c r="J283" s="107">
        <f t="shared" si="276"/>
        <v>300</v>
      </c>
      <c r="K283" s="107">
        <f t="shared" si="277"/>
        <v>280</v>
      </c>
      <c r="L283" s="107">
        <v>500</v>
      </c>
      <c r="M283" s="151"/>
      <c r="N283" s="108">
        <f t="shared" si="257"/>
        <v>225</v>
      </c>
      <c r="O283" s="150">
        <f t="shared" si="258"/>
        <v>435</v>
      </c>
      <c r="P283" s="150">
        <f t="shared" si="259"/>
        <v>300</v>
      </c>
      <c r="Q283" s="107">
        <f t="shared" si="278"/>
        <v>285</v>
      </c>
      <c r="R283" s="107">
        <v>500</v>
      </c>
      <c r="S283" s="122"/>
      <c r="T283" s="108">
        <f t="shared" si="260"/>
        <v>220</v>
      </c>
      <c r="U283" s="108">
        <f t="shared" si="261"/>
        <v>430</v>
      </c>
      <c r="V283" s="108">
        <f t="shared" si="263"/>
        <v>300</v>
      </c>
      <c r="W283" s="107">
        <f t="shared" si="279"/>
        <v>280</v>
      </c>
      <c r="X283" s="107">
        <v>500</v>
      </c>
      <c r="Y283" s="123"/>
      <c r="AA283" s="103"/>
      <c r="AK283" s="104"/>
    </row>
    <row r="284" spans="1:37" x14ac:dyDescent="0.25">
      <c r="A284" s="107">
        <f t="shared" si="280"/>
        <v>1000</v>
      </c>
      <c r="B284" s="108">
        <f t="shared" si="272"/>
        <v>260</v>
      </c>
      <c r="C284" s="108">
        <f t="shared" si="255"/>
        <v>470</v>
      </c>
      <c r="D284" s="150">
        <f t="shared" si="273"/>
        <v>450</v>
      </c>
      <c r="E284" s="107">
        <f t="shared" si="274"/>
        <v>325</v>
      </c>
      <c r="F284" s="107">
        <v>500</v>
      </c>
      <c r="G284" s="105"/>
      <c r="H284" s="108">
        <f t="shared" si="275"/>
        <v>225</v>
      </c>
      <c r="I284" s="150">
        <f t="shared" si="256"/>
        <v>435</v>
      </c>
      <c r="J284" s="107">
        <f t="shared" si="276"/>
        <v>300</v>
      </c>
      <c r="K284" s="107">
        <f t="shared" si="277"/>
        <v>285</v>
      </c>
      <c r="L284" s="107">
        <v>500</v>
      </c>
      <c r="M284" s="151"/>
      <c r="N284" s="108">
        <f t="shared" si="257"/>
        <v>260</v>
      </c>
      <c r="O284" s="150">
        <f t="shared" si="258"/>
        <v>470</v>
      </c>
      <c r="P284" s="150">
        <f t="shared" si="259"/>
        <v>450</v>
      </c>
      <c r="Q284" s="107">
        <f t="shared" si="278"/>
        <v>325</v>
      </c>
      <c r="R284" s="107">
        <v>500</v>
      </c>
      <c r="S284" s="122"/>
      <c r="T284" s="108">
        <f t="shared" si="260"/>
        <v>225</v>
      </c>
      <c r="U284" s="108">
        <f t="shared" si="261"/>
        <v>435</v>
      </c>
      <c r="V284" s="108">
        <f t="shared" si="263"/>
        <v>300</v>
      </c>
      <c r="W284" s="107">
        <f t="shared" si="279"/>
        <v>285</v>
      </c>
      <c r="X284" s="107">
        <v>500</v>
      </c>
      <c r="Y284" s="123"/>
      <c r="AA284" s="103"/>
      <c r="AK284" s="104"/>
    </row>
    <row r="285" spans="1:37" x14ac:dyDescent="0.25">
      <c r="A285" s="107">
        <f t="shared" si="280"/>
        <v>1250</v>
      </c>
      <c r="B285" s="108">
        <f t="shared" si="272"/>
        <v>290</v>
      </c>
      <c r="C285" s="108">
        <f t="shared" si="255"/>
        <v>500</v>
      </c>
      <c r="D285" s="150">
        <f t="shared" si="273"/>
        <v>450</v>
      </c>
      <c r="E285" s="107">
        <f t="shared" si="274"/>
        <v>360</v>
      </c>
      <c r="F285" s="107">
        <v>500</v>
      </c>
      <c r="G285" s="105"/>
      <c r="H285" s="108">
        <f t="shared" si="275"/>
        <v>240</v>
      </c>
      <c r="I285" s="150">
        <f t="shared" si="256"/>
        <v>450</v>
      </c>
      <c r="J285" s="107">
        <f t="shared" si="276"/>
        <v>450</v>
      </c>
      <c r="K285" s="107">
        <f t="shared" si="277"/>
        <v>300</v>
      </c>
      <c r="L285" s="107">
        <v>500</v>
      </c>
      <c r="M285" s="151"/>
      <c r="N285" s="108">
        <f t="shared" si="257"/>
        <v>290</v>
      </c>
      <c r="O285" s="150">
        <f t="shared" si="258"/>
        <v>500</v>
      </c>
      <c r="P285" s="150">
        <f t="shared" si="259"/>
        <v>450</v>
      </c>
      <c r="Q285" s="107">
        <f t="shared" si="278"/>
        <v>360</v>
      </c>
      <c r="R285" s="107">
        <v>500</v>
      </c>
      <c r="S285" s="122"/>
      <c r="T285" s="108">
        <f t="shared" si="260"/>
        <v>240</v>
      </c>
      <c r="U285" s="108">
        <f t="shared" si="261"/>
        <v>450</v>
      </c>
      <c r="V285" s="108">
        <f t="shared" si="263"/>
        <v>450</v>
      </c>
      <c r="W285" s="107">
        <f t="shared" si="279"/>
        <v>300</v>
      </c>
      <c r="X285" s="107">
        <v>500</v>
      </c>
      <c r="Y285" s="123"/>
      <c r="AA285" s="103"/>
      <c r="AK285" s="104"/>
    </row>
    <row r="286" spans="1:37" x14ac:dyDescent="0.25">
      <c r="A286" s="107">
        <f t="shared" si="280"/>
        <v>1600</v>
      </c>
      <c r="B286" s="108">
        <f t="shared" si="272"/>
        <v>320</v>
      </c>
      <c r="C286" s="108">
        <f t="shared" si="255"/>
        <v>530</v>
      </c>
      <c r="D286" s="150">
        <f t="shared" si="273"/>
        <v>450</v>
      </c>
      <c r="E286" s="107">
        <f t="shared" si="274"/>
        <v>390</v>
      </c>
      <c r="F286" s="107">
        <v>500</v>
      </c>
      <c r="G286" s="105"/>
      <c r="H286" s="108">
        <f t="shared" si="275"/>
        <v>260</v>
      </c>
      <c r="I286" s="150">
        <f t="shared" si="256"/>
        <v>470</v>
      </c>
      <c r="J286" s="107">
        <f t="shared" si="276"/>
        <v>450</v>
      </c>
      <c r="K286" s="107">
        <f t="shared" si="277"/>
        <v>325</v>
      </c>
      <c r="L286" s="107">
        <v>500</v>
      </c>
      <c r="M286" s="151"/>
      <c r="N286" s="108">
        <f t="shared" si="257"/>
        <v>320</v>
      </c>
      <c r="O286" s="150">
        <f t="shared" si="258"/>
        <v>530</v>
      </c>
      <c r="P286" s="150">
        <f t="shared" si="259"/>
        <v>450</v>
      </c>
      <c r="Q286" s="107">
        <f t="shared" si="278"/>
        <v>390</v>
      </c>
      <c r="R286" s="107">
        <v>500</v>
      </c>
      <c r="S286" s="122"/>
      <c r="T286" s="108">
        <f t="shared" si="260"/>
        <v>260</v>
      </c>
      <c r="U286" s="108">
        <f t="shared" si="261"/>
        <v>470</v>
      </c>
      <c r="V286" s="108">
        <f t="shared" si="263"/>
        <v>450</v>
      </c>
      <c r="W286" s="107">
        <f t="shared" si="279"/>
        <v>325</v>
      </c>
      <c r="X286" s="107">
        <v>500</v>
      </c>
      <c r="Y286" s="123"/>
      <c r="AA286" s="103"/>
      <c r="AK286" s="104"/>
    </row>
    <row r="287" spans="1:37" x14ac:dyDescent="0.25">
      <c r="A287" s="107">
        <f t="shared" si="280"/>
        <v>2000</v>
      </c>
      <c r="B287" s="108">
        <f t="shared" si="272"/>
        <v>360</v>
      </c>
      <c r="C287" s="108">
        <f t="shared" si="255"/>
        <v>570</v>
      </c>
      <c r="D287" s="150">
        <f t="shared" si="273"/>
        <v>450</v>
      </c>
      <c r="E287" s="107">
        <f t="shared" si="274"/>
        <v>430</v>
      </c>
      <c r="F287" s="107">
        <v>500</v>
      </c>
      <c r="G287" s="105"/>
      <c r="H287" s="108">
        <f t="shared" si="275"/>
        <v>320</v>
      </c>
      <c r="I287" s="150">
        <f t="shared" si="256"/>
        <v>530</v>
      </c>
      <c r="J287" s="107">
        <f t="shared" si="276"/>
        <v>450</v>
      </c>
      <c r="K287" s="107">
        <f t="shared" si="277"/>
        <v>390</v>
      </c>
      <c r="L287" s="107">
        <v>500</v>
      </c>
      <c r="M287" s="151"/>
      <c r="N287" s="108">
        <f t="shared" si="257"/>
        <v>360</v>
      </c>
      <c r="O287" s="150">
        <f t="shared" si="258"/>
        <v>570</v>
      </c>
      <c r="P287" s="150">
        <f t="shared" si="259"/>
        <v>450</v>
      </c>
      <c r="Q287" s="107">
        <f t="shared" si="278"/>
        <v>430</v>
      </c>
      <c r="R287" s="107">
        <v>500</v>
      </c>
      <c r="S287" s="122"/>
      <c r="T287" s="108">
        <f t="shared" si="260"/>
        <v>320</v>
      </c>
      <c r="U287" s="108">
        <f t="shared" si="261"/>
        <v>530</v>
      </c>
      <c r="V287" s="108">
        <f t="shared" si="263"/>
        <v>450</v>
      </c>
      <c r="W287" s="107">
        <f t="shared" si="279"/>
        <v>390</v>
      </c>
      <c r="X287" s="107">
        <v>500</v>
      </c>
      <c r="Y287" s="123"/>
      <c r="AA287" s="103"/>
      <c r="AK287" s="104"/>
    </row>
    <row r="288" spans="1:37" x14ac:dyDescent="0.25">
      <c r="A288" s="107">
        <f t="shared" si="280"/>
        <v>2500</v>
      </c>
      <c r="B288" s="108">
        <f>120+B23+2</f>
        <v>470</v>
      </c>
      <c r="C288" s="108">
        <f t="shared" si="255"/>
        <v>680</v>
      </c>
      <c r="D288" s="150">
        <f t="shared" si="273"/>
        <v>600</v>
      </c>
      <c r="E288" s="107">
        <f t="shared" si="274"/>
        <v>540</v>
      </c>
      <c r="F288" s="107">
        <v>500</v>
      </c>
      <c r="G288" s="105"/>
      <c r="H288" s="108">
        <f t="shared" si="275"/>
        <v>360</v>
      </c>
      <c r="I288" s="150">
        <f t="shared" si="256"/>
        <v>570</v>
      </c>
      <c r="J288" s="107">
        <f t="shared" si="276"/>
        <v>450</v>
      </c>
      <c r="K288" s="107">
        <f t="shared" si="277"/>
        <v>430</v>
      </c>
      <c r="L288" s="107">
        <v>500</v>
      </c>
      <c r="M288" s="151"/>
      <c r="N288" s="108">
        <f t="shared" si="257"/>
        <v>470</v>
      </c>
      <c r="O288" s="150">
        <f t="shared" si="258"/>
        <v>680</v>
      </c>
      <c r="P288" s="150">
        <f t="shared" si="259"/>
        <v>600</v>
      </c>
      <c r="Q288" s="107">
        <f t="shared" si="278"/>
        <v>540</v>
      </c>
      <c r="R288" s="107">
        <v>500</v>
      </c>
      <c r="S288" s="122"/>
      <c r="T288" s="108">
        <f t="shared" si="260"/>
        <v>360</v>
      </c>
      <c r="U288" s="108">
        <f t="shared" si="261"/>
        <v>570</v>
      </c>
      <c r="V288" s="108">
        <f t="shared" si="263"/>
        <v>450</v>
      </c>
      <c r="W288" s="107">
        <f t="shared" si="279"/>
        <v>430</v>
      </c>
      <c r="X288" s="107">
        <v>500</v>
      </c>
      <c r="Y288" s="123"/>
      <c r="AA288" s="103"/>
      <c r="AK288" s="104"/>
    </row>
    <row r="289" spans="1:37" x14ac:dyDescent="0.25">
      <c r="A289" s="107">
        <f t="shared" si="280"/>
        <v>3200</v>
      </c>
      <c r="B289" s="108">
        <f>120+B24+2</f>
        <v>530</v>
      </c>
      <c r="C289" s="108">
        <f t="shared" si="255"/>
        <v>740</v>
      </c>
      <c r="D289" s="150">
        <f t="shared" si="273"/>
        <v>650</v>
      </c>
      <c r="E289" s="107">
        <f t="shared" si="274"/>
        <v>600</v>
      </c>
      <c r="F289" s="107">
        <v>500</v>
      </c>
      <c r="G289" s="105"/>
      <c r="H289" s="108">
        <f>120+H24+2</f>
        <v>470</v>
      </c>
      <c r="I289" s="150">
        <f t="shared" si="256"/>
        <v>680</v>
      </c>
      <c r="J289" s="107">
        <f t="shared" si="276"/>
        <v>600</v>
      </c>
      <c r="K289" s="107">
        <f t="shared" si="277"/>
        <v>540</v>
      </c>
      <c r="L289" s="107">
        <v>500</v>
      </c>
      <c r="M289" s="151"/>
      <c r="N289" s="108">
        <f t="shared" si="257"/>
        <v>530</v>
      </c>
      <c r="O289" s="150">
        <f t="shared" si="258"/>
        <v>740</v>
      </c>
      <c r="P289" s="150">
        <f t="shared" si="259"/>
        <v>650</v>
      </c>
      <c r="Q289" s="107">
        <f t="shared" si="278"/>
        <v>600</v>
      </c>
      <c r="R289" s="107">
        <v>500</v>
      </c>
      <c r="S289" s="122"/>
      <c r="T289" s="108">
        <f t="shared" si="260"/>
        <v>470</v>
      </c>
      <c r="U289" s="108">
        <f t="shared" si="261"/>
        <v>680</v>
      </c>
      <c r="V289" s="108">
        <f t="shared" si="263"/>
        <v>600</v>
      </c>
      <c r="W289" s="107">
        <f t="shared" si="279"/>
        <v>540</v>
      </c>
      <c r="X289" s="107">
        <v>500</v>
      </c>
      <c r="Y289" s="123"/>
      <c r="AA289" s="103"/>
      <c r="AK289" s="104"/>
    </row>
    <row r="290" spans="1:37" x14ac:dyDescent="0.25">
      <c r="A290" s="107">
        <f t="shared" si="280"/>
        <v>4000</v>
      </c>
      <c r="B290" s="108">
        <f>120+B25+2</f>
        <v>610</v>
      </c>
      <c r="C290" s="108">
        <f t="shared" si="255"/>
        <v>820</v>
      </c>
      <c r="D290" s="150">
        <f t="shared" si="273"/>
        <v>750</v>
      </c>
      <c r="E290" s="107">
        <f t="shared" si="274"/>
        <v>680</v>
      </c>
      <c r="F290" s="107">
        <v>500</v>
      </c>
      <c r="G290" s="105"/>
      <c r="H290" s="108">
        <f>120+H25+2</f>
        <v>530</v>
      </c>
      <c r="I290" s="150">
        <f t="shared" si="256"/>
        <v>740</v>
      </c>
      <c r="J290" s="107">
        <f t="shared" si="276"/>
        <v>650</v>
      </c>
      <c r="K290" s="107">
        <f t="shared" si="277"/>
        <v>600</v>
      </c>
      <c r="L290" s="107">
        <v>500</v>
      </c>
      <c r="M290" s="151"/>
      <c r="N290" s="108">
        <f t="shared" si="257"/>
        <v>610</v>
      </c>
      <c r="O290" s="150">
        <f t="shared" si="258"/>
        <v>820</v>
      </c>
      <c r="P290" s="150">
        <f t="shared" si="259"/>
        <v>750</v>
      </c>
      <c r="Q290" s="107">
        <f t="shared" si="278"/>
        <v>680</v>
      </c>
      <c r="R290" s="107">
        <v>500</v>
      </c>
      <c r="S290" s="122"/>
      <c r="T290" s="108">
        <f t="shared" si="260"/>
        <v>530</v>
      </c>
      <c r="U290" s="108">
        <f t="shared" si="261"/>
        <v>740</v>
      </c>
      <c r="V290" s="108">
        <f t="shared" si="263"/>
        <v>650</v>
      </c>
      <c r="W290" s="107">
        <f t="shared" si="279"/>
        <v>600</v>
      </c>
      <c r="X290" s="107">
        <v>500</v>
      </c>
      <c r="Y290" s="123"/>
      <c r="AA290" s="103"/>
      <c r="AK290" s="104"/>
    </row>
    <row r="291" spans="1:37" x14ac:dyDescent="0.25">
      <c r="A291" s="107">
        <f t="shared" si="280"/>
        <v>5000</v>
      </c>
      <c r="B291" s="108">
        <f>120+B26-1</f>
        <v>825</v>
      </c>
      <c r="C291" s="108">
        <f t="shared" si="255"/>
        <v>1035</v>
      </c>
      <c r="D291" s="150">
        <f t="shared" si="273"/>
        <v>950</v>
      </c>
      <c r="E291" s="107">
        <f t="shared" si="274"/>
        <v>900</v>
      </c>
      <c r="F291" s="107">
        <v>500</v>
      </c>
      <c r="G291" s="105"/>
      <c r="H291" s="108">
        <f>120+H26+2</f>
        <v>610</v>
      </c>
      <c r="I291" s="150">
        <f t="shared" si="256"/>
        <v>820</v>
      </c>
      <c r="J291" s="107">
        <f t="shared" si="276"/>
        <v>750</v>
      </c>
      <c r="K291" s="107">
        <f t="shared" si="277"/>
        <v>680</v>
      </c>
      <c r="L291" s="107">
        <v>500</v>
      </c>
      <c r="M291" s="151"/>
      <c r="N291" s="108">
        <f t="shared" si="257"/>
        <v>825</v>
      </c>
      <c r="O291" s="150">
        <f t="shared" si="258"/>
        <v>1035</v>
      </c>
      <c r="P291" s="150">
        <f t="shared" si="259"/>
        <v>950</v>
      </c>
      <c r="Q291" s="107">
        <f t="shared" si="278"/>
        <v>900</v>
      </c>
      <c r="R291" s="107">
        <v>500</v>
      </c>
      <c r="S291" s="122"/>
      <c r="T291" s="108">
        <f t="shared" si="260"/>
        <v>610</v>
      </c>
      <c r="U291" s="108">
        <f t="shared" si="261"/>
        <v>820</v>
      </c>
      <c r="V291" s="108">
        <f t="shared" si="263"/>
        <v>750</v>
      </c>
      <c r="W291" s="107">
        <f t="shared" si="279"/>
        <v>680</v>
      </c>
      <c r="X291" s="107">
        <v>500</v>
      </c>
      <c r="Y291" s="123"/>
      <c r="AA291" s="103"/>
      <c r="AK291" s="104"/>
    </row>
    <row r="292" spans="1:37" x14ac:dyDescent="0.25">
      <c r="A292" s="107">
        <f t="shared" si="280"/>
        <v>6300</v>
      </c>
      <c r="B292" s="108">
        <f>120+B27-1</f>
        <v>945</v>
      </c>
      <c r="C292" s="108">
        <f t="shared" si="255"/>
        <v>1155</v>
      </c>
      <c r="D292" s="150">
        <f t="shared" si="273"/>
        <v>1100</v>
      </c>
      <c r="E292" s="107">
        <f t="shared" si="274"/>
        <v>1020</v>
      </c>
      <c r="F292" s="107">
        <v>500</v>
      </c>
      <c r="G292" s="105"/>
      <c r="H292" s="108">
        <f>120+H27-2</f>
        <v>855</v>
      </c>
      <c r="I292" s="150">
        <f t="shared" si="256"/>
        <v>1065</v>
      </c>
      <c r="J292" s="107">
        <f t="shared" si="276"/>
        <v>950</v>
      </c>
      <c r="K292" s="107">
        <f t="shared" si="277"/>
        <v>929</v>
      </c>
      <c r="L292" s="107">
        <v>500</v>
      </c>
      <c r="M292" s="151"/>
      <c r="N292" s="108">
        <f t="shared" si="257"/>
        <v>945</v>
      </c>
      <c r="O292" s="150">
        <f t="shared" si="258"/>
        <v>1155</v>
      </c>
      <c r="P292" s="150">
        <f t="shared" si="259"/>
        <v>1100</v>
      </c>
      <c r="Q292" s="107">
        <f t="shared" si="278"/>
        <v>1020</v>
      </c>
      <c r="R292" s="107">
        <v>500</v>
      </c>
      <c r="S292" s="122"/>
      <c r="T292" s="108">
        <f t="shared" si="260"/>
        <v>855</v>
      </c>
      <c r="U292" s="108">
        <f t="shared" si="261"/>
        <v>1065</v>
      </c>
      <c r="V292" s="108">
        <f t="shared" si="263"/>
        <v>950</v>
      </c>
      <c r="W292" s="107">
        <f t="shared" si="279"/>
        <v>929</v>
      </c>
      <c r="X292" s="107">
        <v>500</v>
      </c>
      <c r="Y292" s="123"/>
      <c r="AA292" s="111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3"/>
    </row>
    <row r="294" spans="1:37" ht="18.75" x14ac:dyDescent="0.25">
      <c r="D294" s="199" t="s">
        <v>43</v>
      </c>
      <c r="E294" s="199"/>
      <c r="F294" s="199"/>
      <c r="G294" s="199"/>
      <c r="H294" s="199"/>
      <c r="I294" s="199"/>
      <c r="J294" s="199"/>
    </row>
    <row r="295" spans="1:37" x14ac:dyDescent="0.25">
      <c r="D295" s="200" t="s">
        <v>2</v>
      </c>
      <c r="E295" s="201"/>
      <c r="F295" s="201"/>
      <c r="G295" s="201"/>
      <c r="H295" s="201"/>
      <c r="I295" s="201"/>
      <c r="J295" s="202"/>
    </row>
    <row r="296" spans="1:37" x14ac:dyDescent="0.25">
      <c r="D296" s="204" t="s">
        <v>3</v>
      </c>
      <c r="E296" s="204"/>
      <c r="F296" s="204"/>
      <c r="G296" s="204" t="s">
        <v>22</v>
      </c>
      <c r="H296" s="204"/>
      <c r="I296" s="204"/>
      <c r="J296" s="204"/>
    </row>
    <row r="297" spans="1:37" x14ac:dyDescent="0.25">
      <c r="D297" s="204" t="s">
        <v>23</v>
      </c>
      <c r="E297" s="204"/>
      <c r="F297" s="204"/>
      <c r="G297" s="204" t="s">
        <v>22</v>
      </c>
      <c r="H297" s="204"/>
      <c r="I297" s="204"/>
      <c r="J297" s="204"/>
    </row>
    <row r="298" spans="1:37" x14ac:dyDescent="0.25">
      <c r="D298" s="204" t="s">
        <v>31</v>
      </c>
      <c r="E298" s="204"/>
      <c r="F298" s="204"/>
      <c r="G298" s="204" t="s">
        <v>22</v>
      </c>
      <c r="H298" s="204"/>
      <c r="I298" s="204"/>
      <c r="J298" s="204"/>
    </row>
    <row r="299" spans="1:37" x14ac:dyDescent="0.25">
      <c r="AA299" s="100"/>
      <c r="AB299" s="101"/>
      <c r="AC299" s="101"/>
      <c r="AD299" s="102"/>
    </row>
    <row r="300" spans="1:37" x14ac:dyDescent="0.25">
      <c r="A300" s="205" t="s">
        <v>5</v>
      </c>
      <c r="B300" s="203" t="s">
        <v>6</v>
      </c>
      <c r="C300" s="203"/>
      <c r="D300" s="203"/>
      <c r="E300" s="203"/>
      <c r="F300" s="203"/>
      <c r="G300" s="203"/>
      <c r="H300" s="203"/>
      <c r="I300" s="203"/>
      <c r="J300" s="203"/>
      <c r="K300" s="203"/>
      <c r="L300" s="203"/>
      <c r="M300" s="203"/>
      <c r="N300" s="203" t="s">
        <v>7</v>
      </c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  <c r="Y300" s="203"/>
      <c r="AA300" s="103"/>
      <c r="AD300" s="104"/>
    </row>
    <row r="301" spans="1:37" x14ac:dyDescent="0.25">
      <c r="A301" s="203"/>
      <c r="B301" s="205" t="s">
        <v>8</v>
      </c>
      <c r="C301" s="206"/>
      <c r="D301" s="206"/>
      <c r="E301" s="206"/>
      <c r="F301" s="206"/>
      <c r="G301" s="206"/>
      <c r="H301" s="206" t="s">
        <v>9</v>
      </c>
      <c r="I301" s="206"/>
      <c r="J301" s="206"/>
      <c r="K301" s="206"/>
      <c r="L301" s="206"/>
      <c r="M301" s="207"/>
      <c r="N301" s="205" t="s">
        <v>8</v>
      </c>
      <c r="O301" s="206"/>
      <c r="P301" s="206"/>
      <c r="Q301" s="206"/>
      <c r="R301" s="206"/>
      <c r="S301" s="206"/>
      <c r="T301" s="206" t="s">
        <v>9</v>
      </c>
      <c r="U301" s="206"/>
      <c r="V301" s="206"/>
      <c r="W301" s="206"/>
      <c r="X301" s="206"/>
      <c r="Y301" s="206"/>
      <c r="AA301" s="103"/>
      <c r="AD301" s="104"/>
    </row>
    <row r="302" spans="1:37" x14ac:dyDescent="0.25">
      <c r="A302" s="203"/>
      <c r="B302" s="143" t="s">
        <v>24</v>
      </c>
      <c r="C302" s="143" t="s">
        <v>27</v>
      </c>
      <c r="D302" s="135" t="s">
        <v>36</v>
      </c>
      <c r="E302" s="143" t="s">
        <v>40</v>
      </c>
      <c r="F302" s="143" t="s">
        <v>41</v>
      </c>
      <c r="G302" s="143" t="s">
        <v>26</v>
      </c>
      <c r="H302" s="143" t="s">
        <v>24</v>
      </c>
      <c r="I302" s="143" t="s">
        <v>27</v>
      </c>
      <c r="J302" s="143" t="s">
        <v>36</v>
      </c>
      <c r="K302" s="143" t="s">
        <v>40</v>
      </c>
      <c r="L302" s="143" t="s">
        <v>41</v>
      </c>
      <c r="M302" s="143" t="s">
        <v>26</v>
      </c>
      <c r="N302" s="143" t="s">
        <v>24</v>
      </c>
      <c r="O302" s="143" t="s">
        <v>27</v>
      </c>
      <c r="P302" s="143" t="s">
        <v>36</v>
      </c>
      <c r="Q302" s="143" t="s">
        <v>40</v>
      </c>
      <c r="R302" s="143" t="s">
        <v>41</v>
      </c>
      <c r="S302" s="143" t="s">
        <v>26</v>
      </c>
      <c r="T302" s="143" t="s">
        <v>24</v>
      </c>
      <c r="U302" s="143" t="s">
        <v>27</v>
      </c>
      <c r="V302" s="143" t="s">
        <v>36</v>
      </c>
      <c r="W302" s="143" t="s">
        <v>40</v>
      </c>
      <c r="X302" s="143" t="s">
        <v>41</v>
      </c>
      <c r="Y302" s="143" t="s">
        <v>26</v>
      </c>
      <c r="AA302" s="103"/>
      <c r="AD302" s="104"/>
    </row>
    <row r="303" spans="1:37" x14ac:dyDescent="0.25">
      <c r="A303" s="107">
        <f t="shared" ref="A303:A310" si="281">A12</f>
        <v>160</v>
      </c>
      <c r="B303" s="108">
        <f>120+C12</f>
        <v>260</v>
      </c>
      <c r="C303" s="108">
        <f t="shared" si="255"/>
        <v>470</v>
      </c>
      <c r="D303" s="150">
        <f>B71</f>
        <v>435</v>
      </c>
      <c r="E303" s="107">
        <f>D251</f>
        <v>250</v>
      </c>
      <c r="F303" s="107">
        <v>500</v>
      </c>
      <c r="G303" s="105"/>
      <c r="H303" s="108">
        <f>120+I12</f>
        <v>260</v>
      </c>
      <c r="I303" s="150">
        <f t="shared" si="256"/>
        <v>470</v>
      </c>
      <c r="J303" s="107">
        <f>E71</f>
        <v>435</v>
      </c>
      <c r="K303" s="107">
        <f>I251</f>
        <v>250</v>
      </c>
      <c r="L303" s="107">
        <v>500</v>
      </c>
      <c r="M303" s="151"/>
      <c r="N303" s="108">
        <f t="shared" ref="N303:N318" si="282">B303</f>
        <v>260</v>
      </c>
      <c r="O303" s="150">
        <f t="shared" ref="O303:O318" si="283">C303</f>
        <v>470</v>
      </c>
      <c r="P303" s="150">
        <f t="shared" ref="P303:P318" si="284">D303</f>
        <v>435</v>
      </c>
      <c r="Q303" s="107">
        <f>N251</f>
        <v>250</v>
      </c>
      <c r="R303" s="107">
        <v>500</v>
      </c>
      <c r="S303" s="122"/>
      <c r="T303" s="108">
        <f t="shared" ref="T303:T318" si="285">B303</f>
        <v>260</v>
      </c>
      <c r="U303" s="150">
        <f t="shared" si="261"/>
        <v>470</v>
      </c>
      <c r="V303" s="150">
        <f t="shared" si="263"/>
        <v>435</v>
      </c>
      <c r="W303" s="107">
        <f>S251</f>
        <v>250</v>
      </c>
      <c r="X303" s="107">
        <v>500</v>
      </c>
      <c r="Y303" s="105"/>
      <c r="AA303" s="103"/>
      <c r="AD303" s="104"/>
    </row>
    <row r="304" spans="1:37" x14ac:dyDescent="0.25">
      <c r="A304" s="107">
        <f t="shared" si="281"/>
        <v>250</v>
      </c>
      <c r="B304" s="108">
        <f>120+C13</f>
        <v>260</v>
      </c>
      <c r="C304" s="108">
        <f t="shared" si="255"/>
        <v>470</v>
      </c>
      <c r="D304" s="150">
        <f>B72</f>
        <v>435</v>
      </c>
      <c r="E304" s="107">
        <f>D252</f>
        <v>250</v>
      </c>
      <c r="F304" s="107">
        <v>500</v>
      </c>
      <c r="G304" s="105"/>
      <c r="H304" s="108">
        <f>120+I13</f>
        <v>260</v>
      </c>
      <c r="I304" s="150">
        <f t="shared" si="256"/>
        <v>470</v>
      </c>
      <c r="J304" s="107">
        <f>E72</f>
        <v>435</v>
      </c>
      <c r="K304" s="107">
        <f>I252</f>
        <v>250</v>
      </c>
      <c r="L304" s="107">
        <v>500</v>
      </c>
      <c r="M304" s="151"/>
      <c r="N304" s="108">
        <f t="shared" si="282"/>
        <v>260</v>
      </c>
      <c r="O304" s="150">
        <f t="shared" si="283"/>
        <v>470</v>
      </c>
      <c r="P304" s="150">
        <f t="shared" si="284"/>
        <v>435</v>
      </c>
      <c r="Q304" s="107">
        <f>N252</f>
        <v>250</v>
      </c>
      <c r="R304" s="107">
        <v>500</v>
      </c>
      <c r="S304" s="122"/>
      <c r="T304" s="108">
        <f t="shared" si="285"/>
        <v>260</v>
      </c>
      <c r="U304" s="150">
        <f t="shared" si="261"/>
        <v>470</v>
      </c>
      <c r="V304" s="150">
        <f t="shared" si="263"/>
        <v>435</v>
      </c>
      <c r="W304" s="107">
        <f>S252</f>
        <v>250</v>
      </c>
      <c r="X304" s="107">
        <v>500</v>
      </c>
      <c r="Y304" s="105"/>
      <c r="AA304" s="103"/>
      <c r="AD304" s="104"/>
    </row>
    <row r="305" spans="1:30" x14ac:dyDescent="0.25">
      <c r="A305" s="107">
        <f t="shared" si="281"/>
        <v>315</v>
      </c>
      <c r="B305" s="108">
        <f>120+C14</f>
        <v>260</v>
      </c>
      <c r="C305" s="108">
        <f t="shared" ref="C305" si="286">210+B305</f>
        <v>470</v>
      </c>
      <c r="D305" s="150">
        <f>B73</f>
        <v>435</v>
      </c>
      <c r="E305" s="107">
        <f>D253</f>
        <v>250</v>
      </c>
      <c r="F305" s="107">
        <v>500</v>
      </c>
      <c r="G305" s="105"/>
      <c r="H305" s="108">
        <f>120+I14</f>
        <v>260</v>
      </c>
      <c r="I305" s="150">
        <f t="shared" ref="I305" si="287">210+H305</f>
        <v>470</v>
      </c>
      <c r="J305" s="107">
        <f>E73</f>
        <v>435</v>
      </c>
      <c r="K305" s="107">
        <f>I253</f>
        <v>250</v>
      </c>
      <c r="L305" s="107">
        <v>500</v>
      </c>
      <c r="M305" s="151"/>
      <c r="N305" s="108">
        <f t="shared" ref="N305" si="288">B305</f>
        <v>260</v>
      </c>
      <c r="O305" s="150">
        <f t="shared" ref="O305" si="289">C305</f>
        <v>470</v>
      </c>
      <c r="P305" s="150">
        <f t="shared" ref="P305" si="290">D305</f>
        <v>435</v>
      </c>
      <c r="Q305" s="107">
        <f>N253</f>
        <v>250</v>
      </c>
      <c r="R305" s="107">
        <v>500</v>
      </c>
      <c r="S305" s="122"/>
      <c r="T305" s="108">
        <f t="shared" ref="T305" si="291">B305</f>
        <v>260</v>
      </c>
      <c r="U305" s="150">
        <f t="shared" ref="U305" si="292">I305</f>
        <v>470</v>
      </c>
      <c r="V305" s="150">
        <f t="shared" ref="V305" si="293">J305</f>
        <v>435</v>
      </c>
      <c r="W305" s="107">
        <f>S253</f>
        <v>250</v>
      </c>
      <c r="X305" s="107">
        <v>500</v>
      </c>
      <c r="Y305" s="105"/>
      <c r="AA305" s="103"/>
      <c r="AD305" s="104"/>
    </row>
    <row r="306" spans="1:30" x14ac:dyDescent="0.25">
      <c r="A306" s="107">
        <f t="shared" si="281"/>
        <v>400</v>
      </c>
      <c r="B306" s="108">
        <f>120+C15</f>
        <v>260</v>
      </c>
      <c r="C306" s="108">
        <f t="shared" si="255"/>
        <v>470</v>
      </c>
      <c r="D306" s="150">
        <f>B74</f>
        <v>435</v>
      </c>
      <c r="E306" s="107">
        <f>D254</f>
        <v>250</v>
      </c>
      <c r="F306" s="107">
        <v>500</v>
      </c>
      <c r="G306" s="105"/>
      <c r="H306" s="108">
        <f>120+I15</f>
        <v>260</v>
      </c>
      <c r="I306" s="150">
        <f t="shared" si="256"/>
        <v>470</v>
      </c>
      <c r="J306" s="107">
        <f>E74</f>
        <v>435</v>
      </c>
      <c r="K306" s="107">
        <f>I254</f>
        <v>250</v>
      </c>
      <c r="L306" s="107">
        <v>500</v>
      </c>
      <c r="M306" s="151"/>
      <c r="N306" s="108">
        <f t="shared" si="282"/>
        <v>260</v>
      </c>
      <c r="O306" s="150">
        <f t="shared" si="283"/>
        <v>470</v>
      </c>
      <c r="P306" s="150">
        <f t="shared" si="284"/>
        <v>435</v>
      </c>
      <c r="Q306" s="107">
        <f>N254</f>
        <v>250</v>
      </c>
      <c r="R306" s="107">
        <v>500</v>
      </c>
      <c r="S306" s="122"/>
      <c r="T306" s="108">
        <f t="shared" si="285"/>
        <v>260</v>
      </c>
      <c r="U306" s="150">
        <f t="shared" si="261"/>
        <v>470</v>
      </c>
      <c r="V306" s="150">
        <f t="shared" si="263"/>
        <v>435</v>
      </c>
      <c r="W306" s="107">
        <f>S254</f>
        <v>250</v>
      </c>
      <c r="X306" s="107">
        <v>500</v>
      </c>
      <c r="Y306" s="105"/>
      <c r="AA306" s="103"/>
      <c r="AD306" s="104"/>
    </row>
    <row r="307" spans="1:30" x14ac:dyDescent="0.25">
      <c r="A307" s="107">
        <f t="shared" si="281"/>
        <v>500</v>
      </c>
      <c r="B307" s="108">
        <f>120+C16</f>
        <v>260</v>
      </c>
      <c r="C307" s="108">
        <f t="shared" si="255"/>
        <v>470</v>
      </c>
      <c r="D307" s="150">
        <f>B75</f>
        <v>435</v>
      </c>
      <c r="E307" s="156">
        <f>D255</f>
        <v>260</v>
      </c>
      <c r="F307" s="156">
        <v>500</v>
      </c>
      <c r="G307" s="105"/>
      <c r="H307" s="108">
        <f>120+I16</f>
        <v>260</v>
      </c>
      <c r="I307" s="150">
        <f t="shared" si="256"/>
        <v>470</v>
      </c>
      <c r="J307" s="156">
        <f>E75</f>
        <v>435</v>
      </c>
      <c r="K307" s="156">
        <f>I255</f>
        <v>250</v>
      </c>
      <c r="L307" s="156">
        <v>500</v>
      </c>
      <c r="M307" s="151"/>
      <c r="N307" s="108">
        <f t="shared" si="282"/>
        <v>260</v>
      </c>
      <c r="O307" s="150">
        <f t="shared" si="283"/>
        <v>470</v>
      </c>
      <c r="P307" s="150">
        <f t="shared" si="284"/>
        <v>435</v>
      </c>
      <c r="Q307" s="156">
        <f>N255</f>
        <v>260</v>
      </c>
      <c r="R307" s="156">
        <v>500</v>
      </c>
      <c r="S307" s="122"/>
      <c r="T307" s="108">
        <f t="shared" si="285"/>
        <v>260</v>
      </c>
      <c r="U307" s="150">
        <f t="shared" si="261"/>
        <v>470</v>
      </c>
      <c r="V307" s="150">
        <f t="shared" si="263"/>
        <v>435</v>
      </c>
      <c r="W307" s="156">
        <f>S255</f>
        <v>250</v>
      </c>
      <c r="X307" s="156">
        <v>500</v>
      </c>
      <c r="Y307" s="105"/>
      <c r="AA307" s="103"/>
      <c r="AD307" s="104"/>
    </row>
    <row r="308" spans="1:30" x14ac:dyDescent="0.25">
      <c r="A308" s="107">
        <f t="shared" si="281"/>
        <v>630</v>
      </c>
      <c r="B308" s="108">
        <f t="shared" ref="B308:B318" si="294">120+C17</f>
        <v>260</v>
      </c>
      <c r="C308" s="108">
        <f t="shared" si="255"/>
        <v>470</v>
      </c>
      <c r="D308" s="150">
        <f t="shared" ref="D308:D318" si="295">B76</f>
        <v>435</v>
      </c>
      <c r="E308" s="107">
        <f t="shared" ref="E308:E318" si="296">D256</f>
        <v>270</v>
      </c>
      <c r="F308" s="107">
        <v>500</v>
      </c>
      <c r="G308" s="105"/>
      <c r="H308" s="108">
        <f t="shared" ref="H308:H318" si="297">120+I17</f>
        <v>260</v>
      </c>
      <c r="I308" s="150">
        <f t="shared" si="256"/>
        <v>470</v>
      </c>
      <c r="J308" s="107">
        <f t="shared" ref="J308:J318" si="298">E76</f>
        <v>435</v>
      </c>
      <c r="K308" s="107">
        <f t="shared" ref="K308:K318" si="299">I256</f>
        <v>260</v>
      </c>
      <c r="L308" s="107">
        <v>500</v>
      </c>
      <c r="M308" s="151"/>
      <c r="N308" s="108">
        <f t="shared" si="282"/>
        <v>260</v>
      </c>
      <c r="O308" s="150">
        <f t="shared" si="283"/>
        <v>470</v>
      </c>
      <c r="P308" s="150">
        <f t="shared" si="284"/>
        <v>435</v>
      </c>
      <c r="Q308" s="107">
        <f t="shared" ref="Q308:Q318" si="300">N256</f>
        <v>270</v>
      </c>
      <c r="R308" s="107">
        <v>500</v>
      </c>
      <c r="S308" s="122"/>
      <c r="T308" s="108">
        <f t="shared" si="285"/>
        <v>260</v>
      </c>
      <c r="U308" s="150">
        <f t="shared" si="261"/>
        <v>470</v>
      </c>
      <c r="V308" s="150">
        <f t="shared" si="263"/>
        <v>435</v>
      </c>
      <c r="W308" s="107">
        <f t="shared" ref="W308:W318" si="301">S256</f>
        <v>260</v>
      </c>
      <c r="X308" s="107">
        <v>500</v>
      </c>
      <c r="Y308" s="105"/>
      <c r="AA308" s="103"/>
      <c r="AD308" s="104"/>
    </row>
    <row r="309" spans="1:30" x14ac:dyDescent="0.25">
      <c r="A309" s="107">
        <f t="shared" si="281"/>
        <v>800</v>
      </c>
      <c r="B309" s="108">
        <f t="shared" si="294"/>
        <v>260</v>
      </c>
      <c r="C309" s="108">
        <f t="shared" si="255"/>
        <v>470</v>
      </c>
      <c r="D309" s="150">
        <f t="shared" si="295"/>
        <v>435</v>
      </c>
      <c r="E309" s="107">
        <f t="shared" si="296"/>
        <v>285</v>
      </c>
      <c r="F309" s="107">
        <v>500</v>
      </c>
      <c r="G309" s="105"/>
      <c r="H309" s="108">
        <f t="shared" si="297"/>
        <v>260</v>
      </c>
      <c r="I309" s="150">
        <f t="shared" si="256"/>
        <v>470</v>
      </c>
      <c r="J309" s="107">
        <f t="shared" si="298"/>
        <v>435</v>
      </c>
      <c r="K309" s="107">
        <f t="shared" si="299"/>
        <v>280</v>
      </c>
      <c r="L309" s="107">
        <v>500</v>
      </c>
      <c r="M309" s="151"/>
      <c r="N309" s="108">
        <f t="shared" si="282"/>
        <v>260</v>
      </c>
      <c r="O309" s="150">
        <f t="shared" si="283"/>
        <v>470</v>
      </c>
      <c r="P309" s="150">
        <f t="shared" si="284"/>
        <v>435</v>
      </c>
      <c r="Q309" s="107">
        <f t="shared" si="300"/>
        <v>285</v>
      </c>
      <c r="R309" s="107">
        <v>500</v>
      </c>
      <c r="S309" s="122"/>
      <c r="T309" s="108">
        <f t="shared" si="285"/>
        <v>260</v>
      </c>
      <c r="U309" s="150">
        <f t="shared" si="261"/>
        <v>470</v>
      </c>
      <c r="V309" s="150">
        <f t="shared" si="263"/>
        <v>435</v>
      </c>
      <c r="W309" s="107">
        <f t="shared" si="301"/>
        <v>280</v>
      </c>
      <c r="X309" s="107">
        <v>500</v>
      </c>
      <c r="Y309" s="123"/>
      <c r="AA309" s="103"/>
      <c r="AD309" s="104"/>
    </row>
    <row r="310" spans="1:30" x14ac:dyDescent="0.25">
      <c r="A310" s="107">
        <f t="shared" si="281"/>
        <v>1000</v>
      </c>
      <c r="B310" s="108">
        <f t="shared" si="294"/>
        <v>260</v>
      </c>
      <c r="C310" s="108">
        <f t="shared" si="255"/>
        <v>470</v>
      </c>
      <c r="D310" s="150">
        <f t="shared" si="295"/>
        <v>435</v>
      </c>
      <c r="E310" s="107">
        <f t="shared" si="296"/>
        <v>325</v>
      </c>
      <c r="F310" s="107">
        <v>500</v>
      </c>
      <c r="G310" s="105"/>
      <c r="H310" s="108">
        <f t="shared" si="297"/>
        <v>260</v>
      </c>
      <c r="I310" s="150">
        <f t="shared" si="256"/>
        <v>470</v>
      </c>
      <c r="J310" s="107">
        <f t="shared" si="298"/>
        <v>435</v>
      </c>
      <c r="K310" s="107">
        <f t="shared" si="299"/>
        <v>285</v>
      </c>
      <c r="L310" s="107">
        <v>500</v>
      </c>
      <c r="M310" s="151"/>
      <c r="N310" s="108">
        <f t="shared" si="282"/>
        <v>260</v>
      </c>
      <c r="O310" s="150">
        <f t="shared" si="283"/>
        <v>470</v>
      </c>
      <c r="P310" s="150">
        <f t="shared" si="284"/>
        <v>435</v>
      </c>
      <c r="Q310" s="107">
        <f t="shared" si="300"/>
        <v>325</v>
      </c>
      <c r="R310" s="107">
        <v>500</v>
      </c>
      <c r="S310" s="122"/>
      <c r="T310" s="108">
        <f t="shared" si="285"/>
        <v>260</v>
      </c>
      <c r="U310" s="150">
        <f t="shared" si="261"/>
        <v>470</v>
      </c>
      <c r="V310" s="150">
        <f t="shared" si="263"/>
        <v>435</v>
      </c>
      <c r="W310" s="107">
        <f t="shared" si="301"/>
        <v>285</v>
      </c>
      <c r="X310" s="107">
        <v>500</v>
      </c>
      <c r="Y310" s="123"/>
      <c r="AA310" s="103"/>
      <c r="AD310" s="104"/>
    </row>
    <row r="311" spans="1:30" x14ac:dyDescent="0.25">
      <c r="A311" s="107">
        <f t="shared" ref="A311:A318" si="302">A20</f>
        <v>1250</v>
      </c>
      <c r="B311" s="108">
        <f t="shared" si="294"/>
        <v>260</v>
      </c>
      <c r="C311" s="108">
        <f t="shared" si="255"/>
        <v>470</v>
      </c>
      <c r="D311" s="150">
        <f t="shared" si="295"/>
        <v>435</v>
      </c>
      <c r="E311" s="107">
        <f t="shared" si="296"/>
        <v>360</v>
      </c>
      <c r="F311" s="107">
        <v>500</v>
      </c>
      <c r="G311" s="105"/>
      <c r="H311" s="108">
        <f t="shared" si="297"/>
        <v>260</v>
      </c>
      <c r="I311" s="150">
        <f t="shared" si="256"/>
        <v>470</v>
      </c>
      <c r="J311" s="107">
        <f t="shared" si="298"/>
        <v>435</v>
      </c>
      <c r="K311" s="107">
        <f t="shared" si="299"/>
        <v>300</v>
      </c>
      <c r="L311" s="107">
        <v>500</v>
      </c>
      <c r="M311" s="151"/>
      <c r="N311" s="108">
        <f t="shared" si="282"/>
        <v>260</v>
      </c>
      <c r="O311" s="150">
        <f t="shared" si="283"/>
        <v>470</v>
      </c>
      <c r="P311" s="150">
        <f t="shared" si="284"/>
        <v>435</v>
      </c>
      <c r="Q311" s="107">
        <f t="shared" si="300"/>
        <v>360</v>
      </c>
      <c r="R311" s="107">
        <v>500</v>
      </c>
      <c r="S311" s="122"/>
      <c r="T311" s="108">
        <f t="shared" si="285"/>
        <v>260</v>
      </c>
      <c r="U311" s="150">
        <f t="shared" si="261"/>
        <v>470</v>
      </c>
      <c r="V311" s="150">
        <f t="shared" si="263"/>
        <v>435</v>
      </c>
      <c r="W311" s="107">
        <f t="shared" si="301"/>
        <v>300</v>
      </c>
      <c r="X311" s="107">
        <v>500</v>
      </c>
      <c r="Y311" s="123"/>
      <c r="AA311" s="103"/>
      <c r="AD311" s="104"/>
    </row>
    <row r="312" spans="1:30" x14ac:dyDescent="0.25">
      <c r="A312" s="107">
        <f t="shared" si="302"/>
        <v>1600</v>
      </c>
      <c r="B312" s="108">
        <f t="shared" si="294"/>
        <v>260</v>
      </c>
      <c r="C312" s="108">
        <f t="shared" si="255"/>
        <v>470</v>
      </c>
      <c r="D312" s="150">
        <f t="shared" si="295"/>
        <v>435</v>
      </c>
      <c r="E312" s="107">
        <f t="shared" si="296"/>
        <v>390</v>
      </c>
      <c r="F312" s="107">
        <v>500</v>
      </c>
      <c r="G312" s="105"/>
      <c r="H312" s="108">
        <f t="shared" si="297"/>
        <v>260</v>
      </c>
      <c r="I312" s="150">
        <f t="shared" si="256"/>
        <v>470</v>
      </c>
      <c r="J312" s="107">
        <f t="shared" si="298"/>
        <v>435</v>
      </c>
      <c r="K312" s="107">
        <f t="shared" si="299"/>
        <v>325</v>
      </c>
      <c r="L312" s="107">
        <v>500</v>
      </c>
      <c r="M312" s="151"/>
      <c r="N312" s="108">
        <f t="shared" si="282"/>
        <v>260</v>
      </c>
      <c r="O312" s="150">
        <f t="shared" si="283"/>
        <v>470</v>
      </c>
      <c r="P312" s="150">
        <f t="shared" si="284"/>
        <v>435</v>
      </c>
      <c r="Q312" s="107">
        <f t="shared" si="300"/>
        <v>390</v>
      </c>
      <c r="R312" s="107">
        <v>500</v>
      </c>
      <c r="S312" s="122"/>
      <c r="T312" s="108">
        <f t="shared" si="285"/>
        <v>260</v>
      </c>
      <c r="U312" s="150">
        <f t="shared" si="261"/>
        <v>470</v>
      </c>
      <c r="V312" s="150">
        <f t="shared" si="263"/>
        <v>435</v>
      </c>
      <c r="W312" s="107">
        <f t="shared" si="301"/>
        <v>325</v>
      </c>
      <c r="X312" s="107">
        <v>500</v>
      </c>
      <c r="Y312" s="123"/>
      <c r="AA312" s="103"/>
      <c r="AD312" s="104"/>
    </row>
    <row r="313" spans="1:30" x14ac:dyDescent="0.25">
      <c r="A313" s="107">
        <f t="shared" si="302"/>
        <v>2000</v>
      </c>
      <c r="B313" s="108">
        <f t="shared" si="294"/>
        <v>260</v>
      </c>
      <c r="C313" s="108">
        <f t="shared" si="255"/>
        <v>470</v>
      </c>
      <c r="D313" s="150">
        <f t="shared" si="295"/>
        <v>435</v>
      </c>
      <c r="E313" s="107">
        <f t="shared" si="296"/>
        <v>430</v>
      </c>
      <c r="F313" s="107">
        <v>500</v>
      </c>
      <c r="G313" s="105"/>
      <c r="H313" s="108">
        <f t="shared" si="297"/>
        <v>260</v>
      </c>
      <c r="I313" s="150">
        <f t="shared" si="256"/>
        <v>470</v>
      </c>
      <c r="J313" s="107">
        <f t="shared" si="298"/>
        <v>435</v>
      </c>
      <c r="K313" s="107">
        <f t="shared" si="299"/>
        <v>390</v>
      </c>
      <c r="L313" s="107">
        <v>500</v>
      </c>
      <c r="M313" s="151"/>
      <c r="N313" s="108">
        <f t="shared" si="282"/>
        <v>260</v>
      </c>
      <c r="O313" s="150">
        <f t="shared" si="283"/>
        <v>470</v>
      </c>
      <c r="P313" s="150">
        <f t="shared" si="284"/>
        <v>435</v>
      </c>
      <c r="Q313" s="107">
        <f t="shared" si="300"/>
        <v>430</v>
      </c>
      <c r="R313" s="107">
        <v>500</v>
      </c>
      <c r="S313" s="122"/>
      <c r="T313" s="108">
        <f t="shared" si="285"/>
        <v>260</v>
      </c>
      <c r="U313" s="150">
        <f t="shared" si="261"/>
        <v>470</v>
      </c>
      <c r="V313" s="150">
        <f t="shared" si="263"/>
        <v>435</v>
      </c>
      <c r="W313" s="107">
        <f t="shared" si="301"/>
        <v>390</v>
      </c>
      <c r="X313" s="107">
        <v>500</v>
      </c>
      <c r="Y313" s="123"/>
      <c r="AA313" s="103"/>
      <c r="AD313" s="104"/>
    </row>
    <row r="314" spans="1:30" x14ac:dyDescent="0.25">
      <c r="A314" s="107">
        <f t="shared" si="302"/>
        <v>2500</v>
      </c>
      <c r="B314" s="108">
        <f t="shared" si="294"/>
        <v>260</v>
      </c>
      <c r="C314" s="108">
        <f t="shared" si="255"/>
        <v>470</v>
      </c>
      <c r="D314" s="150">
        <f t="shared" si="295"/>
        <v>435</v>
      </c>
      <c r="E314" s="107">
        <f t="shared" si="296"/>
        <v>540</v>
      </c>
      <c r="F314" s="107">
        <v>500</v>
      </c>
      <c r="G314" s="105"/>
      <c r="H314" s="108">
        <f t="shared" si="297"/>
        <v>260</v>
      </c>
      <c r="I314" s="150">
        <f t="shared" si="256"/>
        <v>470</v>
      </c>
      <c r="J314" s="107">
        <f t="shared" si="298"/>
        <v>435</v>
      </c>
      <c r="K314" s="107">
        <f t="shared" si="299"/>
        <v>430</v>
      </c>
      <c r="L314" s="107">
        <v>500</v>
      </c>
      <c r="M314" s="151"/>
      <c r="N314" s="108">
        <f t="shared" si="282"/>
        <v>260</v>
      </c>
      <c r="O314" s="150">
        <f t="shared" si="283"/>
        <v>470</v>
      </c>
      <c r="P314" s="150">
        <f t="shared" si="284"/>
        <v>435</v>
      </c>
      <c r="Q314" s="107">
        <f t="shared" si="300"/>
        <v>540</v>
      </c>
      <c r="R314" s="107">
        <v>500</v>
      </c>
      <c r="S314" s="122"/>
      <c r="T314" s="108">
        <f t="shared" si="285"/>
        <v>260</v>
      </c>
      <c r="U314" s="150">
        <f t="shared" si="261"/>
        <v>470</v>
      </c>
      <c r="V314" s="150">
        <f t="shared" si="263"/>
        <v>435</v>
      </c>
      <c r="W314" s="107">
        <f t="shared" si="301"/>
        <v>430</v>
      </c>
      <c r="X314" s="107">
        <v>500</v>
      </c>
      <c r="Y314" s="123"/>
      <c r="AA314" s="103"/>
      <c r="AD314" s="104"/>
    </row>
    <row r="315" spans="1:30" x14ac:dyDescent="0.25">
      <c r="A315" s="107">
        <f t="shared" si="302"/>
        <v>3200</v>
      </c>
      <c r="B315" s="108">
        <f t="shared" si="294"/>
        <v>260</v>
      </c>
      <c r="C315" s="108">
        <f t="shared" si="255"/>
        <v>470</v>
      </c>
      <c r="D315" s="150">
        <f t="shared" si="295"/>
        <v>435</v>
      </c>
      <c r="E315" s="107">
        <f t="shared" si="296"/>
        <v>600</v>
      </c>
      <c r="F315" s="107">
        <v>500</v>
      </c>
      <c r="G315" s="105"/>
      <c r="H315" s="108">
        <f t="shared" si="297"/>
        <v>260</v>
      </c>
      <c r="I315" s="150">
        <f t="shared" si="256"/>
        <v>470</v>
      </c>
      <c r="J315" s="107">
        <f t="shared" si="298"/>
        <v>435</v>
      </c>
      <c r="K315" s="107">
        <f t="shared" si="299"/>
        <v>540</v>
      </c>
      <c r="L315" s="107">
        <v>500</v>
      </c>
      <c r="M315" s="151"/>
      <c r="N315" s="108">
        <f t="shared" si="282"/>
        <v>260</v>
      </c>
      <c r="O315" s="150">
        <f t="shared" si="283"/>
        <v>470</v>
      </c>
      <c r="P315" s="150">
        <f t="shared" si="284"/>
        <v>435</v>
      </c>
      <c r="Q315" s="107">
        <f t="shared" si="300"/>
        <v>600</v>
      </c>
      <c r="R315" s="107">
        <v>500</v>
      </c>
      <c r="S315" s="122"/>
      <c r="T315" s="108">
        <f t="shared" si="285"/>
        <v>260</v>
      </c>
      <c r="U315" s="150">
        <f t="shared" si="261"/>
        <v>470</v>
      </c>
      <c r="V315" s="150">
        <f t="shared" si="263"/>
        <v>435</v>
      </c>
      <c r="W315" s="107">
        <f t="shared" si="301"/>
        <v>540</v>
      </c>
      <c r="X315" s="107">
        <v>500</v>
      </c>
      <c r="Y315" s="123"/>
      <c r="AA315" s="103"/>
      <c r="AD315" s="104"/>
    </row>
    <row r="316" spans="1:30" x14ac:dyDescent="0.25">
      <c r="A316" s="107">
        <f t="shared" si="302"/>
        <v>4000</v>
      </c>
      <c r="B316" s="108">
        <f t="shared" si="294"/>
        <v>260</v>
      </c>
      <c r="C316" s="108">
        <f t="shared" si="255"/>
        <v>470</v>
      </c>
      <c r="D316" s="150">
        <f t="shared" si="295"/>
        <v>435</v>
      </c>
      <c r="E316" s="107">
        <f t="shared" si="296"/>
        <v>680</v>
      </c>
      <c r="F316" s="107">
        <v>500</v>
      </c>
      <c r="G316" s="105"/>
      <c r="H316" s="108">
        <f t="shared" si="297"/>
        <v>260</v>
      </c>
      <c r="I316" s="150">
        <f t="shared" si="256"/>
        <v>470</v>
      </c>
      <c r="J316" s="107">
        <f t="shared" si="298"/>
        <v>435</v>
      </c>
      <c r="K316" s="107">
        <f t="shared" si="299"/>
        <v>600</v>
      </c>
      <c r="L316" s="107">
        <v>500</v>
      </c>
      <c r="M316" s="151"/>
      <c r="N316" s="108">
        <f t="shared" si="282"/>
        <v>260</v>
      </c>
      <c r="O316" s="150">
        <f t="shared" si="283"/>
        <v>470</v>
      </c>
      <c r="P316" s="150">
        <f t="shared" si="284"/>
        <v>435</v>
      </c>
      <c r="Q316" s="107">
        <f t="shared" si="300"/>
        <v>680</v>
      </c>
      <c r="R316" s="107">
        <v>500</v>
      </c>
      <c r="S316" s="122"/>
      <c r="T316" s="108">
        <f t="shared" si="285"/>
        <v>260</v>
      </c>
      <c r="U316" s="150">
        <f t="shared" si="261"/>
        <v>470</v>
      </c>
      <c r="V316" s="150">
        <f t="shared" si="263"/>
        <v>435</v>
      </c>
      <c r="W316" s="107">
        <f t="shared" si="301"/>
        <v>600</v>
      </c>
      <c r="X316" s="107">
        <v>500</v>
      </c>
      <c r="Y316" s="123"/>
      <c r="AA316" s="103"/>
      <c r="AD316" s="104"/>
    </row>
    <row r="317" spans="1:30" x14ac:dyDescent="0.25">
      <c r="A317" s="107">
        <f t="shared" si="302"/>
        <v>5000</v>
      </c>
      <c r="B317" s="108">
        <f t="shared" si="294"/>
        <v>260</v>
      </c>
      <c r="C317" s="108">
        <f t="shared" si="255"/>
        <v>470</v>
      </c>
      <c r="D317" s="150">
        <f t="shared" si="295"/>
        <v>435</v>
      </c>
      <c r="E317" s="107">
        <f t="shared" si="296"/>
        <v>900</v>
      </c>
      <c r="F317" s="107">
        <v>500</v>
      </c>
      <c r="G317" s="105"/>
      <c r="H317" s="108">
        <f t="shared" si="297"/>
        <v>260</v>
      </c>
      <c r="I317" s="150">
        <f t="shared" si="256"/>
        <v>470</v>
      </c>
      <c r="J317" s="107">
        <f t="shared" si="298"/>
        <v>435</v>
      </c>
      <c r="K317" s="107">
        <f t="shared" si="299"/>
        <v>680</v>
      </c>
      <c r="L317" s="107">
        <v>500</v>
      </c>
      <c r="M317" s="151"/>
      <c r="N317" s="108">
        <f t="shared" si="282"/>
        <v>260</v>
      </c>
      <c r="O317" s="150">
        <f t="shared" si="283"/>
        <v>470</v>
      </c>
      <c r="P317" s="150">
        <f t="shared" si="284"/>
        <v>435</v>
      </c>
      <c r="Q317" s="107">
        <f t="shared" si="300"/>
        <v>900</v>
      </c>
      <c r="R317" s="107">
        <v>500</v>
      </c>
      <c r="S317" s="122"/>
      <c r="T317" s="108">
        <f t="shared" si="285"/>
        <v>260</v>
      </c>
      <c r="U317" s="150">
        <f t="shared" si="261"/>
        <v>470</v>
      </c>
      <c r="V317" s="150">
        <f t="shared" si="263"/>
        <v>435</v>
      </c>
      <c r="W317" s="107">
        <f t="shared" si="301"/>
        <v>680</v>
      </c>
      <c r="X317" s="107">
        <v>500</v>
      </c>
      <c r="Y317" s="123"/>
      <c r="AA317" s="103"/>
      <c r="AD317" s="104"/>
    </row>
    <row r="318" spans="1:30" x14ac:dyDescent="0.25">
      <c r="A318" s="107">
        <f t="shared" si="302"/>
        <v>6300</v>
      </c>
      <c r="B318" s="108">
        <f t="shared" si="294"/>
        <v>260</v>
      </c>
      <c r="C318" s="108">
        <f t="shared" si="255"/>
        <v>470</v>
      </c>
      <c r="D318" s="150">
        <f t="shared" si="295"/>
        <v>435</v>
      </c>
      <c r="E318" s="107">
        <f t="shared" si="296"/>
        <v>1020</v>
      </c>
      <c r="F318" s="107">
        <v>500</v>
      </c>
      <c r="G318" s="105"/>
      <c r="H318" s="108">
        <f t="shared" si="297"/>
        <v>260</v>
      </c>
      <c r="I318" s="150">
        <f t="shared" si="256"/>
        <v>470</v>
      </c>
      <c r="J318" s="107">
        <f t="shared" si="298"/>
        <v>435</v>
      </c>
      <c r="K318" s="107">
        <f t="shared" si="299"/>
        <v>929</v>
      </c>
      <c r="L318" s="107">
        <v>500</v>
      </c>
      <c r="M318" s="151"/>
      <c r="N318" s="108">
        <f t="shared" si="282"/>
        <v>260</v>
      </c>
      <c r="O318" s="150">
        <f t="shared" si="283"/>
        <v>470</v>
      </c>
      <c r="P318" s="150">
        <f t="shared" si="284"/>
        <v>435</v>
      </c>
      <c r="Q318" s="107">
        <f t="shared" si="300"/>
        <v>1020</v>
      </c>
      <c r="R318" s="107">
        <v>500</v>
      </c>
      <c r="S318" s="122"/>
      <c r="T318" s="108">
        <f t="shared" si="285"/>
        <v>260</v>
      </c>
      <c r="U318" s="150">
        <f t="shared" si="261"/>
        <v>470</v>
      </c>
      <c r="V318" s="150">
        <f t="shared" si="263"/>
        <v>435</v>
      </c>
      <c r="W318" s="107">
        <f t="shared" si="301"/>
        <v>929</v>
      </c>
      <c r="X318" s="107">
        <v>500</v>
      </c>
      <c r="Y318" s="123"/>
      <c r="AA318" s="103"/>
      <c r="AD318" s="104"/>
    </row>
    <row r="319" spans="1:30" x14ac:dyDescent="0.25">
      <c r="AA319" s="111"/>
      <c r="AB319" s="112"/>
      <c r="AC319" s="112"/>
      <c r="AD319" s="113"/>
    </row>
  </sheetData>
  <mergeCells count="182">
    <mergeCell ref="D297:F297"/>
    <mergeCell ref="G297:J297"/>
    <mergeCell ref="D298:F298"/>
    <mergeCell ref="G298:J298"/>
    <mergeCell ref="A300:A302"/>
    <mergeCell ref="B300:M300"/>
    <mergeCell ref="N300:Y300"/>
    <mergeCell ref="B301:G301"/>
    <mergeCell ref="H301:M301"/>
    <mergeCell ref="N301:S301"/>
    <mergeCell ref="T301:Y301"/>
    <mergeCell ref="N274:Y274"/>
    <mergeCell ref="B275:G275"/>
    <mergeCell ref="H275:M275"/>
    <mergeCell ref="N275:S275"/>
    <mergeCell ref="T275:Y275"/>
    <mergeCell ref="D294:J294"/>
    <mergeCell ref="D295:J295"/>
    <mergeCell ref="D296:F296"/>
    <mergeCell ref="G296:J296"/>
    <mergeCell ref="D268:J268"/>
    <mergeCell ref="D269:J269"/>
    <mergeCell ref="D270:F270"/>
    <mergeCell ref="G270:J270"/>
    <mergeCell ref="D271:F271"/>
    <mergeCell ref="G271:J271"/>
    <mergeCell ref="D272:F272"/>
    <mergeCell ref="G272:J272"/>
    <mergeCell ref="A274:A276"/>
    <mergeCell ref="B274:M274"/>
    <mergeCell ref="D243:J243"/>
    <mergeCell ref="D244:J244"/>
    <mergeCell ref="D245:F245"/>
    <mergeCell ref="G245:J245"/>
    <mergeCell ref="D246:F246"/>
    <mergeCell ref="G246:J246"/>
    <mergeCell ref="A248:A250"/>
    <mergeCell ref="B248:K248"/>
    <mergeCell ref="L248:U248"/>
    <mergeCell ref="B249:F249"/>
    <mergeCell ref="G249:K249"/>
    <mergeCell ref="L249:P249"/>
    <mergeCell ref="Q249:U249"/>
    <mergeCell ref="D217:J217"/>
    <mergeCell ref="D218:J218"/>
    <mergeCell ref="D219:F219"/>
    <mergeCell ref="G219:J219"/>
    <mergeCell ref="D220:F220"/>
    <mergeCell ref="G220:J220"/>
    <mergeCell ref="D221:F221"/>
    <mergeCell ref="G221:J221"/>
    <mergeCell ref="A223:A225"/>
    <mergeCell ref="B223:I223"/>
    <mergeCell ref="J223:Q223"/>
    <mergeCell ref="B224:E224"/>
    <mergeCell ref="F224:I224"/>
    <mergeCell ref="J224:M224"/>
    <mergeCell ref="N224:Q224"/>
    <mergeCell ref="D191:J191"/>
    <mergeCell ref="D192:J192"/>
    <mergeCell ref="D193:F193"/>
    <mergeCell ref="G193:J193"/>
    <mergeCell ref="D194:F194"/>
    <mergeCell ref="G194:J194"/>
    <mergeCell ref="D195:F195"/>
    <mergeCell ref="G195:J195"/>
    <mergeCell ref="A197:A199"/>
    <mergeCell ref="B197:I197"/>
    <mergeCell ref="J197:Q197"/>
    <mergeCell ref="B198:E198"/>
    <mergeCell ref="G198:H198"/>
    <mergeCell ref="J198:M198"/>
    <mergeCell ref="N198:O198"/>
    <mergeCell ref="D165:J165"/>
    <mergeCell ref="D166:J166"/>
    <mergeCell ref="D167:F167"/>
    <mergeCell ref="G167:J167"/>
    <mergeCell ref="D168:F168"/>
    <mergeCell ref="G168:J168"/>
    <mergeCell ref="D169:F169"/>
    <mergeCell ref="G169:J169"/>
    <mergeCell ref="A171:A173"/>
    <mergeCell ref="B171:I171"/>
    <mergeCell ref="J171:Q171"/>
    <mergeCell ref="B172:E172"/>
    <mergeCell ref="F172:I172"/>
    <mergeCell ref="J172:M172"/>
    <mergeCell ref="N172:Q172"/>
    <mergeCell ref="D139:J139"/>
    <mergeCell ref="D140:J140"/>
    <mergeCell ref="D141:F141"/>
    <mergeCell ref="G141:J141"/>
    <mergeCell ref="D142:F142"/>
    <mergeCell ref="G142:J142"/>
    <mergeCell ref="D143:F143"/>
    <mergeCell ref="G143:J143"/>
    <mergeCell ref="A145:A147"/>
    <mergeCell ref="B145:I145"/>
    <mergeCell ref="J145:Q145"/>
    <mergeCell ref="B146:E146"/>
    <mergeCell ref="F146:I146"/>
    <mergeCell ref="J146:M146"/>
    <mergeCell ref="N146:Q146"/>
    <mergeCell ref="D113:J113"/>
    <mergeCell ref="D114:J114"/>
    <mergeCell ref="D115:F115"/>
    <mergeCell ref="G115:J115"/>
    <mergeCell ref="D116:F116"/>
    <mergeCell ref="G116:J116"/>
    <mergeCell ref="D117:F117"/>
    <mergeCell ref="G117:J117"/>
    <mergeCell ref="A119:A121"/>
    <mergeCell ref="B119:I119"/>
    <mergeCell ref="J119:Q119"/>
    <mergeCell ref="B120:E120"/>
    <mergeCell ref="F120:I120"/>
    <mergeCell ref="J120:M120"/>
    <mergeCell ref="N120:Q120"/>
    <mergeCell ref="D88:J88"/>
    <mergeCell ref="D89:J89"/>
    <mergeCell ref="D90:F90"/>
    <mergeCell ref="G90:J90"/>
    <mergeCell ref="D91:F91"/>
    <mergeCell ref="G91:J91"/>
    <mergeCell ref="B93:G93"/>
    <mergeCell ref="H93:K93"/>
    <mergeCell ref="B94:D94"/>
    <mergeCell ref="E94:G94"/>
    <mergeCell ref="H94:J94"/>
    <mergeCell ref="K94:M94"/>
    <mergeCell ref="D66:F66"/>
    <mergeCell ref="G66:J66"/>
    <mergeCell ref="A68:A70"/>
    <mergeCell ref="B68:G68"/>
    <mergeCell ref="H68:M68"/>
    <mergeCell ref="B69:D69"/>
    <mergeCell ref="E69:G69"/>
    <mergeCell ref="H69:J69"/>
    <mergeCell ref="K69:M69"/>
    <mergeCell ref="D63:J63"/>
    <mergeCell ref="D64:J64"/>
    <mergeCell ref="D65:F65"/>
    <mergeCell ref="G65:J65"/>
    <mergeCell ref="D37:J37"/>
    <mergeCell ref="D38:J38"/>
    <mergeCell ref="A34:Y34"/>
    <mergeCell ref="D36:J36"/>
    <mergeCell ref="D39:F39"/>
    <mergeCell ref="G39:J39"/>
    <mergeCell ref="A41:A43"/>
    <mergeCell ref="B41:M41"/>
    <mergeCell ref="N41:Y41"/>
    <mergeCell ref="B42:G42"/>
    <mergeCell ref="H42:M42"/>
    <mergeCell ref="N42:S42"/>
    <mergeCell ref="T42:Y42"/>
    <mergeCell ref="D43:F43"/>
    <mergeCell ref="J43:L43"/>
    <mergeCell ref="P43:R43"/>
    <mergeCell ref="V43:X43"/>
    <mergeCell ref="A28:A31"/>
    <mergeCell ref="B28:N28"/>
    <mergeCell ref="B29:N29"/>
    <mergeCell ref="B30:N30"/>
    <mergeCell ref="B31:N31"/>
    <mergeCell ref="A1:Y1"/>
    <mergeCell ref="D3:J3"/>
    <mergeCell ref="D4:J4"/>
    <mergeCell ref="D5:J5"/>
    <mergeCell ref="D6:F6"/>
    <mergeCell ref="G6:J6"/>
    <mergeCell ref="A8:A10"/>
    <mergeCell ref="B8:M8"/>
    <mergeCell ref="N8:Y8"/>
    <mergeCell ref="B9:G9"/>
    <mergeCell ref="H9:M9"/>
    <mergeCell ref="N9:S9"/>
    <mergeCell ref="T9:Y9"/>
    <mergeCell ref="D10:F10"/>
    <mergeCell ref="J10:L10"/>
    <mergeCell ref="P10:R10"/>
    <mergeCell ref="V10:X1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J209"/>
  <sheetViews>
    <sheetView workbookViewId="0">
      <selection activeCell="B20" sqref="B20"/>
    </sheetView>
  </sheetViews>
  <sheetFormatPr defaultRowHeight="15" x14ac:dyDescent="0.25"/>
  <cols>
    <col min="1" max="1" width="24.42578125" style="127" bestFit="1" customWidth="1"/>
    <col min="2" max="2" width="7.140625" style="99" customWidth="1"/>
    <col min="3" max="3" width="7" style="99" customWidth="1"/>
    <col min="4" max="4" width="12.42578125" style="99" customWidth="1"/>
    <col min="5" max="5" width="8.7109375" style="99" customWidth="1"/>
    <col min="6" max="6" width="9.140625" style="99" customWidth="1"/>
    <col min="7" max="7" width="9.140625" style="99" bestFit="1" customWidth="1"/>
    <col min="8" max="8" width="6.7109375" style="99" bestFit="1" customWidth="1"/>
    <col min="9" max="9" width="9.140625" style="99" bestFit="1" customWidth="1"/>
    <col min="10" max="10" width="10.7109375" style="99" bestFit="1" customWidth="1"/>
    <col min="11" max="11" width="7.42578125" style="99" bestFit="1" customWidth="1"/>
    <col min="12" max="12" width="10.140625" style="99" customWidth="1"/>
    <col min="13" max="13" width="9.140625" style="99" bestFit="1" customWidth="1"/>
    <col min="14" max="15" width="6.7109375" style="99" bestFit="1" customWidth="1"/>
    <col min="16" max="16" width="7.85546875" style="99" bestFit="1" customWidth="1"/>
    <col min="17" max="17" width="9.140625" style="99"/>
    <col min="18" max="18" width="9.28515625" style="99" customWidth="1"/>
    <col min="19" max="19" width="9.140625" style="99"/>
    <col min="20" max="20" width="6.140625" style="99" bestFit="1" customWidth="1"/>
    <col min="21" max="21" width="9.140625" style="99"/>
    <col min="22" max="22" width="7.85546875" style="99" bestFit="1" customWidth="1"/>
    <col min="23" max="23" width="7.42578125" style="99" bestFit="1" customWidth="1"/>
    <col min="24" max="25" width="9.140625" style="99" customWidth="1"/>
    <col min="26" max="16384" width="9.140625" style="99"/>
  </cols>
  <sheetData>
    <row r="1" spans="1:36" ht="18.75" customHeight="1" x14ac:dyDescent="0.25">
      <c r="A1" s="222" t="s">
        <v>44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4"/>
    </row>
    <row r="3" spans="1:36" ht="18.75" x14ac:dyDescent="0.25">
      <c r="D3" s="199" t="s">
        <v>0</v>
      </c>
      <c r="E3" s="199"/>
      <c r="F3" s="199"/>
      <c r="G3" s="199"/>
      <c r="H3" s="199"/>
      <c r="I3" s="199"/>
      <c r="J3" s="199"/>
    </row>
    <row r="4" spans="1:36" ht="18.75" x14ac:dyDescent="0.25">
      <c r="D4" s="199" t="s">
        <v>1</v>
      </c>
      <c r="E4" s="199"/>
      <c r="F4" s="199"/>
      <c r="G4" s="199"/>
      <c r="H4" s="199"/>
      <c r="I4" s="199"/>
      <c r="J4" s="199"/>
    </row>
    <row r="5" spans="1:36" x14ac:dyDescent="0.25">
      <c r="D5" s="200" t="s">
        <v>2</v>
      </c>
      <c r="E5" s="201"/>
      <c r="F5" s="201"/>
      <c r="G5" s="201"/>
      <c r="H5" s="201"/>
      <c r="I5" s="201"/>
      <c r="J5" s="202"/>
    </row>
    <row r="6" spans="1:36" x14ac:dyDescent="0.25">
      <c r="D6" s="200" t="s">
        <v>3</v>
      </c>
      <c r="E6" s="201"/>
      <c r="F6" s="202"/>
      <c r="G6" s="200" t="s">
        <v>4</v>
      </c>
      <c r="H6" s="201"/>
      <c r="I6" s="201"/>
      <c r="J6" s="202"/>
    </row>
    <row r="8" spans="1:36" x14ac:dyDescent="0.25">
      <c r="A8" s="203" t="s">
        <v>5</v>
      </c>
      <c r="B8" s="203" t="s">
        <v>6</v>
      </c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 t="s">
        <v>7</v>
      </c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</row>
    <row r="9" spans="1:36" x14ac:dyDescent="0.25">
      <c r="A9" s="203"/>
      <c r="B9" s="203" t="s">
        <v>8</v>
      </c>
      <c r="C9" s="203"/>
      <c r="D9" s="203"/>
      <c r="E9" s="203"/>
      <c r="F9" s="203"/>
      <c r="G9" s="203"/>
      <c r="H9" s="203" t="s">
        <v>9</v>
      </c>
      <c r="I9" s="203"/>
      <c r="J9" s="203"/>
      <c r="K9" s="203"/>
      <c r="L9" s="203"/>
      <c r="M9" s="203"/>
      <c r="N9" s="203" t="s">
        <v>8</v>
      </c>
      <c r="O9" s="203"/>
      <c r="P9" s="203"/>
      <c r="Q9" s="203"/>
      <c r="R9" s="203"/>
      <c r="S9" s="203"/>
      <c r="T9" s="203" t="s">
        <v>9</v>
      </c>
      <c r="U9" s="203"/>
      <c r="V9" s="203"/>
      <c r="W9" s="203"/>
      <c r="X9" s="203"/>
      <c r="Y9" s="203"/>
    </row>
    <row r="10" spans="1:36" s="127" customFormat="1" ht="30" x14ac:dyDescent="0.25">
      <c r="A10" s="203"/>
      <c r="B10" s="135" t="s">
        <v>10</v>
      </c>
      <c r="C10" s="135" t="s">
        <v>11</v>
      </c>
      <c r="D10" s="203" t="s">
        <v>12</v>
      </c>
      <c r="E10" s="203"/>
      <c r="F10" s="203"/>
      <c r="G10" s="136" t="s">
        <v>13</v>
      </c>
      <c r="H10" s="135" t="s">
        <v>10</v>
      </c>
      <c r="I10" s="135" t="s">
        <v>11</v>
      </c>
      <c r="J10" s="203" t="s">
        <v>12</v>
      </c>
      <c r="K10" s="203"/>
      <c r="L10" s="203"/>
      <c r="M10" s="136" t="s">
        <v>13</v>
      </c>
      <c r="N10" s="135" t="s">
        <v>10</v>
      </c>
      <c r="O10" s="135" t="s">
        <v>11</v>
      </c>
      <c r="P10" s="203" t="s">
        <v>12</v>
      </c>
      <c r="Q10" s="203"/>
      <c r="R10" s="203"/>
      <c r="S10" s="136" t="s">
        <v>13</v>
      </c>
      <c r="T10" s="135" t="s">
        <v>10</v>
      </c>
      <c r="U10" s="135" t="s">
        <v>11</v>
      </c>
      <c r="V10" s="203" t="s">
        <v>12</v>
      </c>
      <c r="W10" s="203"/>
      <c r="X10" s="203"/>
      <c r="Y10" s="136" t="s">
        <v>13</v>
      </c>
    </row>
    <row r="11" spans="1:36" ht="30" x14ac:dyDescent="0.25">
      <c r="A11" s="107"/>
      <c r="B11" s="105"/>
      <c r="C11" s="105"/>
      <c r="D11" s="108" t="s">
        <v>14</v>
      </c>
      <c r="E11" s="108" t="s">
        <v>15</v>
      </c>
      <c r="F11" s="108" t="s">
        <v>16</v>
      </c>
      <c r="G11" s="106"/>
      <c r="H11" s="105"/>
      <c r="I11" s="105"/>
      <c r="J11" s="108" t="s">
        <v>14</v>
      </c>
      <c r="K11" s="108" t="s">
        <v>15</v>
      </c>
      <c r="L11" s="108" t="s">
        <v>16</v>
      </c>
      <c r="M11" s="106"/>
      <c r="N11" s="105"/>
      <c r="O11" s="105"/>
      <c r="P11" s="108" t="s">
        <v>14</v>
      </c>
      <c r="Q11" s="108" t="s">
        <v>15</v>
      </c>
      <c r="R11" s="108" t="s">
        <v>16</v>
      </c>
      <c r="S11" s="106"/>
      <c r="T11" s="105"/>
      <c r="U11" s="105"/>
      <c r="V11" s="108" t="s">
        <v>14</v>
      </c>
      <c r="W11" s="108" t="s">
        <v>15</v>
      </c>
      <c r="X11" s="108" t="s">
        <v>16</v>
      </c>
      <c r="Y11" s="106"/>
      <c r="AA11" s="103"/>
      <c r="AJ11" s="104"/>
    </row>
    <row r="12" spans="1:36" x14ac:dyDescent="0.25">
      <c r="A12" s="107">
        <v>160</v>
      </c>
      <c r="B12" s="105"/>
      <c r="C12" s="105"/>
      <c r="D12" s="108"/>
      <c r="E12" s="108"/>
      <c r="F12" s="108"/>
      <c r="G12" s="106"/>
      <c r="H12" s="105"/>
      <c r="I12" s="105"/>
      <c r="J12" s="108"/>
      <c r="K12" s="108"/>
      <c r="L12" s="108"/>
      <c r="M12" s="106"/>
      <c r="N12" s="105"/>
      <c r="O12" s="105"/>
      <c r="P12" s="108"/>
      <c r="Q12" s="108"/>
      <c r="R12" s="108"/>
      <c r="S12" s="106"/>
      <c r="T12" s="105"/>
      <c r="U12" s="105"/>
      <c r="V12" s="108"/>
      <c r="W12" s="108"/>
      <c r="X12" s="108"/>
      <c r="Y12" s="106"/>
      <c r="AA12" s="103"/>
      <c r="AJ12" s="104"/>
    </row>
    <row r="13" spans="1:36" x14ac:dyDescent="0.25">
      <c r="A13" s="107">
        <v>250</v>
      </c>
      <c r="B13" s="105"/>
      <c r="C13" s="105"/>
      <c r="D13" s="108"/>
      <c r="E13" s="108"/>
      <c r="F13" s="108"/>
      <c r="G13" s="106"/>
      <c r="H13" s="105"/>
      <c r="I13" s="105"/>
      <c r="J13" s="108"/>
      <c r="K13" s="108"/>
      <c r="L13" s="108"/>
      <c r="M13" s="106"/>
      <c r="N13" s="105"/>
      <c r="O13" s="105"/>
      <c r="P13" s="108"/>
      <c r="Q13" s="108"/>
      <c r="R13" s="108"/>
      <c r="S13" s="106"/>
      <c r="T13" s="105"/>
      <c r="U13" s="105"/>
      <c r="V13" s="108"/>
      <c r="W13" s="108"/>
      <c r="X13" s="108"/>
      <c r="Y13" s="106"/>
      <c r="AA13" s="103"/>
      <c r="AJ13" s="104"/>
    </row>
    <row r="14" spans="1:36" x14ac:dyDescent="0.25">
      <c r="A14" s="107">
        <v>400</v>
      </c>
      <c r="B14" s="105"/>
      <c r="C14" s="105"/>
      <c r="D14" s="108"/>
      <c r="E14" s="108"/>
      <c r="F14" s="108"/>
      <c r="G14" s="106"/>
      <c r="H14" s="105"/>
      <c r="I14" s="105"/>
      <c r="J14" s="108"/>
      <c r="K14" s="108"/>
      <c r="L14" s="108"/>
      <c r="M14" s="106"/>
      <c r="N14" s="105"/>
      <c r="O14" s="105"/>
      <c r="P14" s="108"/>
      <c r="Q14" s="108"/>
      <c r="R14" s="108"/>
      <c r="S14" s="106"/>
      <c r="T14" s="105"/>
      <c r="U14" s="105"/>
      <c r="V14" s="108"/>
      <c r="W14" s="108"/>
      <c r="X14" s="108"/>
      <c r="Y14" s="106"/>
      <c r="AA14" s="103"/>
      <c r="AJ14" s="104"/>
    </row>
    <row r="15" spans="1:36" x14ac:dyDescent="0.25">
      <c r="A15" s="107">
        <v>630</v>
      </c>
      <c r="B15" s="105">
        <f t="shared" ref="B15:B20" si="0">E15+16.5+16.5+6</f>
        <v>89</v>
      </c>
      <c r="C15" s="105">
        <f>'Стандартные размеры KLM-S'!C17</f>
        <v>140</v>
      </c>
      <c r="D15" s="107">
        <v>1</v>
      </c>
      <c r="E15" s="108">
        <f>'Стандартные размеры KLM-S'!E17</f>
        <v>50</v>
      </c>
      <c r="F15" s="108">
        <f>'Стандартные размеры KLM-S'!F17</f>
        <v>6</v>
      </c>
      <c r="G15" s="109">
        <v>23.2</v>
      </c>
      <c r="H15" s="105">
        <f t="shared" ref="H15:H21" si="1">K15+16.5+16.5+6</f>
        <v>79</v>
      </c>
      <c r="I15" s="105">
        <f t="shared" ref="I15:I58" si="2">C15</f>
        <v>140</v>
      </c>
      <c r="J15" s="105">
        <v>1</v>
      </c>
      <c r="K15" s="110">
        <f>'[1]Стандартные размеры'!K18</f>
        <v>40</v>
      </c>
      <c r="L15" s="105">
        <v>6</v>
      </c>
      <c r="M15" s="105">
        <v>28.9</v>
      </c>
      <c r="N15" s="105">
        <f t="shared" ref="N15:P25" si="3">B15</f>
        <v>89</v>
      </c>
      <c r="O15" s="105">
        <f>C15</f>
        <v>140</v>
      </c>
      <c r="P15" s="107">
        <v>1</v>
      </c>
      <c r="Q15" s="107">
        <f t="shared" ref="Q15:R25" si="4">E15</f>
        <v>50</v>
      </c>
      <c r="R15" s="107">
        <f>F15</f>
        <v>6</v>
      </c>
      <c r="S15" s="105">
        <v>25.2</v>
      </c>
      <c r="T15" s="105">
        <f t="shared" ref="T15:T25" si="5">H15</f>
        <v>79</v>
      </c>
      <c r="U15" s="105">
        <f t="shared" ref="U15:U25" si="6">C15</f>
        <v>140</v>
      </c>
      <c r="V15" s="105">
        <v>1</v>
      </c>
      <c r="W15" s="105">
        <f t="shared" ref="W15:X25" si="7">K15</f>
        <v>40</v>
      </c>
      <c r="X15" s="105">
        <f>L15</f>
        <v>6</v>
      </c>
      <c r="Y15" s="105">
        <v>32.700000000000003</v>
      </c>
      <c r="AA15" s="103"/>
      <c r="AJ15" s="104"/>
    </row>
    <row r="16" spans="1:36" x14ac:dyDescent="0.25">
      <c r="A16" s="107">
        <v>800</v>
      </c>
      <c r="B16" s="105">
        <f t="shared" si="0"/>
        <v>104</v>
      </c>
      <c r="C16" s="105">
        <f>'Стандартные размеры KLM-S'!C18</f>
        <v>140</v>
      </c>
      <c r="D16" s="107">
        <v>1</v>
      </c>
      <c r="E16" s="108">
        <f>'Стандартные размеры KLM-S'!E18</f>
        <v>65</v>
      </c>
      <c r="F16" s="108">
        <f>'Стандартные размеры KLM-S'!F18</f>
        <v>6</v>
      </c>
      <c r="G16" s="109">
        <v>24</v>
      </c>
      <c r="H16" s="105">
        <f t="shared" si="1"/>
        <v>99</v>
      </c>
      <c r="I16" s="105">
        <f t="shared" si="2"/>
        <v>140</v>
      </c>
      <c r="J16" s="105">
        <v>1</v>
      </c>
      <c r="K16" s="110">
        <f>'[1]Стандартные размеры'!K19</f>
        <v>60</v>
      </c>
      <c r="L16" s="105">
        <f t="shared" ref="L16:L25" si="8">L15</f>
        <v>6</v>
      </c>
      <c r="M16" s="109">
        <v>31</v>
      </c>
      <c r="N16" s="105">
        <f t="shared" si="3"/>
        <v>104</v>
      </c>
      <c r="O16" s="105">
        <f t="shared" si="3"/>
        <v>140</v>
      </c>
      <c r="P16" s="107">
        <v>1</v>
      </c>
      <c r="Q16" s="107">
        <f t="shared" si="4"/>
        <v>65</v>
      </c>
      <c r="R16" s="107">
        <f t="shared" si="4"/>
        <v>6</v>
      </c>
      <c r="S16" s="109">
        <v>26.3</v>
      </c>
      <c r="T16" s="105">
        <f t="shared" si="5"/>
        <v>99</v>
      </c>
      <c r="U16" s="105">
        <f t="shared" si="6"/>
        <v>140</v>
      </c>
      <c r="V16" s="105">
        <v>1</v>
      </c>
      <c r="W16" s="105">
        <f t="shared" si="7"/>
        <v>60</v>
      </c>
      <c r="X16" s="105">
        <f t="shared" si="7"/>
        <v>6</v>
      </c>
      <c r="Y16" s="105">
        <v>35.5</v>
      </c>
      <c r="AA16" s="103"/>
      <c r="AJ16" s="104"/>
    </row>
    <row r="17" spans="1:36" x14ac:dyDescent="0.25">
      <c r="A17" s="107">
        <v>1000</v>
      </c>
      <c r="B17" s="105">
        <f t="shared" si="0"/>
        <v>139</v>
      </c>
      <c r="C17" s="105">
        <f>'Стандартные размеры KLM-S'!C19</f>
        <v>140</v>
      </c>
      <c r="D17" s="107">
        <v>1</v>
      </c>
      <c r="E17" s="108">
        <f>'Стандартные размеры KLM-S'!E19</f>
        <v>100</v>
      </c>
      <c r="F17" s="108">
        <f>'Стандартные размеры KLM-S'!F19</f>
        <v>6</v>
      </c>
      <c r="G17" s="109">
        <v>26.3</v>
      </c>
      <c r="H17" s="105">
        <f t="shared" si="1"/>
        <v>104</v>
      </c>
      <c r="I17" s="105">
        <f t="shared" si="2"/>
        <v>140</v>
      </c>
      <c r="J17" s="105">
        <v>1</v>
      </c>
      <c r="K17" s="110">
        <f>'[1]Стандартные размеры'!K20</f>
        <v>65</v>
      </c>
      <c r="L17" s="105">
        <f t="shared" si="8"/>
        <v>6</v>
      </c>
      <c r="M17" s="105">
        <v>32.5</v>
      </c>
      <c r="N17" s="105">
        <f t="shared" si="3"/>
        <v>139</v>
      </c>
      <c r="O17" s="105">
        <f t="shared" si="3"/>
        <v>140</v>
      </c>
      <c r="P17" s="107">
        <v>1</v>
      </c>
      <c r="Q17" s="107">
        <f t="shared" si="4"/>
        <v>100</v>
      </c>
      <c r="R17" s="107">
        <f t="shared" si="4"/>
        <v>6</v>
      </c>
      <c r="S17" s="109">
        <v>28</v>
      </c>
      <c r="T17" s="105">
        <f t="shared" si="5"/>
        <v>104</v>
      </c>
      <c r="U17" s="105">
        <f t="shared" si="6"/>
        <v>140</v>
      </c>
      <c r="V17" s="105">
        <v>1</v>
      </c>
      <c r="W17" s="105">
        <f t="shared" si="7"/>
        <v>65</v>
      </c>
      <c r="X17" s="105">
        <f t="shared" si="7"/>
        <v>6</v>
      </c>
      <c r="Y17" s="105">
        <v>36.9</v>
      </c>
      <c r="AA17" s="103"/>
      <c r="AJ17" s="104"/>
    </row>
    <row r="18" spans="1:36" x14ac:dyDescent="0.25">
      <c r="A18" s="107">
        <v>1250</v>
      </c>
      <c r="B18" s="105">
        <f t="shared" si="0"/>
        <v>169</v>
      </c>
      <c r="C18" s="105">
        <f>'Стандартные размеры KLM-S'!C20</f>
        <v>140</v>
      </c>
      <c r="D18" s="107">
        <v>1</v>
      </c>
      <c r="E18" s="108">
        <f>'Стандартные размеры KLM-S'!E20</f>
        <v>130</v>
      </c>
      <c r="F18" s="108">
        <f>'Стандартные размеры KLM-S'!F20</f>
        <v>6</v>
      </c>
      <c r="G18" s="109">
        <v>30.8</v>
      </c>
      <c r="H18" s="105">
        <f t="shared" si="1"/>
        <v>119</v>
      </c>
      <c r="I18" s="105">
        <f t="shared" si="2"/>
        <v>140</v>
      </c>
      <c r="J18" s="105">
        <v>1</v>
      </c>
      <c r="K18" s="110">
        <f>'[1]Стандартные размеры'!K21</f>
        <v>80</v>
      </c>
      <c r="L18" s="105">
        <f t="shared" si="8"/>
        <v>6</v>
      </c>
      <c r="M18" s="109">
        <v>34.299999999999997</v>
      </c>
      <c r="N18" s="105">
        <f t="shared" si="3"/>
        <v>169</v>
      </c>
      <c r="O18" s="105">
        <f t="shared" si="3"/>
        <v>140</v>
      </c>
      <c r="P18" s="107">
        <v>1</v>
      </c>
      <c r="Q18" s="107">
        <f t="shared" si="4"/>
        <v>130</v>
      </c>
      <c r="R18" s="107">
        <f t="shared" si="4"/>
        <v>6</v>
      </c>
      <c r="S18" s="109">
        <v>33.299999999999997</v>
      </c>
      <c r="T18" s="105">
        <f t="shared" si="5"/>
        <v>119</v>
      </c>
      <c r="U18" s="105">
        <f t="shared" si="6"/>
        <v>140</v>
      </c>
      <c r="V18" s="105">
        <v>1</v>
      </c>
      <c r="W18" s="105">
        <f t="shared" si="7"/>
        <v>80</v>
      </c>
      <c r="X18" s="105">
        <f t="shared" si="7"/>
        <v>6</v>
      </c>
      <c r="Y18" s="105">
        <v>38.700000000000003</v>
      </c>
      <c r="AA18" s="103"/>
      <c r="AJ18" s="104"/>
    </row>
    <row r="19" spans="1:36" x14ac:dyDescent="0.25">
      <c r="A19" s="107">
        <v>1600</v>
      </c>
      <c r="B19" s="105">
        <f>E19+16.5+16.5+6</f>
        <v>199</v>
      </c>
      <c r="C19" s="105">
        <f>'Стандартные размеры KLM-S'!C21</f>
        <v>140</v>
      </c>
      <c r="D19" s="107">
        <v>1</v>
      </c>
      <c r="E19" s="108">
        <f>'Стандартные размеры KLM-S'!E21</f>
        <v>160</v>
      </c>
      <c r="F19" s="108">
        <f>'Стандартные размеры KLM-S'!F21</f>
        <v>6</v>
      </c>
      <c r="G19" s="109">
        <v>35.299999999999997</v>
      </c>
      <c r="H19" s="105">
        <f t="shared" si="1"/>
        <v>139</v>
      </c>
      <c r="I19" s="105">
        <f t="shared" si="2"/>
        <v>140</v>
      </c>
      <c r="J19" s="105">
        <v>1</v>
      </c>
      <c r="K19" s="110">
        <f>'[1]Стандартные размеры'!K22</f>
        <v>100</v>
      </c>
      <c r="L19" s="105">
        <f t="shared" si="8"/>
        <v>6</v>
      </c>
      <c r="M19" s="109">
        <v>43</v>
      </c>
      <c r="N19" s="105">
        <f t="shared" si="3"/>
        <v>199</v>
      </c>
      <c r="O19" s="105">
        <f t="shared" si="3"/>
        <v>140</v>
      </c>
      <c r="P19" s="107">
        <v>1</v>
      </c>
      <c r="Q19" s="107">
        <f t="shared" si="4"/>
        <v>160</v>
      </c>
      <c r="R19" s="107">
        <f t="shared" si="4"/>
        <v>6</v>
      </c>
      <c r="S19" s="109">
        <v>36.700000000000003</v>
      </c>
      <c r="T19" s="105">
        <f t="shared" si="5"/>
        <v>139</v>
      </c>
      <c r="U19" s="105">
        <f t="shared" si="6"/>
        <v>140</v>
      </c>
      <c r="V19" s="105">
        <v>1</v>
      </c>
      <c r="W19" s="105">
        <f t="shared" si="7"/>
        <v>100</v>
      </c>
      <c r="X19" s="105">
        <f t="shared" si="7"/>
        <v>6</v>
      </c>
      <c r="Y19" s="105">
        <v>49</v>
      </c>
      <c r="AA19" s="103"/>
      <c r="AJ19" s="104"/>
    </row>
    <row r="20" spans="1:36" x14ac:dyDescent="0.25">
      <c r="A20" s="107">
        <v>2000</v>
      </c>
      <c r="B20" s="105">
        <f t="shared" si="0"/>
        <v>239</v>
      </c>
      <c r="C20" s="105">
        <f>'Стандартные размеры KLM-S'!C22</f>
        <v>140</v>
      </c>
      <c r="D20" s="107">
        <v>1</v>
      </c>
      <c r="E20" s="108">
        <f>'Стандартные размеры KLM-S'!E22</f>
        <v>200</v>
      </c>
      <c r="F20" s="108">
        <f>'Стандартные размеры KLM-S'!F22</f>
        <v>6</v>
      </c>
      <c r="G20" s="109">
        <v>41.3</v>
      </c>
      <c r="H20" s="105">
        <f t="shared" si="1"/>
        <v>199</v>
      </c>
      <c r="I20" s="105">
        <f t="shared" si="2"/>
        <v>140</v>
      </c>
      <c r="J20" s="105">
        <v>1</v>
      </c>
      <c r="K20" s="110">
        <f>'[1]Стандартные размеры'!K23</f>
        <v>160</v>
      </c>
      <c r="L20" s="105">
        <f t="shared" si="8"/>
        <v>6</v>
      </c>
      <c r="M20" s="105">
        <v>53.3</v>
      </c>
      <c r="N20" s="105">
        <f t="shared" si="3"/>
        <v>239</v>
      </c>
      <c r="O20" s="105">
        <f t="shared" si="3"/>
        <v>140</v>
      </c>
      <c r="P20" s="107">
        <v>1</v>
      </c>
      <c r="Q20" s="107">
        <f t="shared" si="4"/>
        <v>200</v>
      </c>
      <c r="R20" s="107">
        <f t="shared" si="4"/>
        <v>6</v>
      </c>
      <c r="S20" s="109">
        <v>46.7</v>
      </c>
      <c r="T20" s="105">
        <f t="shared" si="5"/>
        <v>199</v>
      </c>
      <c r="U20" s="105">
        <f t="shared" si="6"/>
        <v>140</v>
      </c>
      <c r="V20" s="105">
        <v>1</v>
      </c>
      <c r="W20" s="105">
        <f t="shared" si="7"/>
        <v>160</v>
      </c>
      <c r="X20" s="105">
        <f t="shared" si="7"/>
        <v>6</v>
      </c>
      <c r="Y20" s="105">
        <v>61.3</v>
      </c>
      <c r="AA20" s="103"/>
      <c r="AJ20" s="104"/>
    </row>
    <row r="21" spans="1:36" x14ac:dyDescent="0.25">
      <c r="A21" s="107">
        <v>2500</v>
      </c>
      <c r="B21" s="105">
        <f t="shared" ref="B21:B23" si="9">(E21*D21)+(16.5*4)+(3*4)+15</f>
        <v>353</v>
      </c>
      <c r="C21" s="105">
        <f>'Стандартные размеры KLM-S'!C23</f>
        <v>140</v>
      </c>
      <c r="D21" s="107">
        <v>2</v>
      </c>
      <c r="E21" s="108">
        <f>'Стандартные размеры KLM-S'!E23</f>
        <v>130</v>
      </c>
      <c r="F21" s="108">
        <f>'Стандартные размеры KLM-S'!F23</f>
        <v>6</v>
      </c>
      <c r="G21" s="109">
        <v>55.3</v>
      </c>
      <c r="H21" s="105">
        <f t="shared" si="1"/>
        <v>239</v>
      </c>
      <c r="I21" s="105">
        <f t="shared" si="2"/>
        <v>140</v>
      </c>
      <c r="J21" s="105">
        <v>1</v>
      </c>
      <c r="K21" s="110">
        <f>'[1]Стандартные размеры'!K24</f>
        <v>200</v>
      </c>
      <c r="L21" s="105">
        <f t="shared" si="8"/>
        <v>6</v>
      </c>
      <c r="M21" s="105">
        <v>62.7</v>
      </c>
      <c r="N21" s="105">
        <f t="shared" si="3"/>
        <v>353</v>
      </c>
      <c r="O21" s="105">
        <f t="shared" si="3"/>
        <v>140</v>
      </c>
      <c r="P21" s="107">
        <f t="shared" ref="P21:P22" si="10">D21</f>
        <v>2</v>
      </c>
      <c r="Q21" s="107">
        <f t="shared" si="4"/>
        <v>130</v>
      </c>
      <c r="R21" s="107">
        <f t="shared" si="4"/>
        <v>6</v>
      </c>
      <c r="S21" s="109">
        <v>61.7</v>
      </c>
      <c r="T21" s="105">
        <f t="shared" si="5"/>
        <v>239</v>
      </c>
      <c r="U21" s="105">
        <f t="shared" si="6"/>
        <v>140</v>
      </c>
      <c r="V21" s="105">
        <v>1</v>
      </c>
      <c r="W21" s="105">
        <f t="shared" si="7"/>
        <v>200</v>
      </c>
      <c r="X21" s="105">
        <f t="shared" si="7"/>
        <v>6</v>
      </c>
      <c r="Y21" s="109">
        <v>72.7</v>
      </c>
      <c r="AA21" s="103"/>
      <c r="AJ21" s="104"/>
    </row>
    <row r="22" spans="1:36" x14ac:dyDescent="0.25">
      <c r="A22" s="107">
        <v>3200</v>
      </c>
      <c r="B22" s="105">
        <f t="shared" si="9"/>
        <v>413</v>
      </c>
      <c r="C22" s="105">
        <f>'Стандартные размеры KLM-S'!C24</f>
        <v>140</v>
      </c>
      <c r="D22" s="107">
        <v>2</v>
      </c>
      <c r="E22" s="108">
        <f>'Стандартные размеры KLM-S'!E24</f>
        <v>160</v>
      </c>
      <c r="F22" s="108">
        <f>'Стандартные размеры KLM-S'!F24</f>
        <v>6</v>
      </c>
      <c r="G22" s="109">
        <v>66.2</v>
      </c>
      <c r="H22" s="105">
        <f t="shared" ref="H22:H24" si="11">(K22*J22)+(16.5*4)+(3*4)+15</f>
        <v>353</v>
      </c>
      <c r="I22" s="105">
        <f t="shared" si="2"/>
        <v>140</v>
      </c>
      <c r="J22" s="105">
        <v>2</v>
      </c>
      <c r="K22" s="110">
        <f>'[1]Стандартные размеры'!K25</f>
        <v>130</v>
      </c>
      <c r="L22" s="105">
        <f t="shared" si="8"/>
        <v>6</v>
      </c>
      <c r="M22" s="109">
        <v>90</v>
      </c>
      <c r="N22" s="105">
        <f t="shared" si="3"/>
        <v>413</v>
      </c>
      <c r="O22" s="105">
        <f t="shared" si="3"/>
        <v>140</v>
      </c>
      <c r="P22" s="107">
        <f t="shared" si="10"/>
        <v>2</v>
      </c>
      <c r="Q22" s="107">
        <f t="shared" si="4"/>
        <v>160</v>
      </c>
      <c r="R22" s="107">
        <f t="shared" si="4"/>
        <v>6</v>
      </c>
      <c r="S22" s="109">
        <v>70.3</v>
      </c>
      <c r="T22" s="105">
        <f t="shared" si="5"/>
        <v>353</v>
      </c>
      <c r="U22" s="105">
        <f t="shared" si="6"/>
        <v>140</v>
      </c>
      <c r="V22" s="105">
        <f t="shared" ref="V22:V25" si="12">J22</f>
        <v>2</v>
      </c>
      <c r="W22" s="105">
        <f t="shared" si="7"/>
        <v>130</v>
      </c>
      <c r="X22" s="105">
        <f t="shared" si="7"/>
        <v>6</v>
      </c>
      <c r="Y22" s="109">
        <v>100</v>
      </c>
      <c r="AA22" s="103"/>
      <c r="AJ22" s="104"/>
    </row>
    <row r="23" spans="1:36" x14ac:dyDescent="0.25">
      <c r="A23" s="107">
        <v>4000</v>
      </c>
      <c r="B23" s="105">
        <f t="shared" si="9"/>
        <v>493</v>
      </c>
      <c r="C23" s="105">
        <f>'Стандартные размеры KLM-S'!C25</f>
        <v>140</v>
      </c>
      <c r="D23" s="107">
        <v>2</v>
      </c>
      <c r="E23" s="108">
        <f>'Стандартные размеры KLM-S'!E25</f>
        <v>200</v>
      </c>
      <c r="F23" s="108">
        <f>'Стандартные размеры KLM-S'!F25</f>
        <v>6</v>
      </c>
      <c r="G23" s="109">
        <v>80.5</v>
      </c>
      <c r="H23" s="105">
        <f t="shared" si="11"/>
        <v>413</v>
      </c>
      <c r="I23" s="105">
        <f t="shared" si="2"/>
        <v>140</v>
      </c>
      <c r="J23" s="105">
        <v>2</v>
      </c>
      <c r="K23" s="110">
        <f>'[1]Стандартные размеры'!K26</f>
        <v>160</v>
      </c>
      <c r="L23" s="105">
        <f t="shared" si="8"/>
        <v>6</v>
      </c>
      <c r="M23" s="105">
        <v>122.7</v>
      </c>
      <c r="N23" s="105">
        <f t="shared" si="3"/>
        <v>493</v>
      </c>
      <c r="O23" s="105">
        <f t="shared" si="3"/>
        <v>140</v>
      </c>
      <c r="P23" s="107">
        <f t="shared" si="3"/>
        <v>2</v>
      </c>
      <c r="Q23" s="107">
        <f t="shared" si="4"/>
        <v>200</v>
      </c>
      <c r="R23" s="107">
        <f t="shared" si="4"/>
        <v>6</v>
      </c>
      <c r="S23" s="109">
        <v>96.3</v>
      </c>
      <c r="T23" s="105">
        <f t="shared" si="5"/>
        <v>413</v>
      </c>
      <c r="U23" s="105">
        <f t="shared" si="6"/>
        <v>140</v>
      </c>
      <c r="V23" s="105">
        <f t="shared" si="12"/>
        <v>2</v>
      </c>
      <c r="W23" s="105">
        <f t="shared" si="7"/>
        <v>160</v>
      </c>
      <c r="X23" s="105">
        <f t="shared" si="7"/>
        <v>6</v>
      </c>
      <c r="Y23" s="105">
        <v>135</v>
      </c>
      <c r="AA23" s="103"/>
      <c r="AJ23" s="104"/>
    </row>
    <row r="24" spans="1:36" x14ac:dyDescent="0.25">
      <c r="A24" s="107">
        <v>5000</v>
      </c>
      <c r="B24" s="105">
        <f t="shared" ref="B24:B25" si="13">(E24*D24)+(16.5*8)+(3*8)+(15*3)</f>
        <v>721</v>
      </c>
      <c r="C24" s="105">
        <f>'Стандартные размеры KLM-S'!C26</f>
        <v>140</v>
      </c>
      <c r="D24" s="107">
        <v>4</v>
      </c>
      <c r="E24" s="108">
        <f>'Стандартные размеры KLM-S'!E26</f>
        <v>130</v>
      </c>
      <c r="F24" s="108">
        <f>'Стандартные размеры KLM-S'!F26</f>
        <v>6</v>
      </c>
      <c r="G24" s="109">
        <v>113.3</v>
      </c>
      <c r="H24" s="105">
        <f t="shared" si="11"/>
        <v>493</v>
      </c>
      <c r="I24" s="105">
        <f t="shared" si="2"/>
        <v>140</v>
      </c>
      <c r="J24" s="105">
        <v>2</v>
      </c>
      <c r="K24" s="110">
        <f>'[1]Стандартные размеры'!K27</f>
        <v>200</v>
      </c>
      <c r="L24" s="105">
        <f t="shared" si="8"/>
        <v>6</v>
      </c>
      <c r="M24" s="109">
        <v>185</v>
      </c>
      <c r="N24" s="105">
        <f t="shared" si="3"/>
        <v>721</v>
      </c>
      <c r="O24" s="105">
        <f t="shared" si="3"/>
        <v>140</v>
      </c>
      <c r="P24" s="107">
        <f t="shared" si="3"/>
        <v>4</v>
      </c>
      <c r="Q24" s="107">
        <f t="shared" si="4"/>
        <v>130</v>
      </c>
      <c r="R24" s="107">
        <f t="shared" si="4"/>
        <v>6</v>
      </c>
      <c r="S24" s="109">
        <v>92.7</v>
      </c>
      <c r="T24" s="105">
        <f t="shared" si="5"/>
        <v>493</v>
      </c>
      <c r="U24" s="105">
        <f t="shared" si="6"/>
        <v>140</v>
      </c>
      <c r="V24" s="105">
        <f t="shared" si="12"/>
        <v>2</v>
      </c>
      <c r="W24" s="105">
        <f t="shared" si="7"/>
        <v>200</v>
      </c>
      <c r="X24" s="105">
        <f t="shared" si="7"/>
        <v>6</v>
      </c>
      <c r="Y24" s="109">
        <v>220</v>
      </c>
      <c r="AA24" s="103"/>
      <c r="AJ24" s="104"/>
    </row>
    <row r="25" spans="1:36" x14ac:dyDescent="0.25">
      <c r="A25" s="107">
        <v>6300</v>
      </c>
      <c r="B25" s="105">
        <f t="shared" si="13"/>
        <v>841</v>
      </c>
      <c r="C25" s="105">
        <f>'Стандартные размеры KLM-S'!C27</f>
        <v>140</v>
      </c>
      <c r="D25" s="107">
        <v>4</v>
      </c>
      <c r="E25" s="108">
        <f>'Стандартные размеры KLM-S'!E27</f>
        <v>160</v>
      </c>
      <c r="F25" s="108">
        <f>'Стандартные размеры KLM-S'!F27</f>
        <v>6</v>
      </c>
      <c r="G25" s="109">
        <v>133.30000000000001</v>
      </c>
      <c r="H25" s="105">
        <f>(K25*J25)+(16.5*6)+(3*6)+(15*2)</f>
        <v>747</v>
      </c>
      <c r="I25" s="105">
        <f t="shared" si="2"/>
        <v>140</v>
      </c>
      <c r="J25" s="105">
        <v>3</v>
      </c>
      <c r="K25" s="110">
        <f>'[1]Стандартные размеры'!K28</f>
        <v>200</v>
      </c>
      <c r="L25" s="105">
        <f t="shared" si="8"/>
        <v>6</v>
      </c>
      <c r="M25" s="105">
        <v>206.7</v>
      </c>
      <c r="N25" s="105">
        <f t="shared" si="3"/>
        <v>841</v>
      </c>
      <c r="O25" s="105">
        <f t="shared" si="3"/>
        <v>140</v>
      </c>
      <c r="P25" s="107">
        <f t="shared" si="3"/>
        <v>4</v>
      </c>
      <c r="Q25" s="107">
        <f t="shared" si="4"/>
        <v>160</v>
      </c>
      <c r="R25" s="107">
        <f t="shared" si="4"/>
        <v>6</v>
      </c>
      <c r="S25" s="109">
        <v>142.69999999999999</v>
      </c>
      <c r="T25" s="105">
        <f t="shared" si="5"/>
        <v>747</v>
      </c>
      <c r="U25" s="105">
        <f t="shared" si="6"/>
        <v>140</v>
      </c>
      <c r="V25" s="105">
        <f t="shared" si="12"/>
        <v>3</v>
      </c>
      <c r="W25" s="105">
        <f t="shared" si="7"/>
        <v>200</v>
      </c>
      <c r="X25" s="105">
        <f t="shared" si="7"/>
        <v>6</v>
      </c>
      <c r="Y25" s="109">
        <v>240</v>
      </c>
      <c r="AA25" s="111"/>
      <c r="AB25" s="112"/>
      <c r="AC25" s="112"/>
      <c r="AD25" s="112"/>
      <c r="AE25" s="112"/>
      <c r="AF25" s="112"/>
      <c r="AG25" s="112"/>
      <c r="AH25" s="112"/>
      <c r="AI25" s="112"/>
      <c r="AJ25" s="113"/>
    </row>
    <row r="27" spans="1:36" ht="18.75" x14ac:dyDescent="0.25">
      <c r="D27" s="199" t="s">
        <v>21</v>
      </c>
      <c r="E27" s="199"/>
      <c r="F27" s="199"/>
      <c r="G27" s="199"/>
      <c r="H27" s="199"/>
      <c r="I27" s="199"/>
      <c r="J27" s="199"/>
    </row>
    <row r="28" spans="1:36" x14ac:dyDescent="0.25">
      <c r="D28" s="200" t="s">
        <v>2</v>
      </c>
      <c r="E28" s="201"/>
      <c r="F28" s="201"/>
      <c r="G28" s="201"/>
      <c r="H28" s="201"/>
      <c r="I28" s="201"/>
      <c r="J28" s="202"/>
    </row>
    <row r="29" spans="1:36" x14ac:dyDescent="0.25">
      <c r="D29" s="200" t="s">
        <v>3</v>
      </c>
      <c r="E29" s="201"/>
      <c r="F29" s="202"/>
      <c r="G29" s="200" t="s">
        <v>22</v>
      </c>
      <c r="H29" s="201"/>
      <c r="I29" s="201"/>
      <c r="J29" s="202"/>
    </row>
    <row r="30" spans="1:36" x14ac:dyDescent="0.25">
      <c r="D30" s="200" t="s">
        <v>23</v>
      </c>
      <c r="E30" s="201"/>
      <c r="F30" s="202"/>
      <c r="G30" s="200" t="s">
        <v>22</v>
      </c>
      <c r="H30" s="201"/>
      <c r="I30" s="201"/>
      <c r="J30" s="202"/>
    </row>
    <row r="32" spans="1:36" x14ac:dyDescent="0.25">
      <c r="A32" s="197" t="s">
        <v>5</v>
      </c>
      <c r="B32" s="197" t="s">
        <v>6</v>
      </c>
      <c r="C32" s="197"/>
      <c r="D32" s="197"/>
      <c r="E32" s="197"/>
      <c r="F32" s="197"/>
      <c r="G32" s="197"/>
      <c r="H32" s="197" t="s">
        <v>7</v>
      </c>
      <c r="I32" s="197"/>
      <c r="J32" s="197"/>
      <c r="K32" s="197"/>
      <c r="L32" s="197"/>
      <c r="M32" s="197"/>
      <c r="O32" s="100"/>
      <c r="P32" s="101"/>
      <c r="Q32" s="101"/>
      <c r="R32" s="102"/>
    </row>
    <row r="33" spans="1:18" x14ac:dyDescent="0.25">
      <c r="A33" s="197"/>
      <c r="B33" s="197" t="s">
        <v>8</v>
      </c>
      <c r="C33" s="197"/>
      <c r="D33" s="197"/>
      <c r="E33" s="197" t="s">
        <v>9</v>
      </c>
      <c r="F33" s="197"/>
      <c r="G33" s="197"/>
      <c r="H33" s="197" t="s">
        <v>8</v>
      </c>
      <c r="I33" s="197"/>
      <c r="J33" s="197"/>
      <c r="K33" s="215" t="s">
        <v>9</v>
      </c>
      <c r="L33" s="216"/>
      <c r="M33" s="217"/>
      <c r="O33" s="103"/>
      <c r="R33" s="104"/>
    </row>
    <row r="34" spans="1:18" x14ac:dyDescent="0.25">
      <c r="A34" s="197"/>
      <c r="B34" s="105" t="s">
        <v>24</v>
      </c>
      <c r="C34" s="105" t="s">
        <v>27</v>
      </c>
      <c r="D34" s="105" t="s">
        <v>45</v>
      </c>
      <c r="E34" s="105" t="s">
        <v>24</v>
      </c>
      <c r="F34" s="105" t="s">
        <v>27</v>
      </c>
      <c r="G34" s="105" t="s">
        <v>45</v>
      </c>
      <c r="H34" s="105" t="s">
        <v>24</v>
      </c>
      <c r="I34" s="105" t="s">
        <v>27</v>
      </c>
      <c r="J34" s="105" t="s">
        <v>45</v>
      </c>
      <c r="K34" s="105" t="s">
        <v>24</v>
      </c>
      <c r="L34" s="105" t="s">
        <v>27</v>
      </c>
      <c r="M34" s="105" t="s">
        <v>45</v>
      </c>
      <c r="O34" s="103"/>
      <c r="R34" s="104"/>
    </row>
    <row r="35" spans="1:18" x14ac:dyDescent="0.25">
      <c r="A35" s="107">
        <v>160</v>
      </c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O35" s="103"/>
      <c r="R35" s="104"/>
    </row>
    <row r="36" spans="1:18" x14ac:dyDescent="0.25">
      <c r="A36" s="107">
        <v>250</v>
      </c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O36" s="103"/>
      <c r="R36" s="104"/>
    </row>
    <row r="37" spans="1:18" x14ac:dyDescent="0.25">
      <c r="A37" s="107">
        <v>400</v>
      </c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O37" s="103"/>
      <c r="R37" s="104"/>
    </row>
    <row r="38" spans="1:18" x14ac:dyDescent="0.25">
      <c r="A38" s="107">
        <v>630</v>
      </c>
      <c r="B38" s="105">
        <v>435</v>
      </c>
      <c r="C38" s="105">
        <v>435</v>
      </c>
      <c r="D38" s="114"/>
      <c r="E38" s="105">
        <v>435</v>
      </c>
      <c r="F38" s="105">
        <v>435</v>
      </c>
      <c r="G38" s="109"/>
      <c r="H38" s="105">
        <v>435</v>
      </c>
      <c r="I38" s="105">
        <v>435</v>
      </c>
      <c r="J38" s="105"/>
      <c r="K38" s="105">
        <f>E38</f>
        <v>435</v>
      </c>
      <c r="L38" s="105">
        <f>F38</f>
        <v>435</v>
      </c>
      <c r="M38" s="109"/>
      <c r="O38" s="103"/>
      <c r="R38" s="104"/>
    </row>
    <row r="39" spans="1:18" x14ac:dyDescent="0.25">
      <c r="A39" s="107">
        <v>800</v>
      </c>
      <c r="B39" s="105">
        <v>435</v>
      </c>
      <c r="C39" s="105">
        <f t="shared" ref="C39:C68" si="14">B39</f>
        <v>435</v>
      </c>
      <c r="D39" s="114"/>
      <c r="E39" s="105">
        <v>435</v>
      </c>
      <c r="F39" s="105">
        <f t="shared" ref="F39:F68" si="15">E39</f>
        <v>435</v>
      </c>
      <c r="G39" s="109"/>
      <c r="H39" s="105">
        <v>435</v>
      </c>
      <c r="I39" s="105">
        <v>435</v>
      </c>
      <c r="J39" s="105"/>
      <c r="K39" s="105">
        <f t="shared" ref="K39:K48" si="16">E39</f>
        <v>435</v>
      </c>
      <c r="L39" s="105">
        <f t="shared" ref="L39:L48" si="17">F39</f>
        <v>435</v>
      </c>
      <c r="M39" s="109"/>
      <c r="O39" s="103"/>
      <c r="R39" s="104"/>
    </row>
    <row r="40" spans="1:18" x14ac:dyDescent="0.25">
      <c r="A40" s="107">
        <v>1000</v>
      </c>
      <c r="B40" s="105">
        <v>435</v>
      </c>
      <c r="C40" s="105">
        <f t="shared" si="14"/>
        <v>435</v>
      </c>
      <c r="D40" s="114"/>
      <c r="E40" s="105">
        <v>435</v>
      </c>
      <c r="F40" s="105">
        <f t="shared" si="15"/>
        <v>435</v>
      </c>
      <c r="G40" s="109"/>
      <c r="H40" s="105">
        <v>435</v>
      </c>
      <c r="I40" s="105">
        <v>435</v>
      </c>
      <c r="J40" s="105"/>
      <c r="K40" s="105">
        <f t="shared" si="16"/>
        <v>435</v>
      </c>
      <c r="L40" s="105">
        <f t="shared" si="17"/>
        <v>435</v>
      </c>
      <c r="M40" s="109"/>
      <c r="O40" s="103"/>
      <c r="R40" s="104"/>
    </row>
    <row r="41" spans="1:18" x14ac:dyDescent="0.25">
      <c r="A41" s="107">
        <v>1250</v>
      </c>
      <c r="B41" s="105">
        <v>435</v>
      </c>
      <c r="C41" s="105">
        <f t="shared" si="14"/>
        <v>435</v>
      </c>
      <c r="D41" s="114"/>
      <c r="E41" s="105">
        <v>435</v>
      </c>
      <c r="F41" s="105">
        <f t="shared" si="15"/>
        <v>435</v>
      </c>
      <c r="G41" s="109"/>
      <c r="H41" s="105">
        <v>435</v>
      </c>
      <c r="I41" s="105">
        <v>435</v>
      </c>
      <c r="J41" s="105"/>
      <c r="K41" s="105">
        <f t="shared" si="16"/>
        <v>435</v>
      </c>
      <c r="L41" s="105">
        <f t="shared" si="17"/>
        <v>435</v>
      </c>
      <c r="M41" s="109"/>
      <c r="O41" s="103"/>
      <c r="R41" s="104"/>
    </row>
    <row r="42" spans="1:18" x14ac:dyDescent="0.25">
      <c r="A42" s="107">
        <v>1600</v>
      </c>
      <c r="B42" s="105">
        <v>435</v>
      </c>
      <c r="C42" s="105">
        <f t="shared" si="14"/>
        <v>435</v>
      </c>
      <c r="D42" s="114"/>
      <c r="E42" s="105">
        <v>435</v>
      </c>
      <c r="F42" s="105">
        <f t="shared" si="15"/>
        <v>435</v>
      </c>
      <c r="G42" s="109"/>
      <c r="H42" s="105">
        <v>435</v>
      </c>
      <c r="I42" s="105">
        <v>435</v>
      </c>
      <c r="J42" s="105"/>
      <c r="K42" s="105">
        <f t="shared" si="16"/>
        <v>435</v>
      </c>
      <c r="L42" s="105">
        <f t="shared" si="17"/>
        <v>435</v>
      </c>
      <c r="M42" s="109"/>
      <c r="O42" s="103"/>
      <c r="R42" s="104"/>
    </row>
    <row r="43" spans="1:18" x14ac:dyDescent="0.25">
      <c r="A43" s="107">
        <v>2000</v>
      </c>
      <c r="B43" s="105">
        <v>435</v>
      </c>
      <c r="C43" s="105">
        <f t="shared" si="14"/>
        <v>435</v>
      </c>
      <c r="D43" s="114"/>
      <c r="E43" s="105">
        <v>435</v>
      </c>
      <c r="F43" s="105">
        <f t="shared" si="15"/>
        <v>435</v>
      </c>
      <c r="G43" s="109"/>
      <c r="H43" s="105">
        <v>435</v>
      </c>
      <c r="I43" s="105">
        <v>435</v>
      </c>
      <c r="J43" s="105"/>
      <c r="K43" s="105">
        <f t="shared" si="16"/>
        <v>435</v>
      </c>
      <c r="L43" s="105">
        <f t="shared" si="17"/>
        <v>435</v>
      </c>
      <c r="M43" s="109"/>
      <c r="O43" s="103"/>
      <c r="R43" s="104"/>
    </row>
    <row r="44" spans="1:18" x14ac:dyDescent="0.25">
      <c r="A44" s="107">
        <v>2500</v>
      </c>
      <c r="B44" s="105">
        <v>435</v>
      </c>
      <c r="C44" s="105">
        <f t="shared" si="14"/>
        <v>435</v>
      </c>
      <c r="D44" s="114"/>
      <c r="E44" s="105">
        <v>435</v>
      </c>
      <c r="F44" s="105">
        <f t="shared" si="15"/>
        <v>435</v>
      </c>
      <c r="G44" s="109"/>
      <c r="H44" s="105">
        <v>435</v>
      </c>
      <c r="I44" s="105">
        <v>435</v>
      </c>
      <c r="J44" s="105"/>
      <c r="K44" s="105">
        <f t="shared" si="16"/>
        <v>435</v>
      </c>
      <c r="L44" s="105">
        <f t="shared" si="17"/>
        <v>435</v>
      </c>
      <c r="M44" s="109"/>
      <c r="O44" s="103"/>
      <c r="R44" s="104"/>
    </row>
    <row r="45" spans="1:18" x14ac:dyDescent="0.25">
      <c r="A45" s="107">
        <v>3200</v>
      </c>
      <c r="B45" s="105">
        <v>435</v>
      </c>
      <c r="C45" s="105">
        <f t="shared" si="14"/>
        <v>435</v>
      </c>
      <c r="D45" s="114"/>
      <c r="E45" s="105">
        <v>435</v>
      </c>
      <c r="F45" s="105">
        <f t="shared" si="15"/>
        <v>435</v>
      </c>
      <c r="G45" s="109"/>
      <c r="H45" s="105">
        <v>435</v>
      </c>
      <c r="I45" s="105">
        <v>435</v>
      </c>
      <c r="J45" s="105"/>
      <c r="K45" s="105">
        <f t="shared" si="16"/>
        <v>435</v>
      </c>
      <c r="L45" s="105">
        <f t="shared" si="17"/>
        <v>435</v>
      </c>
      <c r="M45" s="109"/>
      <c r="O45" s="103"/>
      <c r="R45" s="104"/>
    </row>
    <row r="46" spans="1:18" x14ac:dyDescent="0.25">
      <c r="A46" s="107">
        <v>4000</v>
      </c>
      <c r="B46" s="105">
        <v>435</v>
      </c>
      <c r="C46" s="105">
        <f t="shared" si="14"/>
        <v>435</v>
      </c>
      <c r="D46" s="114"/>
      <c r="E46" s="105">
        <v>435</v>
      </c>
      <c r="F46" s="105">
        <f t="shared" si="15"/>
        <v>435</v>
      </c>
      <c r="G46" s="109"/>
      <c r="H46" s="105">
        <v>435</v>
      </c>
      <c r="I46" s="105">
        <v>435</v>
      </c>
      <c r="J46" s="105"/>
      <c r="K46" s="105">
        <f t="shared" si="16"/>
        <v>435</v>
      </c>
      <c r="L46" s="105">
        <f t="shared" si="17"/>
        <v>435</v>
      </c>
      <c r="M46" s="109"/>
      <c r="O46" s="103"/>
      <c r="R46" s="104"/>
    </row>
    <row r="47" spans="1:18" x14ac:dyDescent="0.25">
      <c r="A47" s="107">
        <v>5000</v>
      </c>
      <c r="B47" s="105">
        <v>435</v>
      </c>
      <c r="C47" s="105">
        <f t="shared" si="14"/>
        <v>435</v>
      </c>
      <c r="D47" s="114"/>
      <c r="E47" s="105">
        <v>435</v>
      </c>
      <c r="F47" s="105">
        <f t="shared" si="15"/>
        <v>435</v>
      </c>
      <c r="G47" s="109"/>
      <c r="H47" s="105">
        <v>435</v>
      </c>
      <c r="I47" s="105">
        <v>435</v>
      </c>
      <c r="J47" s="105"/>
      <c r="K47" s="105">
        <f t="shared" si="16"/>
        <v>435</v>
      </c>
      <c r="L47" s="105">
        <f t="shared" si="17"/>
        <v>435</v>
      </c>
      <c r="M47" s="109"/>
      <c r="O47" s="103"/>
      <c r="R47" s="104"/>
    </row>
    <row r="48" spans="1:18" x14ac:dyDescent="0.25">
      <c r="A48" s="107">
        <v>6300</v>
      </c>
      <c r="B48" s="105">
        <v>435</v>
      </c>
      <c r="C48" s="105">
        <f t="shared" si="14"/>
        <v>435</v>
      </c>
      <c r="D48" s="114"/>
      <c r="E48" s="105">
        <v>435</v>
      </c>
      <c r="F48" s="105">
        <f t="shared" si="15"/>
        <v>435</v>
      </c>
      <c r="G48" s="109"/>
      <c r="H48" s="105">
        <v>435</v>
      </c>
      <c r="I48" s="105">
        <v>435</v>
      </c>
      <c r="J48" s="105"/>
      <c r="K48" s="105">
        <f t="shared" si="16"/>
        <v>435</v>
      </c>
      <c r="L48" s="105">
        <f t="shared" si="17"/>
        <v>435</v>
      </c>
      <c r="M48" s="109"/>
      <c r="O48" s="111"/>
      <c r="P48" s="112"/>
      <c r="Q48" s="112"/>
      <c r="R48" s="113"/>
    </row>
    <row r="50" spans="1:19" ht="18.75" x14ac:dyDescent="0.25">
      <c r="D50" s="199" t="s">
        <v>28</v>
      </c>
      <c r="E50" s="199"/>
      <c r="F50" s="199"/>
      <c r="G50" s="199"/>
      <c r="H50" s="199"/>
      <c r="I50" s="199"/>
      <c r="J50" s="199"/>
    </row>
    <row r="51" spans="1:19" x14ac:dyDescent="0.25">
      <c r="D51" s="204" t="s">
        <v>2</v>
      </c>
      <c r="E51" s="204"/>
      <c r="F51" s="204"/>
      <c r="G51" s="204"/>
      <c r="H51" s="204"/>
      <c r="I51" s="204"/>
      <c r="J51" s="204"/>
    </row>
    <row r="52" spans="1:19" x14ac:dyDescent="0.25">
      <c r="D52" s="204" t="s">
        <v>3</v>
      </c>
      <c r="E52" s="204"/>
      <c r="F52" s="204"/>
      <c r="G52" s="204" t="s">
        <v>22</v>
      </c>
      <c r="H52" s="204"/>
      <c r="I52" s="204"/>
      <c r="J52" s="204"/>
    </row>
    <row r="53" spans="1:19" x14ac:dyDescent="0.25">
      <c r="D53" s="204" t="s">
        <v>23</v>
      </c>
      <c r="E53" s="204"/>
      <c r="F53" s="204"/>
      <c r="G53" s="204" t="s">
        <v>22</v>
      </c>
      <c r="H53" s="204"/>
      <c r="I53" s="204"/>
      <c r="J53" s="204"/>
    </row>
    <row r="55" spans="1:19" x14ac:dyDescent="0.25">
      <c r="A55" s="197" t="s">
        <v>5</v>
      </c>
      <c r="B55" s="215" t="s">
        <v>6</v>
      </c>
      <c r="C55" s="216"/>
      <c r="D55" s="216"/>
      <c r="E55" s="216"/>
      <c r="F55" s="216"/>
      <c r="G55" s="216"/>
      <c r="H55" s="215" t="s">
        <v>7</v>
      </c>
      <c r="I55" s="216"/>
      <c r="J55" s="216"/>
      <c r="K55" s="216"/>
      <c r="L55" s="115"/>
      <c r="M55" s="116"/>
      <c r="O55" s="100"/>
      <c r="P55" s="101"/>
      <c r="Q55" s="101"/>
      <c r="R55" s="101"/>
      <c r="S55" s="102"/>
    </row>
    <row r="56" spans="1:19" x14ac:dyDescent="0.25">
      <c r="A56" s="197"/>
      <c r="B56" s="197" t="s">
        <v>8</v>
      </c>
      <c r="C56" s="197"/>
      <c r="D56" s="197"/>
      <c r="E56" s="197" t="s">
        <v>9</v>
      </c>
      <c r="F56" s="197"/>
      <c r="G56" s="215"/>
      <c r="H56" s="197" t="s">
        <v>8</v>
      </c>
      <c r="I56" s="197"/>
      <c r="J56" s="197"/>
      <c r="K56" s="197" t="s">
        <v>9</v>
      </c>
      <c r="L56" s="197"/>
      <c r="M56" s="215"/>
      <c r="O56" s="103"/>
      <c r="S56" s="104"/>
    </row>
    <row r="57" spans="1:19" x14ac:dyDescent="0.25">
      <c r="A57" s="197"/>
      <c r="B57" s="105" t="s">
        <v>24</v>
      </c>
      <c r="C57" s="105" t="s">
        <v>27</v>
      </c>
      <c r="D57" s="105" t="s">
        <v>45</v>
      </c>
      <c r="E57" s="105" t="s">
        <v>24</v>
      </c>
      <c r="F57" s="105" t="s">
        <v>27</v>
      </c>
      <c r="G57" s="105" t="s">
        <v>45</v>
      </c>
      <c r="H57" s="105" t="s">
        <v>24</v>
      </c>
      <c r="I57" s="105" t="s">
        <v>27</v>
      </c>
      <c r="J57" s="105" t="s">
        <v>45</v>
      </c>
      <c r="K57" s="117" t="s">
        <v>24</v>
      </c>
      <c r="L57" s="117" t="s">
        <v>27</v>
      </c>
      <c r="M57" s="105" t="s">
        <v>45</v>
      </c>
      <c r="O57" s="103"/>
      <c r="S57" s="104"/>
    </row>
    <row r="58" spans="1:19" x14ac:dyDescent="0.25">
      <c r="A58" s="107">
        <v>630</v>
      </c>
      <c r="B58" s="114">
        <f>'Стандартные размеры KLM-S'!B153</f>
        <v>300</v>
      </c>
      <c r="C58" s="114">
        <f>B58</f>
        <v>300</v>
      </c>
      <c r="D58" s="105"/>
      <c r="E58" s="105">
        <f>'Стандартные размеры KLM-S'!E101</f>
        <v>300</v>
      </c>
      <c r="F58" s="105">
        <f>'Стандартные размеры KLM-S'!F101</f>
        <v>300</v>
      </c>
      <c r="G58" s="105"/>
      <c r="H58" s="105">
        <f>B58</f>
        <v>300</v>
      </c>
      <c r="I58" s="105">
        <f t="shared" si="2"/>
        <v>300</v>
      </c>
      <c r="J58" s="105"/>
      <c r="K58" s="117">
        <f>E58</f>
        <v>300</v>
      </c>
      <c r="L58" s="117">
        <f>F58</f>
        <v>300</v>
      </c>
      <c r="M58" s="105"/>
      <c r="O58" s="103"/>
      <c r="S58" s="104"/>
    </row>
    <row r="59" spans="1:19" x14ac:dyDescent="0.25">
      <c r="A59" s="107">
        <v>800</v>
      </c>
      <c r="B59" s="114">
        <f>'Стандартные размеры KLM-S'!B154</f>
        <v>300</v>
      </c>
      <c r="C59" s="114">
        <f>B59</f>
        <v>300</v>
      </c>
      <c r="D59" s="105"/>
      <c r="E59" s="105">
        <f>'Стандартные размеры KLM-S'!E102</f>
        <v>300</v>
      </c>
      <c r="F59" s="105">
        <f>'Стандартные размеры KLM-S'!F102</f>
        <v>300</v>
      </c>
      <c r="G59" s="105"/>
      <c r="H59" s="105">
        <f t="shared" ref="H59:H63" si="18">B59</f>
        <v>300</v>
      </c>
      <c r="I59" s="105">
        <f t="shared" ref="I59:I63" si="19">C59</f>
        <v>300</v>
      </c>
      <c r="J59" s="105"/>
      <c r="K59" s="117">
        <f t="shared" ref="K59:K64" si="20">E59</f>
        <v>300</v>
      </c>
      <c r="L59" s="117">
        <f t="shared" ref="L59:L64" si="21">F59</f>
        <v>300</v>
      </c>
      <c r="M59" s="105"/>
      <c r="O59" s="103"/>
      <c r="S59" s="104"/>
    </row>
    <row r="60" spans="1:19" x14ac:dyDescent="0.25">
      <c r="A60" s="107">
        <v>1000</v>
      </c>
      <c r="B60" s="105">
        <f>'Стандартные размеры KLM-S'!B103</f>
        <v>450</v>
      </c>
      <c r="C60" s="105">
        <f t="shared" si="14"/>
        <v>450</v>
      </c>
      <c r="D60" s="105"/>
      <c r="E60" s="105">
        <f>'Стандартные размеры KLM-S'!E103</f>
        <v>300</v>
      </c>
      <c r="F60" s="105">
        <f t="shared" si="15"/>
        <v>300</v>
      </c>
      <c r="G60" s="105"/>
      <c r="H60" s="105">
        <f t="shared" si="18"/>
        <v>450</v>
      </c>
      <c r="I60" s="105">
        <f t="shared" si="19"/>
        <v>450</v>
      </c>
      <c r="J60" s="105"/>
      <c r="K60" s="117">
        <f t="shared" si="20"/>
        <v>300</v>
      </c>
      <c r="L60" s="117">
        <f t="shared" si="21"/>
        <v>300</v>
      </c>
      <c r="M60" s="105"/>
      <c r="O60" s="103"/>
      <c r="S60" s="104"/>
    </row>
    <row r="61" spans="1:19" x14ac:dyDescent="0.25">
      <c r="A61" s="107">
        <v>1250</v>
      </c>
      <c r="B61" s="105">
        <f>'Стандартные размеры KLM-S'!B104</f>
        <v>450</v>
      </c>
      <c r="C61" s="105">
        <f t="shared" si="14"/>
        <v>450</v>
      </c>
      <c r="D61" s="105"/>
      <c r="E61" s="105">
        <f>'Стандартные размеры KLM-S'!E104</f>
        <v>450</v>
      </c>
      <c r="F61" s="105">
        <f t="shared" si="15"/>
        <v>450</v>
      </c>
      <c r="G61" s="105"/>
      <c r="H61" s="105">
        <f t="shared" si="18"/>
        <v>450</v>
      </c>
      <c r="I61" s="105">
        <f t="shared" si="19"/>
        <v>450</v>
      </c>
      <c r="J61" s="105"/>
      <c r="K61" s="117">
        <f t="shared" si="20"/>
        <v>450</v>
      </c>
      <c r="L61" s="117">
        <f t="shared" si="21"/>
        <v>450</v>
      </c>
      <c r="M61" s="105"/>
      <c r="O61" s="103"/>
      <c r="S61" s="104"/>
    </row>
    <row r="62" spans="1:19" x14ac:dyDescent="0.25">
      <c r="A62" s="107">
        <v>1600</v>
      </c>
      <c r="B62" s="105">
        <f>'Стандартные размеры KLM-S'!B105</f>
        <v>450</v>
      </c>
      <c r="C62" s="105">
        <f t="shared" si="14"/>
        <v>450</v>
      </c>
      <c r="D62" s="105"/>
      <c r="E62" s="105">
        <f>'Стандартные размеры KLM-S'!E105</f>
        <v>450</v>
      </c>
      <c r="F62" s="105">
        <f t="shared" si="15"/>
        <v>450</v>
      </c>
      <c r="G62" s="105"/>
      <c r="H62" s="105">
        <f t="shared" si="18"/>
        <v>450</v>
      </c>
      <c r="I62" s="105">
        <f t="shared" si="19"/>
        <v>450</v>
      </c>
      <c r="J62" s="105"/>
      <c r="K62" s="117">
        <f t="shared" si="20"/>
        <v>450</v>
      </c>
      <c r="L62" s="117">
        <f t="shared" si="21"/>
        <v>450</v>
      </c>
      <c r="M62" s="105"/>
      <c r="O62" s="103"/>
      <c r="S62" s="104"/>
    </row>
    <row r="63" spans="1:19" x14ac:dyDescent="0.25">
      <c r="A63" s="107">
        <v>2000</v>
      </c>
      <c r="B63" s="105">
        <f>'Стандартные размеры KLM-S'!B106</f>
        <v>450</v>
      </c>
      <c r="C63" s="105">
        <f t="shared" si="14"/>
        <v>450</v>
      </c>
      <c r="D63" s="105"/>
      <c r="E63" s="105">
        <f>'Стандартные размеры KLM-S'!E106</f>
        <v>450</v>
      </c>
      <c r="F63" s="105">
        <f t="shared" si="15"/>
        <v>450</v>
      </c>
      <c r="G63" s="105"/>
      <c r="H63" s="105">
        <f t="shared" si="18"/>
        <v>450</v>
      </c>
      <c r="I63" s="105">
        <f t="shared" si="19"/>
        <v>450</v>
      </c>
      <c r="J63" s="105"/>
      <c r="K63" s="117">
        <f t="shared" si="20"/>
        <v>450</v>
      </c>
      <c r="L63" s="117">
        <f t="shared" si="21"/>
        <v>450</v>
      </c>
      <c r="M63" s="105"/>
      <c r="O63" s="103"/>
      <c r="S63" s="104"/>
    </row>
    <row r="64" spans="1:19" x14ac:dyDescent="0.25">
      <c r="A64" s="107">
        <v>2500</v>
      </c>
      <c r="B64" s="105">
        <v>590</v>
      </c>
      <c r="C64" s="105">
        <f t="shared" si="14"/>
        <v>590</v>
      </c>
      <c r="D64" s="105"/>
      <c r="E64" s="105">
        <f>'Стандартные размеры KLM-S'!E107</f>
        <v>450</v>
      </c>
      <c r="F64" s="105">
        <f t="shared" ref="F64" si="22">E64</f>
        <v>450</v>
      </c>
      <c r="G64" s="105"/>
      <c r="H64" s="105">
        <v>590</v>
      </c>
      <c r="I64" s="105">
        <f t="shared" ref="I64:I68" si="23">H64</f>
        <v>590</v>
      </c>
      <c r="J64" s="105"/>
      <c r="K64" s="117">
        <f t="shared" si="20"/>
        <v>450</v>
      </c>
      <c r="L64" s="117">
        <f t="shared" si="21"/>
        <v>450</v>
      </c>
      <c r="M64" s="105"/>
      <c r="O64" s="103"/>
      <c r="S64" s="104"/>
    </row>
    <row r="65" spans="1:23" x14ac:dyDescent="0.25">
      <c r="A65" s="107">
        <v>3200</v>
      </c>
      <c r="B65" s="105">
        <f>B64+60</f>
        <v>650</v>
      </c>
      <c r="C65" s="105">
        <f t="shared" si="14"/>
        <v>650</v>
      </c>
      <c r="D65" s="105"/>
      <c r="E65" s="105">
        <f>495+50</f>
        <v>545</v>
      </c>
      <c r="F65" s="105">
        <f t="shared" si="15"/>
        <v>545</v>
      </c>
      <c r="G65" s="105"/>
      <c r="H65" s="105">
        <f>H64+60</f>
        <v>650</v>
      </c>
      <c r="I65" s="105">
        <f t="shared" si="23"/>
        <v>650</v>
      </c>
      <c r="J65" s="105"/>
      <c r="K65" s="105">
        <f>495+50</f>
        <v>545</v>
      </c>
      <c r="L65" s="105">
        <f t="shared" ref="L65:L68" si="24">K65</f>
        <v>545</v>
      </c>
      <c r="M65" s="105"/>
      <c r="O65" s="103"/>
      <c r="S65" s="104"/>
    </row>
    <row r="66" spans="1:23" x14ac:dyDescent="0.25">
      <c r="A66" s="107">
        <v>4000</v>
      </c>
      <c r="B66" s="105">
        <f>B65+80</f>
        <v>730</v>
      </c>
      <c r="C66" s="105">
        <f t="shared" si="14"/>
        <v>730</v>
      </c>
      <c r="D66" s="105"/>
      <c r="E66" s="105">
        <v>650</v>
      </c>
      <c r="F66" s="105">
        <f t="shared" si="15"/>
        <v>650</v>
      </c>
      <c r="G66" s="105"/>
      <c r="H66" s="105">
        <f>H65+80</f>
        <v>730</v>
      </c>
      <c r="I66" s="105">
        <f t="shared" si="23"/>
        <v>730</v>
      </c>
      <c r="J66" s="105"/>
      <c r="K66" s="105">
        <v>650</v>
      </c>
      <c r="L66" s="105">
        <f t="shared" si="24"/>
        <v>650</v>
      </c>
      <c r="M66" s="105"/>
      <c r="O66" s="103"/>
      <c r="S66" s="104"/>
    </row>
    <row r="67" spans="1:23" x14ac:dyDescent="0.25">
      <c r="A67" s="107">
        <v>5000</v>
      </c>
      <c r="B67" s="105">
        <v>950</v>
      </c>
      <c r="C67" s="105">
        <f t="shared" si="14"/>
        <v>950</v>
      </c>
      <c r="D67" s="105"/>
      <c r="E67" s="105">
        <v>860</v>
      </c>
      <c r="F67" s="105">
        <f t="shared" si="15"/>
        <v>860</v>
      </c>
      <c r="G67" s="105"/>
      <c r="H67" s="105">
        <v>950</v>
      </c>
      <c r="I67" s="105">
        <f t="shared" si="23"/>
        <v>950</v>
      </c>
      <c r="J67" s="105"/>
      <c r="K67" s="105">
        <v>860</v>
      </c>
      <c r="L67" s="105">
        <f t="shared" si="24"/>
        <v>860</v>
      </c>
      <c r="M67" s="105"/>
      <c r="O67" s="103"/>
      <c r="S67" s="104"/>
    </row>
    <row r="68" spans="1:23" x14ac:dyDescent="0.25">
      <c r="A68" s="107">
        <v>6300</v>
      </c>
      <c r="B68" s="105">
        <v>1090</v>
      </c>
      <c r="C68" s="105">
        <f t="shared" si="14"/>
        <v>1090</v>
      </c>
      <c r="D68" s="105"/>
      <c r="E68" s="105">
        <v>950</v>
      </c>
      <c r="F68" s="105">
        <f t="shared" si="15"/>
        <v>950</v>
      </c>
      <c r="G68" s="105"/>
      <c r="H68" s="105">
        <v>1090</v>
      </c>
      <c r="I68" s="105">
        <f t="shared" si="23"/>
        <v>1090</v>
      </c>
      <c r="J68" s="105"/>
      <c r="K68" s="105">
        <v>950</v>
      </c>
      <c r="L68" s="105">
        <f t="shared" si="24"/>
        <v>950</v>
      </c>
      <c r="M68" s="105"/>
      <c r="O68" s="111"/>
      <c r="P68" s="112"/>
      <c r="Q68" s="112"/>
      <c r="R68" s="112"/>
      <c r="S68" s="113"/>
    </row>
    <row r="70" spans="1:23" ht="18.75" x14ac:dyDescent="0.25">
      <c r="D70" s="199" t="s">
        <v>29</v>
      </c>
      <c r="E70" s="199"/>
      <c r="F70" s="199"/>
      <c r="G70" s="199"/>
      <c r="H70" s="199"/>
      <c r="I70" s="199"/>
      <c r="J70" s="199"/>
    </row>
    <row r="71" spans="1:23" x14ac:dyDescent="0.25">
      <c r="D71" s="204" t="s">
        <v>2</v>
      </c>
      <c r="E71" s="204"/>
      <c r="F71" s="204"/>
      <c r="G71" s="204"/>
      <c r="H71" s="204"/>
      <c r="I71" s="204"/>
      <c r="J71" s="204"/>
    </row>
    <row r="72" spans="1:23" x14ac:dyDescent="0.25">
      <c r="D72" s="204" t="s">
        <v>3</v>
      </c>
      <c r="E72" s="204"/>
      <c r="F72" s="204"/>
      <c r="G72" s="204" t="s">
        <v>22</v>
      </c>
      <c r="H72" s="204"/>
      <c r="I72" s="204"/>
      <c r="J72" s="204"/>
    </row>
    <row r="73" spans="1:23" x14ac:dyDescent="0.25">
      <c r="D73" s="204" t="s">
        <v>23</v>
      </c>
      <c r="E73" s="204"/>
      <c r="F73" s="204"/>
      <c r="G73" s="204" t="s">
        <v>30</v>
      </c>
      <c r="H73" s="204"/>
      <c r="I73" s="204"/>
      <c r="J73" s="204"/>
    </row>
    <row r="74" spans="1:23" x14ac:dyDescent="0.25">
      <c r="D74" s="204" t="s">
        <v>31</v>
      </c>
      <c r="E74" s="204"/>
      <c r="F74" s="204"/>
      <c r="G74" s="204" t="s">
        <v>32</v>
      </c>
      <c r="H74" s="204"/>
      <c r="I74" s="204"/>
      <c r="J74" s="204"/>
    </row>
    <row r="76" spans="1:23" x14ac:dyDescent="0.25">
      <c r="A76" s="197" t="s">
        <v>5</v>
      </c>
      <c r="B76" s="215" t="s">
        <v>6</v>
      </c>
      <c r="C76" s="216"/>
      <c r="D76" s="216"/>
      <c r="E76" s="216"/>
      <c r="F76" s="216"/>
      <c r="G76" s="216"/>
      <c r="H76" s="216"/>
      <c r="I76" s="216"/>
      <c r="J76" s="216" t="s">
        <v>7</v>
      </c>
      <c r="K76" s="216"/>
      <c r="L76" s="216"/>
      <c r="M76" s="216"/>
      <c r="N76" s="216"/>
      <c r="O76" s="216"/>
      <c r="P76" s="216"/>
      <c r="Q76" s="217"/>
    </row>
    <row r="77" spans="1:23" x14ac:dyDescent="0.25">
      <c r="A77" s="197"/>
      <c r="B77" s="219" t="s">
        <v>8</v>
      </c>
      <c r="C77" s="220"/>
      <c r="D77" s="220"/>
      <c r="E77" s="220"/>
      <c r="F77" s="220" t="s">
        <v>9</v>
      </c>
      <c r="G77" s="220"/>
      <c r="H77" s="220"/>
      <c r="I77" s="221"/>
      <c r="J77" s="219" t="s">
        <v>8</v>
      </c>
      <c r="K77" s="220"/>
      <c r="L77" s="220"/>
      <c r="M77" s="221"/>
      <c r="N77" s="219" t="s">
        <v>9</v>
      </c>
      <c r="O77" s="220"/>
      <c r="P77" s="220"/>
      <c r="Q77" s="220"/>
      <c r="S77" s="100"/>
      <c r="T77" s="101"/>
      <c r="U77" s="101"/>
      <c r="V77" s="101"/>
      <c r="W77" s="102"/>
    </row>
    <row r="78" spans="1:23" x14ac:dyDescent="0.25">
      <c r="A78" s="197"/>
      <c r="B78" s="105" t="s">
        <v>24</v>
      </c>
      <c r="C78" s="105" t="s">
        <v>27</v>
      </c>
      <c r="D78" s="107" t="s">
        <v>36</v>
      </c>
      <c r="E78" s="105" t="s">
        <v>45</v>
      </c>
      <c r="F78" s="105" t="s">
        <v>24</v>
      </c>
      <c r="G78" s="105" t="s">
        <v>27</v>
      </c>
      <c r="H78" s="105" t="s">
        <v>36</v>
      </c>
      <c r="I78" s="105" t="s">
        <v>45</v>
      </c>
      <c r="J78" s="117" t="s">
        <v>24</v>
      </c>
      <c r="K78" s="117" t="s">
        <v>27</v>
      </c>
      <c r="L78" s="117" t="s">
        <v>36</v>
      </c>
      <c r="M78" s="105" t="s">
        <v>45</v>
      </c>
      <c r="N78" s="117" t="s">
        <v>24</v>
      </c>
      <c r="O78" s="117" t="s">
        <v>27</v>
      </c>
      <c r="P78" s="117" t="s">
        <v>36</v>
      </c>
      <c r="Q78" s="105" t="s">
        <v>45</v>
      </c>
      <c r="S78" s="103"/>
      <c r="W78" s="104"/>
    </row>
    <row r="79" spans="1:23" x14ac:dyDescent="0.25">
      <c r="A79" s="107">
        <v>630</v>
      </c>
      <c r="B79" s="107">
        <f>B38</f>
        <v>435</v>
      </c>
      <c r="C79" s="107">
        <v>415</v>
      </c>
      <c r="D79" s="107">
        <f>C38</f>
        <v>435</v>
      </c>
      <c r="E79" s="105"/>
      <c r="F79" s="107">
        <f>E38</f>
        <v>435</v>
      </c>
      <c r="G79" s="107">
        <v>415</v>
      </c>
      <c r="H79" s="107">
        <f>F38</f>
        <v>435</v>
      </c>
      <c r="I79" s="105"/>
      <c r="J79" s="107">
        <f>H38</f>
        <v>435</v>
      </c>
      <c r="K79" s="107">
        <f t="shared" ref="K79:L79" si="25">C79</f>
        <v>415</v>
      </c>
      <c r="L79" s="107">
        <f t="shared" si="25"/>
        <v>435</v>
      </c>
      <c r="M79" s="117"/>
      <c r="N79" s="107">
        <f>F79</f>
        <v>435</v>
      </c>
      <c r="O79" s="107">
        <f t="shared" ref="O79" si="26">G79</f>
        <v>415</v>
      </c>
      <c r="P79" s="107">
        <f>H79</f>
        <v>435</v>
      </c>
      <c r="Q79" s="105"/>
      <c r="S79" s="103"/>
      <c r="W79" s="104"/>
    </row>
    <row r="80" spans="1:23" x14ac:dyDescent="0.25">
      <c r="A80" s="107">
        <v>800</v>
      </c>
      <c r="B80" s="107">
        <f t="shared" ref="B80:B89" si="27">B39</f>
        <v>435</v>
      </c>
      <c r="C80" s="107">
        <v>415</v>
      </c>
      <c r="D80" s="107">
        <f t="shared" ref="D80:D89" si="28">C39</f>
        <v>435</v>
      </c>
      <c r="E80" s="114"/>
      <c r="F80" s="107">
        <f t="shared" ref="F80:F89" si="29">E39</f>
        <v>435</v>
      </c>
      <c r="G80" s="107">
        <v>415</v>
      </c>
      <c r="H80" s="107">
        <f t="shared" ref="H80:H89" si="30">F39</f>
        <v>435</v>
      </c>
      <c r="I80" s="118"/>
      <c r="J80" s="107">
        <f t="shared" ref="J80:J89" si="31">H39</f>
        <v>435</v>
      </c>
      <c r="K80" s="107">
        <f t="shared" ref="K80:K89" si="32">C80</f>
        <v>415</v>
      </c>
      <c r="L80" s="107">
        <f t="shared" ref="L80:L89" si="33">D80</f>
        <v>435</v>
      </c>
      <c r="M80" s="119"/>
      <c r="N80" s="107">
        <f t="shared" ref="N80:N89" si="34">F80</f>
        <v>435</v>
      </c>
      <c r="O80" s="107">
        <f t="shared" ref="O80:O89" si="35">G80</f>
        <v>415</v>
      </c>
      <c r="P80" s="107">
        <f t="shared" ref="P80:P89" si="36">H80</f>
        <v>435</v>
      </c>
      <c r="Q80" s="118"/>
      <c r="S80" s="103"/>
      <c r="W80" s="104"/>
    </row>
    <row r="81" spans="1:23" x14ac:dyDescent="0.25">
      <c r="A81" s="107">
        <v>1000</v>
      </c>
      <c r="B81" s="107">
        <f t="shared" si="27"/>
        <v>435</v>
      </c>
      <c r="C81" s="107">
        <v>415</v>
      </c>
      <c r="D81" s="107">
        <f t="shared" si="28"/>
        <v>435</v>
      </c>
      <c r="E81" s="114"/>
      <c r="F81" s="107">
        <f t="shared" si="29"/>
        <v>435</v>
      </c>
      <c r="G81" s="107">
        <v>415</v>
      </c>
      <c r="H81" s="107">
        <f t="shared" si="30"/>
        <v>435</v>
      </c>
      <c r="I81" s="118"/>
      <c r="J81" s="107">
        <f t="shared" si="31"/>
        <v>435</v>
      </c>
      <c r="K81" s="107">
        <f t="shared" si="32"/>
        <v>415</v>
      </c>
      <c r="L81" s="107">
        <f t="shared" si="33"/>
        <v>435</v>
      </c>
      <c r="M81" s="119"/>
      <c r="N81" s="107">
        <f t="shared" si="34"/>
        <v>435</v>
      </c>
      <c r="O81" s="107">
        <f t="shared" si="35"/>
        <v>415</v>
      </c>
      <c r="P81" s="107">
        <f t="shared" si="36"/>
        <v>435</v>
      </c>
      <c r="Q81" s="118"/>
      <c r="S81" s="103"/>
      <c r="W81" s="104"/>
    </row>
    <row r="82" spans="1:23" x14ac:dyDescent="0.25">
      <c r="A82" s="107">
        <v>1250</v>
      </c>
      <c r="B82" s="107">
        <f t="shared" si="27"/>
        <v>435</v>
      </c>
      <c r="C82" s="107">
        <v>415</v>
      </c>
      <c r="D82" s="107">
        <f t="shared" si="28"/>
        <v>435</v>
      </c>
      <c r="E82" s="114"/>
      <c r="F82" s="107">
        <f t="shared" si="29"/>
        <v>435</v>
      </c>
      <c r="G82" s="107">
        <v>415</v>
      </c>
      <c r="H82" s="107">
        <f t="shared" si="30"/>
        <v>435</v>
      </c>
      <c r="I82" s="118"/>
      <c r="J82" s="107">
        <f t="shared" si="31"/>
        <v>435</v>
      </c>
      <c r="K82" s="107">
        <f t="shared" si="32"/>
        <v>415</v>
      </c>
      <c r="L82" s="107">
        <f t="shared" si="33"/>
        <v>435</v>
      </c>
      <c r="M82" s="119"/>
      <c r="N82" s="107">
        <f t="shared" si="34"/>
        <v>435</v>
      </c>
      <c r="O82" s="107">
        <f t="shared" si="35"/>
        <v>415</v>
      </c>
      <c r="P82" s="107">
        <f t="shared" si="36"/>
        <v>435</v>
      </c>
      <c r="Q82" s="118"/>
      <c r="S82" s="103"/>
      <c r="W82" s="104"/>
    </row>
    <row r="83" spans="1:23" x14ac:dyDescent="0.25">
      <c r="A83" s="107">
        <v>1600</v>
      </c>
      <c r="B83" s="107">
        <f t="shared" si="27"/>
        <v>435</v>
      </c>
      <c r="C83" s="107">
        <v>415</v>
      </c>
      <c r="D83" s="107">
        <f t="shared" si="28"/>
        <v>435</v>
      </c>
      <c r="E83" s="114"/>
      <c r="F83" s="107">
        <f t="shared" si="29"/>
        <v>435</v>
      </c>
      <c r="G83" s="107">
        <v>415</v>
      </c>
      <c r="H83" s="107">
        <f t="shared" si="30"/>
        <v>435</v>
      </c>
      <c r="I83" s="118"/>
      <c r="J83" s="107">
        <f t="shared" si="31"/>
        <v>435</v>
      </c>
      <c r="K83" s="107">
        <f t="shared" si="32"/>
        <v>415</v>
      </c>
      <c r="L83" s="107">
        <f t="shared" si="33"/>
        <v>435</v>
      </c>
      <c r="M83" s="119"/>
      <c r="N83" s="107">
        <f t="shared" si="34"/>
        <v>435</v>
      </c>
      <c r="O83" s="107">
        <f t="shared" si="35"/>
        <v>415</v>
      </c>
      <c r="P83" s="107">
        <f t="shared" si="36"/>
        <v>435</v>
      </c>
      <c r="Q83" s="118"/>
      <c r="S83" s="103"/>
      <c r="W83" s="104"/>
    </row>
    <row r="84" spans="1:23" x14ac:dyDescent="0.25">
      <c r="A84" s="107">
        <v>2000</v>
      </c>
      <c r="B84" s="107">
        <f t="shared" si="27"/>
        <v>435</v>
      </c>
      <c r="C84" s="107">
        <v>415</v>
      </c>
      <c r="D84" s="107">
        <f t="shared" si="28"/>
        <v>435</v>
      </c>
      <c r="E84" s="114"/>
      <c r="F84" s="107">
        <f t="shared" si="29"/>
        <v>435</v>
      </c>
      <c r="G84" s="107">
        <v>415</v>
      </c>
      <c r="H84" s="107">
        <f t="shared" si="30"/>
        <v>435</v>
      </c>
      <c r="I84" s="118"/>
      <c r="J84" s="107">
        <f t="shared" si="31"/>
        <v>435</v>
      </c>
      <c r="K84" s="107">
        <f t="shared" si="32"/>
        <v>415</v>
      </c>
      <c r="L84" s="107">
        <f t="shared" si="33"/>
        <v>435</v>
      </c>
      <c r="M84" s="119"/>
      <c r="N84" s="107">
        <f t="shared" si="34"/>
        <v>435</v>
      </c>
      <c r="O84" s="107">
        <f t="shared" si="35"/>
        <v>415</v>
      </c>
      <c r="P84" s="107">
        <f t="shared" si="36"/>
        <v>435</v>
      </c>
      <c r="Q84" s="118"/>
      <c r="S84" s="103"/>
      <c r="W84" s="104"/>
    </row>
    <row r="85" spans="1:23" x14ac:dyDescent="0.25">
      <c r="A85" s="107">
        <v>2500</v>
      </c>
      <c r="B85" s="107">
        <f t="shared" si="27"/>
        <v>435</v>
      </c>
      <c r="C85" s="107">
        <v>415</v>
      </c>
      <c r="D85" s="107">
        <f t="shared" si="28"/>
        <v>435</v>
      </c>
      <c r="E85" s="114"/>
      <c r="F85" s="107">
        <f t="shared" si="29"/>
        <v>435</v>
      </c>
      <c r="G85" s="107">
        <v>415</v>
      </c>
      <c r="H85" s="107">
        <f t="shared" si="30"/>
        <v>435</v>
      </c>
      <c r="I85" s="118"/>
      <c r="J85" s="107">
        <f t="shared" si="31"/>
        <v>435</v>
      </c>
      <c r="K85" s="107">
        <f t="shared" si="32"/>
        <v>415</v>
      </c>
      <c r="L85" s="107">
        <f t="shared" si="33"/>
        <v>435</v>
      </c>
      <c r="M85" s="119"/>
      <c r="N85" s="107">
        <f t="shared" si="34"/>
        <v>435</v>
      </c>
      <c r="O85" s="107">
        <f t="shared" si="35"/>
        <v>415</v>
      </c>
      <c r="P85" s="107">
        <f t="shared" si="36"/>
        <v>435</v>
      </c>
      <c r="Q85" s="118"/>
      <c r="S85" s="103"/>
      <c r="W85" s="104"/>
    </row>
    <row r="86" spans="1:23" x14ac:dyDescent="0.25">
      <c r="A86" s="107">
        <v>3200</v>
      </c>
      <c r="B86" s="107">
        <f t="shared" si="27"/>
        <v>435</v>
      </c>
      <c r="C86" s="107">
        <v>415</v>
      </c>
      <c r="D86" s="107">
        <f t="shared" si="28"/>
        <v>435</v>
      </c>
      <c r="E86" s="114"/>
      <c r="F86" s="107">
        <f t="shared" si="29"/>
        <v>435</v>
      </c>
      <c r="G86" s="107">
        <v>415</v>
      </c>
      <c r="H86" s="107">
        <f t="shared" si="30"/>
        <v>435</v>
      </c>
      <c r="I86" s="118"/>
      <c r="J86" s="107">
        <f t="shared" si="31"/>
        <v>435</v>
      </c>
      <c r="K86" s="107">
        <f t="shared" si="32"/>
        <v>415</v>
      </c>
      <c r="L86" s="107">
        <f t="shared" si="33"/>
        <v>435</v>
      </c>
      <c r="M86" s="119"/>
      <c r="N86" s="107">
        <f t="shared" si="34"/>
        <v>435</v>
      </c>
      <c r="O86" s="107">
        <f t="shared" si="35"/>
        <v>415</v>
      </c>
      <c r="P86" s="107">
        <f t="shared" si="36"/>
        <v>435</v>
      </c>
      <c r="Q86" s="118"/>
      <c r="S86" s="103"/>
      <c r="W86" s="104"/>
    </row>
    <row r="87" spans="1:23" x14ac:dyDescent="0.25">
      <c r="A87" s="107">
        <v>4000</v>
      </c>
      <c r="B87" s="107">
        <f t="shared" si="27"/>
        <v>435</v>
      </c>
      <c r="C87" s="107">
        <v>415</v>
      </c>
      <c r="D87" s="107">
        <f t="shared" si="28"/>
        <v>435</v>
      </c>
      <c r="E87" s="114"/>
      <c r="F87" s="107">
        <f t="shared" si="29"/>
        <v>435</v>
      </c>
      <c r="G87" s="107">
        <v>415</v>
      </c>
      <c r="H87" s="107">
        <f t="shared" si="30"/>
        <v>435</v>
      </c>
      <c r="I87" s="118"/>
      <c r="J87" s="107">
        <f t="shared" si="31"/>
        <v>435</v>
      </c>
      <c r="K87" s="107">
        <f t="shared" si="32"/>
        <v>415</v>
      </c>
      <c r="L87" s="107">
        <f t="shared" si="33"/>
        <v>435</v>
      </c>
      <c r="M87" s="119"/>
      <c r="N87" s="107">
        <f t="shared" si="34"/>
        <v>435</v>
      </c>
      <c r="O87" s="107">
        <f t="shared" si="35"/>
        <v>415</v>
      </c>
      <c r="P87" s="107">
        <f t="shared" si="36"/>
        <v>435</v>
      </c>
      <c r="Q87" s="118"/>
      <c r="S87" s="103"/>
      <c r="W87" s="104"/>
    </row>
    <row r="88" spans="1:23" x14ac:dyDescent="0.25">
      <c r="A88" s="107">
        <v>5000</v>
      </c>
      <c r="B88" s="107">
        <f t="shared" si="27"/>
        <v>435</v>
      </c>
      <c r="C88" s="107">
        <v>415</v>
      </c>
      <c r="D88" s="107">
        <f t="shared" si="28"/>
        <v>435</v>
      </c>
      <c r="E88" s="114"/>
      <c r="F88" s="107">
        <f t="shared" si="29"/>
        <v>435</v>
      </c>
      <c r="G88" s="107">
        <v>415</v>
      </c>
      <c r="H88" s="107">
        <f t="shared" si="30"/>
        <v>435</v>
      </c>
      <c r="I88" s="118"/>
      <c r="J88" s="107">
        <f t="shared" si="31"/>
        <v>435</v>
      </c>
      <c r="K88" s="107">
        <f t="shared" si="32"/>
        <v>415</v>
      </c>
      <c r="L88" s="107">
        <f t="shared" si="33"/>
        <v>435</v>
      </c>
      <c r="M88" s="119"/>
      <c r="N88" s="107">
        <f t="shared" si="34"/>
        <v>435</v>
      </c>
      <c r="O88" s="107">
        <f t="shared" si="35"/>
        <v>415</v>
      </c>
      <c r="P88" s="107">
        <f t="shared" si="36"/>
        <v>435</v>
      </c>
      <c r="Q88" s="118"/>
      <c r="S88" s="103"/>
      <c r="W88" s="104"/>
    </row>
    <row r="89" spans="1:23" x14ac:dyDescent="0.25">
      <c r="A89" s="107">
        <v>6300</v>
      </c>
      <c r="B89" s="107">
        <f t="shared" si="27"/>
        <v>435</v>
      </c>
      <c r="C89" s="107">
        <v>415</v>
      </c>
      <c r="D89" s="107">
        <f t="shared" si="28"/>
        <v>435</v>
      </c>
      <c r="E89" s="114"/>
      <c r="F89" s="107">
        <f t="shared" si="29"/>
        <v>435</v>
      </c>
      <c r="G89" s="107">
        <v>415</v>
      </c>
      <c r="H89" s="107">
        <f t="shared" si="30"/>
        <v>435</v>
      </c>
      <c r="I89" s="118"/>
      <c r="J89" s="107">
        <f t="shared" si="31"/>
        <v>435</v>
      </c>
      <c r="K89" s="107">
        <f t="shared" si="32"/>
        <v>415</v>
      </c>
      <c r="L89" s="107">
        <f t="shared" si="33"/>
        <v>435</v>
      </c>
      <c r="M89" s="119"/>
      <c r="N89" s="107">
        <f t="shared" si="34"/>
        <v>435</v>
      </c>
      <c r="O89" s="107">
        <f t="shared" si="35"/>
        <v>415</v>
      </c>
      <c r="P89" s="107">
        <f t="shared" si="36"/>
        <v>435</v>
      </c>
      <c r="Q89" s="118"/>
      <c r="S89" s="111"/>
      <c r="T89" s="112"/>
      <c r="U89" s="112"/>
      <c r="V89" s="112"/>
      <c r="W89" s="113"/>
    </row>
    <row r="91" spans="1:23" ht="18.75" x14ac:dyDescent="0.25">
      <c r="D91" s="199" t="s">
        <v>34</v>
      </c>
      <c r="E91" s="199"/>
      <c r="F91" s="199"/>
      <c r="G91" s="199"/>
      <c r="H91" s="199"/>
      <c r="I91" s="199"/>
      <c r="J91" s="199"/>
    </row>
    <row r="92" spans="1:23" x14ac:dyDescent="0.25">
      <c r="D92" s="204" t="s">
        <v>2</v>
      </c>
      <c r="E92" s="204"/>
      <c r="F92" s="204"/>
      <c r="G92" s="204"/>
      <c r="H92" s="204"/>
      <c r="I92" s="204"/>
      <c r="J92" s="204"/>
    </row>
    <row r="93" spans="1:23" x14ac:dyDescent="0.25">
      <c r="D93" s="204" t="s">
        <v>3</v>
      </c>
      <c r="E93" s="204"/>
      <c r="F93" s="204"/>
      <c r="G93" s="204" t="s">
        <v>22</v>
      </c>
      <c r="H93" s="204"/>
      <c r="I93" s="204"/>
      <c r="J93" s="204"/>
    </row>
    <row r="94" spans="1:23" x14ac:dyDescent="0.25">
      <c r="D94" s="204" t="s">
        <v>23</v>
      </c>
      <c r="E94" s="204"/>
      <c r="F94" s="204"/>
      <c r="G94" s="204" t="s">
        <v>30</v>
      </c>
      <c r="H94" s="204"/>
      <c r="I94" s="204"/>
      <c r="J94" s="204"/>
    </row>
    <row r="95" spans="1:23" x14ac:dyDescent="0.25">
      <c r="D95" s="204" t="s">
        <v>31</v>
      </c>
      <c r="E95" s="204"/>
      <c r="F95" s="204"/>
      <c r="G95" s="204" t="s">
        <v>32</v>
      </c>
      <c r="H95" s="204"/>
      <c r="I95" s="204"/>
      <c r="J95" s="204"/>
    </row>
    <row r="97" spans="1:23" x14ac:dyDescent="0.25">
      <c r="A97" s="197" t="s">
        <v>5</v>
      </c>
      <c r="B97" s="215" t="s">
        <v>6</v>
      </c>
      <c r="C97" s="216"/>
      <c r="D97" s="216"/>
      <c r="E97" s="216"/>
      <c r="F97" s="216"/>
      <c r="G97" s="216"/>
      <c r="H97" s="216"/>
      <c r="I97" s="216"/>
      <c r="J97" s="218" t="s">
        <v>7</v>
      </c>
      <c r="K97" s="218"/>
      <c r="L97" s="218"/>
      <c r="M97" s="218"/>
      <c r="N97" s="218"/>
      <c r="O97" s="218"/>
      <c r="P97" s="218"/>
      <c r="Q97" s="218"/>
    </row>
    <row r="98" spans="1:23" x14ac:dyDescent="0.25">
      <c r="A98" s="197"/>
      <c r="B98" s="215" t="s">
        <v>8</v>
      </c>
      <c r="C98" s="216"/>
      <c r="D98" s="216"/>
      <c r="E98" s="216"/>
      <c r="F98" s="216" t="s">
        <v>9</v>
      </c>
      <c r="G98" s="216"/>
      <c r="H98" s="216"/>
      <c r="I98" s="217"/>
      <c r="J98" s="215" t="s">
        <v>8</v>
      </c>
      <c r="K98" s="216"/>
      <c r="L98" s="216"/>
      <c r="M98" s="217"/>
      <c r="N98" s="219" t="s">
        <v>9</v>
      </c>
      <c r="O98" s="220"/>
      <c r="P98" s="220"/>
      <c r="Q98" s="220"/>
      <c r="S98" s="100"/>
      <c r="T98" s="101"/>
      <c r="U98" s="101"/>
      <c r="V98" s="101"/>
      <c r="W98" s="102"/>
    </row>
    <row r="99" spans="1:23" x14ac:dyDescent="0.25">
      <c r="A99" s="197"/>
      <c r="B99" s="107" t="s">
        <v>24</v>
      </c>
      <c r="C99" s="107" t="s">
        <v>27</v>
      </c>
      <c r="D99" s="107" t="s">
        <v>36</v>
      </c>
      <c r="E99" s="107" t="s">
        <v>45</v>
      </c>
      <c r="F99" s="107" t="s">
        <v>24</v>
      </c>
      <c r="G99" s="107" t="s">
        <v>27</v>
      </c>
      <c r="H99" s="107" t="s">
        <v>36</v>
      </c>
      <c r="I99" s="107" t="s">
        <v>45</v>
      </c>
      <c r="J99" s="107" t="s">
        <v>24</v>
      </c>
      <c r="K99" s="107" t="s">
        <v>27</v>
      </c>
      <c r="L99" s="107" t="s">
        <v>36</v>
      </c>
      <c r="M99" s="107" t="s">
        <v>45</v>
      </c>
      <c r="N99" s="107" t="s">
        <v>24</v>
      </c>
      <c r="O99" s="107" t="s">
        <v>27</v>
      </c>
      <c r="P99" s="107" t="s">
        <v>36</v>
      </c>
      <c r="Q99" s="107" t="s">
        <v>45</v>
      </c>
      <c r="S99" s="103"/>
      <c r="W99" s="104"/>
    </row>
    <row r="100" spans="1:23" x14ac:dyDescent="0.25">
      <c r="A100" s="107">
        <v>630</v>
      </c>
      <c r="B100" s="118">
        <f>'Стандартные размеры KLM-S'!B153</f>
        <v>300</v>
      </c>
      <c r="C100" s="107">
        <f>'Стандартные размеры KLM-S'!C153</f>
        <v>220</v>
      </c>
      <c r="D100" s="118">
        <f>'Стандартные размеры KLM-S'!D153</f>
        <v>300</v>
      </c>
      <c r="E100" s="107"/>
      <c r="F100" s="118">
        <f>'Стандартные размеры KLM-S'!F153</f>
        <v>300</v>
      </c>
      <c r="G100" s="107">
        <f>'Стандартные размеры KLM-S'!G153</f>
        <v>210</v>
      </c>
      <c r="H100" s="107">
        <f t="shared" ref="H100" si="37">F100</f>
        <v>300</v>
      </c>
      <c r="I100" s="107"/>
      <c r="J100" s="118">
        <f t="shared" ref="J100:J110" si="38">B100</f>
        <v>300</v>
      </c>
      <c r="K100" s="107">
        <f t="shared" ref="K100:K110" si="39">C100</f>
        <v>220</v>
      </c>
      <c r="L100" s="118">
        <f t="shared" ref="L100:L110" si="40">J100</f>
        <v>300</v>
      </c>
      <c r="M100" s="120"/>
      <c r="N100" s="118">
        <f t="shared" ref="N100:P110" si="41">F100</f>
        <v>300</v>
      </c>
      <c r="O100" s="107">
        <f t="shared" si="41"/>
        <v>210</v>
      </c>
      <c r="P100" s="118">
        <f t="shared" si="41"/>
        <v>300</v>
      </c>
      <c r="Q100" s="107"/>
      <c r="S100" s="103"/>
      <c r="W100" s="104"/>
    </row>
    <row r="101" spans="1:23" x14ac:dyDescent="0.25">
      <c r="A101" s="107">
        <v>800</v>
      </c>
      <c r="B101" s="118">
        <f>'Стандартные размеры KLM-S'!B154</f>
        <v>300</v>
      </c>
      <c r="C101" s="107">
        <f>'Стандартные размеры KLM-S'!C154</f>
        <v>260</v>
      </c>
      <c r="D101" s="118">
        <f>'Стандартные размеры KLM-S'!D154</f>
        <v>300</v>
      </c>
      <c r="E101" s="120"/>
      <c r="F101" s="118">
        <f>'Стандартные размеры KLM-S'!F154</f>
        <v>300</v>
      </c>
      <c r="G101" s="107">
        <f>'Стандартные размеры KLM-S'!G154</f>
        <v>250</v>
      </c>
      <c r="H101" s="107">
        <f t="shared" ref="H101:H110" si="42">F101</f>
        <v>300</v>
      </c>
      <c r="I101" s="120"/>
      <c r="J101" s="118">
        <f t="shared" si="38"/>
        <v>300</v>
      </c>
      <c r="K101" s="107">
        <f t="shared" si="39"/>
        <v>260</v>
      </c>
      <c r="L101" s="118">
        <f t="shared" si="40"/>
        <v>300</v>
      </c>
      <c r="M101" s="120"/>
      <c r="N101" s="118">
        <f t="shared" si="41"/>
        <v>300</v>
      </c>
      <c r="O101" s="107">
        <f t="shared" si="41"/>
        <v>250</v>
      </c>
      <c r="P101" s="118">
        <f t="shared" si="41"/>
        <v>300</v>
      </c>
      <c r="Q101" s="121"/>
      <c r="S101" s="103"/>
      <c r="W101" s="104"/>
    </row>
    <row r="102" spans="1:23" x14ac:dyDescent="0.25">
      <c r="A102" s="107">
        <v>1000</v>
      </c>
      <c r="B102" s="118">
        <f>'Стандартные размеры KLM-S'!B155</f>
        <v>450</v>
      </c>
      <c r="C102" s="107">
        <f>'Стандартные размеры KLM-S'!C155</f>
        <v>260</v>
      </c>
      <c r="D102" s="118">
        <f>'Стандартные размеры KLM-S'!D155</f>
        <v>450</v>
      </c>
      <c r="E102" s="120"/>
      <c r="F102" s="118">
        <f>'Стандартные размеры KLM-S'!F155</f>
        <v>300</v>
      </c>
      <c r="G102" s="107">
        <f>'Стандартные размеры KLM-S'!G155</f>
        <v>250</v>
      </c>
      <c r="H102" s="107">
        <f t="shared" si="42"/>
        <v>300</v>
      </c>
      <c r="I102" s="120"/>
      <c r="J102" s="118">
        <f t="shared" si="38"/>
        <v>450</v>
      </c>
      <c r="K102" s="107">
        <f t="shared" si="39"/>
        <v>260</v>
      </c>
      <c r="L102" s="118">
        <f t="shared" si="40"/>
        <v>450</v>
      </c>
      <c r="M102" s="120"/>
      <c r="N102" s="118">
        <f t="shared" si="41"/>
        <v>300</v>
      </c>
      <c r="O102" s="107">
        <f t="shared" ref="O102:O110" si="43">G102</f>
        <v>250</v>
      </c>
      <c r="P102" s="118">
        <f t="shared" ref="P102:P110" si="44">H102</f>
        <v>300</v>
      </c>
      <c r="Q102" s="121"/>
      <c r="S102" s="103"/>
      <c r="W102" s="104"/>
    </row>
    <row r="103" spans="1:23" x14ac:dyDescent="0.25">
      <c r="A103" s="107">
        <v>1250</v>
      </c>
      <c r="B103" s="118">
        <f>'Стандартные размеры KLM-S'!B156</f>
        <v>450</v>
      </c>
      <c r="C103" s="107">
        <f>'Стандартные размеры KLM-S'!C156</f>
        <v>300</v>
      </c>
      <c r="D103" s="118">
        <f>'Стандартные размеры KLM-S'!D156</f>
        <v>450</v>
      </c>
      <c r="E103" s="120"/>
      <c r="F103" s="118">
        <f>'Стандартные размеры KLM-S'!F156</f>
        <v>450</v>
      </c>
      <c r="G103" s="107">
        <f>'Стандартные размеры KLM-S'!G156</f>
        <v>260</v>
      </c>
      <c r="H103" s="107">
        <f t="shared" si="42"/>
        <v>450</v>
      </c>
      <c r="I103" s="120"/>
      <c r="J103" s="118">
        <f t="shared" si="38"/>
        <v>450</v>
      </c>
      <c r="K103" s="107">
        <f t="shared" si="39"/>
        <v>300</v>
      </c>
      <c r="L103" s="118">
        <f t="shared" si="40"/>
        <v>450</v>
      </c>
      <c r="M103" s="120"/>
      <c r="N103" s="118">
        <f t="shared" si="41"/>
        <v>450</v>
      </c>
      <c r="O103" s="107">
        <f t="shared" si="43"/>
        <v>260</v>
      </c>
      <c r="P103" s="118">
        <f t="shared" si="44"/>
        <v>450</v>
      </c>
      <c r="Q103" s="121"/>
      <c r="S103" s="103"/>
      <c r="W103" s="104"/>
    </row>
    <row r="104" spans="1:23" x14ac:dyDescent="0.25">
      <c r="A104" s="107">
        <v>1600</v>
      </c>
      <c r="B104" s="118">
        <f>'Стандартные размеры KLM-S'!B157</f>
        <v>450</v>
      </c>
      <c r="C104" s="107">
        <f>'Стандартные размеры KLM-S'!C157</f>
        <v>340</v>
      </c>
      <c r="D104" s="118">
        <f>'Стандартные размеры KLM-S'!D157</f>
        <v>450</v>
      </c>
      <c r="E104" s="120"/>
      <c r="F104" s="118">
        <f>'Стандартные размеры KLM-S'!F157</f>
        <v>450</v>
      </c>
      <c r="G104" s="107">
        <f>'Стандартные размеры KLM-S'!G157</f>
        <v>260</v>
      </c>
      <c r="H104" s="107">
        <f t="shared" si="42"/>
        <v>450</v>
      </c>
      <c r="I104" s="120"/>
      <c r="J104" s="118">
        <f t="shared" si="38"/>
        <v>450</v>
      </c>
      <c r="K104" s="107">
        <f t="shared" si="39"/>
        <v>340</v>
      </c>
      <c r="L104" s="118">
        <f t="shared" si="40"/>
        <v>450</v>
      </c>
      <c r="M104" s="120"/>
      <c r="N104" s="118">
        <f t="shared" si="41"/>
        <v>450</v>
      </c>
      <c r="O104" s="107">
        <f t="shared" si="43"/>
        <v>260</v>
      </c>
      <c r="P104" s="118">
        <f t="shared" si="44"/>
        <v>450</v>
      </c>
      <c r="Q104" s="121"/>
      <c r="S104" s="103"/>
      <c r="W104" s="104"/>
    </row>
    <row r="105" spans="1:23" x14ac:dyDescent="0.25">
      <c r="A105" s="107">
        <v>2000</v>
      </c>
      <c r="B105" s="118">
        <f>'Стандартные размеры KLM-S'!B158</f>
        <v>450</v>
      </c>
      <c r="C105" s="107">
        <f>'Стандартные размеры KLM-S'!C158</f>
        <v>380</v>
      </c>
      <c r="D105" s="118">
        <f>'Стандартные размеры KLM-S'!D158</f>
        <v>450</v>
      </c>
      <c r="E105" s="120"/>
      <c r="F105" s="118">
        <f>'Стандартные размеры KLM-S'!F158</f>
        <v>450</v>
      </c>
      <c r="G105" s="107">
        <f>'Стандартные размеры KLM-S'!G158</f>
        <v>300</v>
      </c>
      <c r="H105" s="107">
        <f t="shared" si="42"/>
        <v>450</v>
      </c>
      <c r="I105" s="120"/>
      <c r="J105" s="118">
        <f t="shared" si="38"/>
        <v>450</v>
      </c>
      <c r="K105" s="107">
        <f t="shared" si="39"/>
        <v>380</v>
      </c>
      <c r="L105" s="118">
        <f t="shared" si="40"/>
        <v>450</v>
      </c>
      <c r="M105" s="120"/>
      <c r="N105" s="118">
        <f t="shared" si="41"/>
        <v>450</v>
      </c>
      <c r="O105" s="107">
        <f t="shared" si="43"/>
        <v>300</v>
      </c>
      <c r="P105" s="118">
        <f t="shared" si="44"/>
        <v>450</v>
      </c>
      <c r="Q105" s="121"/>
      <c r="S105" s="103"/>
      <c r="W105" s="104"/>
    </row>
    <row r="106" spans="1:23" x14ac:dyDescent="0.25">
      <c r="A106" s="107">
        <v>2500</v>
      </c>
      <c r="B106" s="118">
        <f>'Стандартные размеры KLM-S'!B159</f>
        <v>600</v>
      </c>
      <c r="C106" s="107">
        <f>'Стандартные размеры KLM-S'!C159</f>
        <v>480</v>
      </c>
      <c r="D106" s="118">
        <f>'Стандартные размеры KLM-S'!D159</f>
        <v>600</v>
      </c>
      <c r="E106" s="120"/>
      <c r="F106" s="118">
        <f>'Стандартные размеры KLM-S'!F159</f>
        <v>450</v>
      </c>
      <c r="G106" s="107">
        <f>'Стандартные размеры KLM-S'!G159</f>
        <v>340</v>
      </c>
      <c r="H106" s="107">
        <f t="shared" si="42"/>
        <v>450</v>
      </c>
      <c r="I106" s="120"/>
      <c r="J106" s="118">
        <f t="shared" si="38"/>
        <v>600</v>
      </c>
      <c r="K106" s="107">
        <f t="shared" si="39"/>
        <v>480</v>
      </c>
      <c r="L106" s="118">
        <f t="shared" si="40"/>
        <v>600</v>
      </c>
      <c r="M106" s="120"/>
      <c r="N106" s="118">
        <f t="shared" si="41"/>
        <v>450</v>
      </c>
      <c r="O106" s="107">
        <f t="shared" si="43"/>
        <v>340</v>
      </c>
      <c r="P106" s="118">
        <f t="shared" si="44"/>
        <v>450</v>
      </c>
      <c r="Q106" s="121"/>
      <c r="S106" s="103"/>
      <c r="W106" s="104"/>
    </row>
    <row r="107" spans="1:23" x14ac:dyDescent="0.25">
      <c r="A107" s="107">
        <v>3200</v>
      </c>
      <c r="B107" s="118">
        <f>'Стандартные размеры KLM-S'!B160</f>
        <v>650</v>
      </c>
      <c r="C107" s="107">
        <f>'Стандартные размеры KLM-S'!C160</f>
        <v>550</v>
      </c>
      <c r="D107" s="118">
        <f>'Стандартные размеры KLM-S'!D160</f>
        <v>650</v>
      </c>
      <c r="E107" s="120"/>
      <c r="F107" s="118">
        <f>'Стандартные размеры KLM-S'!F160</f>
        <v>600</v>
      </c>
      <c r="G107" s="107">
        <f>'Стандартные размеры KLM-S'!G160</f>
        <v>420</v>
      </c>
      <c r="H107" s="107">
        <f t="shared" si="42"/>
        <v>600</v>
      </c>
      <c r="I107" s="120"/>
      <c r="J107" s="118">
        <f t="shared" si="38"/>
        <v>650</v>
      </c>
      <c r="K107" s="107">
        <f t="shared" si="39"/>
        <v>550</v>
      </c>
      <c r="L107" s="118">
        <f t="shared" si="40"/>
        <v>650</v>
      </c>
      <c r="M107" s="120"/>
      <c r="N107" s="118">
        <f t="shared" si="41"/>
        <v>600</v>
      </c>
      <c r="O107" s="107">
        <f t="shared" si="43"/>
        <v>420</v>
      </c>
      <c r="P107" s="118">
        <f t="shared" si="44"/>
        <v>600</v>
      </c>
      <c r="Q107" s="121"/>
      <c r="S107" s="103"/>
      <c r="W107" s="104"/>
    </row>
    <row r="108" spans="1:23" x14ac:dyDescent="0.25">
      <c r="A108" s="107">
        <v>4000</v>
      </c>
      <c r="B108" s="118">
        <f>'Стандартные размеры KLM-S'!B161</f>
        <v>750</v>
      </c>
      <c r="C108" s="107">
        <f>'Стандартные размеры KLM-S'!C161</f>
        <v>630</v>
      </c>
      <c r="D108" s="118">
        <f>'Стандартные размеры KLM-S'!D161</f>
        <v>750</v>
      </c>
      <c r="E108" s="120"/>
      <c r="F108" s="118">
        <f>'Стандартные размеры KLM-S'!F161</f>
        <v>650</v>
      </c>
      <c r="G108" s="107">
        <f>'Стандартные размеры KLM-S'!G161</f>
        <v>550</v>
      </c>
      <c r="H108" s="107">
        <f t="shared" si="42"/>
        <v>650</v>
      </c>
      <c r="I108" s="120"/>
      <c r="J108" s="118">
        <f t="shared" si="38"/>
        <v>750</v>
      </c>
      <c r="K108" s="107">
        <f t="shared" si="39"/>
        <v>630</v>
      </c>
      <c r="L108" s="118">
        <f t="shared" si="40"/>
        <v>750</v>
      </c>
      <c r="M108" s="120"/>
      <c r="N108" s="118">
        <f t="shared" si="41"/>
        <v>650</v>
      </c>
      <c r="O108" s="107">
        <f t="shared" si="43"/>
        <v>550</v>
      </c>
      <c r="P108" s="118">
        <f t="shared" si="44"/>
        <v>650</v>
      </c>
      <c r="Q108" s="121"/>
      <c r="S108" s="103"/>
      <c r="W108" s="104"/>
    </row>
    <row r="109" spans="1:23" x14ac:dyDescent="0.25">
      <c r="A109" s="107">
        <v>5000</v>
      </c>
      <c r="B109" s="118">
        <f>'Стандартные размеры KLM-S'!B162</f>
        <v>950</v>
      </c>
      <c r="C109" s="107">
        <f>'Стандартные размеры KLM-S'!C162</f>
        <v>850</v>
      </c>
      <c r="D109" s="118">
        <f>'Стандартные размеры KLM-S'!D162</f>
        <v>950</v>
      </c>
      <c r="E109" s="120"/>
      <c r="F109" s="118">
        <f>'Стандартные размеры KLM-S'!F162</f>
        <v>750</v>
      </c>
      <c r="G109" s="107">
        <f>'Стандартные размеры KLM-S'!G162</f>
        <v>830</v>
      </c>
      <c r="H109" s="107">
        <f t="shared" si="42"/>
        <v>750</v>
      </c>
      <c r="I109" s="120"/>
      <c r="J109" s="118">
        <f t="shared" si="38"/>
        <v>950</v>
      </c>
      <c r="K109" s="107">
        <f t="shared" si="39"/>
        <v>850</v>
      </c>
      <c r="L109" s="118">
        <f t="shared" si="40"/>
        <v>950</v>
      </c>
      <c r="M109" s="120"/>
      <c r="N109" s="118">
        <f t="shared" si="41"/>
        <v>750</v>
      </c>
      <c r="O109" s="107">
        <f t="shared" si="43"/>
        <v>830</v>
      </c>
      <c r="P109" s="118">
        <f t="shared" si="44"/>
        <v>750</v>
      </c>
      <c r="Q109" s="121"/>
      <c r="S109" s="103"/>
      <c r="W109" s="104"/>
    </row>
    <row r="110" spans="1:23" x14ac:dyDescent="0.25">
      <c r="A110" s="107">
        <v>6300</v>
      </c>
      <c r="B110" s="118">
        <f>'Стандартные размеры KLM-S'!B163</f>
        <v>1100</v>
      </c>
      <c r="C110" s="107">
        <f>'Стандартные размеры KLM-S'!C163</f>
        <v>970</v>
      </c>
      <c r="D110" s="118">
        <f>'Стандартные размеры KLM-S'!D163</f>
        <v>1100</v>
      </c>
      <c r="E110" s="120"/>
      <c r="F110" s="118">
        <f>'Стандартные размеры KLM-S'!F163</f>
        <v>950</v>
      </c>
      <c r="G110" s="107">
        <f>'Стандартные размеры KLM-S'!G163</f>
        <v>850</v>
      </c>
      <c r="H110" s="107">
        <f t="shared" si="42"/>
        <v>950</v>
      </c>
      <c r="I110" s="120"/>
      <c r="J110" s="118">
        <f t="shared" si="38"/>
        <v>1100</v>
      </c>
      <c r="K110" s="107">
        <f t="shared" si="39"/>
        <v>970</v>
      </c>
      <c r="L110" s="118">
        <f t="shared" si="40"/>
        <v>1100</v>
      </c>
      <c r="M110" s="120"/>
      <c r="N110" s="118">
        <f t="shared" si="41"/>
        <v>950</v>
      </c>
      <c r="O110" s="107">
        <f t="shared" si="43"/>
        <v>850</v>
      </c>
      <c r="P110" s="118">
        <f t="shared" si="44"/>
        <v>950</v>
      </c>
      <c r="Q110" s="121"/>
      <c r="S110" s="111"/>
      <c r="T110" s="112"/>
      <c r="U110" s="112"/>
      <c r="V110" s="112"/>
      <c r="W110" s="113"/>
    </row>
    <row r="112" spans="1:23" ht="18.75" x14ac:dyDescent="0.25">
      <c r="D112" s="199" t="s">
        <v>35</v>
      </c>
      <c r="E112" s="199"/>
      <c r="F112" s="199"/>
      <c r="G112" s="199"/>
      <c r="H112" s="199"/>
      <c r="I112" s="199"/>
      <c r="J112" s="199"/>
    </row>
    <row r="113" spans="1:23" x14ac:dyDescent="0.25">
      <c r="D113" s="204" t="s">
        <v>2</v>
      </c>
      <c r="E113" s="204"/>
      <c r="F113" s="204"/>
      <c r="G113" s="204"/>
      <c r="H113" s="204"/>
      <c r="I113" s="204"/>
      <c r="J113" s="204"/>
    </row>
    <row r="114" spans="1:23" x14ac:dyDescent="0.25">
      <c r="D114" s="204" t="s">
        <v>3</v>
      </c>
      <c r="E114" s="204"/>
      <c r="F114" s="204"/>
      <c r="G114" s="204" t="s">
        <v>30</v>
      </c>
      <c r="H114" s="204"/>
      <c r="I114" s="204"/>
      <c r="J114" s="204"/>
    </row>
    <row r="115" spans="1:23" x14ac:dyDescent="0.25">
      <c r="D115" s="204" t="s">
        <v>23</v>
      </c>
      <c r="E115" s="204"/>
      <c r="F115" s="204"/>
      <c r="G115" s="204" t="s">
        <v>30</v>
      </c>
      <c r="H115" s="204"/>
      <c r="I115" s="204"/>
      <c r="J115" s="204"/>
    </row>
    <row r="116" spans="1:23" x14ac:dyDescent="0.25">
      <c r="D116" s="204" t="s">
        <v>31</v>
      </c>
      <c r="E116" s="204"/>
      <c r="F116" s="204"/>
      <c r="G116" s="204" t="s">
        <v>32</v>
      </c>
      <c r="H116" s="204"/>
      <c r="I116" s="204"/>
      <c r="J116" s="204"/>
    </row>
    <row r="118" spans="1:23" x14ac:dyDescent="0.25">
      <c r="A118" s="197" t="s">
        <v>5</v>
      </c>
      <c r="B118" s="197" t="s">
        <v>6</v>
      </c>
      <c r="C118" s="197"/>
      <c r="D118" s="197"/>
      <c r="E118" s="197"/>
      <c r="F118" s="197"/>
      <c r="G118" s="197"/>
      <c r="H118" s="197"/>
      <c r="I118" s="197"/>
      <c r="J118" s="197" t="s">
        <v>7</v>
      </c>
      <c r="K118" s="197"/>
      <c r="L118" s="197"/>
      <c r="M118" s="197"/>
      <c r="N118" s="197"/>
      <c r="O118" s="197"/>
      <c r="P118" s="197"/>
      <c r="Q118" s="197"/>
      <c r="S118" s="100"/>
      <c r="T118" s="101"/>
      <c r="U118" s="101"/>
      <c r="V118" s="101"/>
      <c r="W118" s="102"/>
    </row>
    <row r="119" spans="1:23" x14ac:dyDescent="0.25">
      <c r="A119" s="197"/>
      <c r="B119" s="197" t="s">
        <v>8</v>
      </c>
      <c r="C119" s="197"/>
      <c r="D119" s="197"/>
      <c r="E119" s="197"/>
      <c r="F119" s="197" t="s">
        <v>9</v>
      </c>
      <c r="G119" s="197"/>
      <c r="H119" s="197"/>
      <c r="I119" s="197"/>
      <c r="J119" s="197" t="s">
        <v>8</v>
      </c>
      <c r="K119" s="197"/>
      <c r="L119" s="197"/>
      <c r="M119" s="197"/>
      <c r="N119" s="197" t="s">
        <v>9</v>
      </c>
      <c r="O119" s="197"/>
      <c r="P119" s="197"/>
      <c r="Q119" s="197"/>
      <c r="S119" s="103"/>
      <c r="W119" s="104"/>
    </row>
    <row r="120" spans="1:23" x14ac:dyDescent="0.25">
      <c r="A120" s="197"/>
      <c r="B120" s="107" t="s">
        <v>24</v>
      </c>
      <c r="C120" s="107" t="s">
        <v>27</v>
      </c>
      <c r="D120" s="107" t="s">
        <v>36</v>
      </c>
      <c r="E120" s="107" t="s">
        <v>45</v>
      </c>
      <c r="F120" s="107" t="s">
        <v>24</v>
      </c>
      <c r="G120" s="107" t="s">
        <v>27</v>
      </c>
      <c r="H120" s="107" t="s">
        <v>36</v>
      </c>
      <c r="I120" s="107" t="s">
        <v>45</v>
      </c>
      <c r="J120" s="107" t="s">
        <v>24</v>
      </c>
      <c r="K120" s="107" t="s">
        <v>27</v>
      </c>
      <c r="L120" s="107" t="s">
        <v>36</v>
      </c>
      <c r="M120" s="107" t="s">
        <v>45</v>
      </c>
      <c r="N120" s="107" t="s">
        <v>24</v>
      </c>
      <c r="O120" s="107" t="s">
        <v>27</v>
      </c>
      <c r="P120" s="107" t="s">
        <v>36</v>
      </c>
      <c r="Q120" s="107" t="s">
        <v>45</v>
      </c>
      <c r="S120" s="103"/>
      <c r="W120" s="104"/>
    </row>
    <row r="121" spans="1:23" x14ac:dyDescent="0.25">
      <c r="A121" s="107">
        <v>630</v>
      </c>
      <c r="B121" s="118">
        <f>'Стандартные размеры KLM-S'!B179</f>
        <v>530</v>
      </c>
      <c r="C121" s="118">
        <f>'Стандартные размеры KLM-S'!C174</f>
        <v>300</v>
      </c>
      <c r="D121" s="118">
        <f>'Стандартные размеры KLM-S'!D174</f>
        <v>265</v>
      </c>
      <c r="E121" s="107"/>
      <c r="F121" s="118">
        <f>'Стандартные размеры KLM-S'!F174</f>
        <v>530</v>
      </c>
      <c r="G121" s="118">
        <f>'Стандартные размеры KLM-S'!G174</f>
        <v>300</v>
      </c>
      <c r="H121" s="118">
        <f>'Стандартные размеры KLM-S'!H174</f>
        <v>265</v>
      </c>
      <c r="I121" s="107"/>
      <c r="J121" s="107">
        <f t="shared" ref="J121:L131" si="45">B121</f>
        <v>530</v>
      </c>
      <c r="K121" s="107">
        <f t="shared" ref="K121:L122" si="46">C121</f>
        <v>300</v>
      </c>
      <c r="L121" s="107">
        <f t="shared" si="46"/>
        <v>265</v>
      </c>
      <c r="M121" s="107"/>
      <c r="N121" s="107">
        <f t="shared" ref="N121:N142" si="47">F121</f>
        <v>530</v>
      </c>
      <c r="O121" s="107">
        <f t="shared" ref="O121:P131" si="48">G121</f>
        <v>300</v>
      </c>
      <c r="P121" s="118">
        <f t="shared" si="48"/>
        <v>265</v>
      </c>
      <c r="Q121" s="107"/>
      <c r="S121" s="103"/>
      <c r="W121" s="104"/>
    </row>
    <row r="122" spans="1:23" x14ac:dyDescent="0.25">
      <c r="A122" s="107">
        <v>800</v>
      </c>
      <c r="B122" s="118">
        <f>'Стандартные размеры KLM-S'!B180</f>
        <v>530</v>
      </c>
      <c r="C122" s="118">
        <f>'Стандартные размеры KLM-S'!C175</f>
        <v>300</v>
      </c>
      <c r="D122" s="118">
        <f>'Стандартные размеры KLM-S'!D175</f>
        <v>265</v>
      </c>
      <c r="E122" s="122"/>
      <c r="F122" s="118">
        <f>'Стандартные размеры KLM-S'!F175</f>
        <v>530</v>
      </c>
      <c r="G122" s="118">
        <f>'Стандартные размеры KLM-S'!G175</f>
        <v>300</v>
      </c>
      <c r="H122" s="118">
        <f>'Стандартные размеры KLM-S'!H175</f>
        <v>265</v>
      </c>
      <c r="I122" s="122"/>
      <c r="J122" s="107">
        <f t="shared" si="45"/>
        <v>530</v>
      </c>
      <c r="K122" s="107">
        <f t="shared" si="46"/>
        <v>300</v>
      </c>
      <c r="L122" s="118">
        <f>D122</f>
        <v>265</v>
      </c>
      <c r="M122" s="122"/>
      <c r="N122" s="118">
        <f t="shared" si="47"/>
        <v>530</v>
      </c>
      <c r="O122" s="118">
        <f t="shared" si="48"/>
        <v>300</v>
      </c>
      <c r="P122" s="118">
        <f t="shared" si="48"/>
        <v>265</v>
      </c>
      <c r="Q122" s="123"/>
      <c r="S122" s="103"/>
      <c r="W122" s="104"/>
    </row>
    <row r="123" spans="1:23" x14ac:dyDescent="0.25">
      <c r="A123" s="107">
        <v>1000</v>
      </c>
      <c r="B123" s="118">
        <f>'Стандартные размеры KLM-S'!B181</f>
        <v>760</v>
      </c>
      <c r="C123" s="118">
        <f>'Стандартные размеры KLM-S'!C177</f>
        <v>300</v>
      </c>
      <c r="D123" s="118">
        <f>'Стандартные размеры KLM-S'!D177</f>
        <v>265</v>
      </c>
      <c r="E123" s="122"/>
      <c r="F123" s="118">
        <f>'Стандартные размеры KLM-S'!F177</f>
        <v>530</v>
      </c>
      <c r="G123" s="118">
        <f>'Стандартные размеры KLM-S'!G177</f>
        <v>300</v>
      </c>
      <c r="H123" s="118">
        <f>'Стандартные размеры KLM-S'!H177</f>
        <v>265</v>
      </c>
      <c r="I123" s="122"/>
      <c r="J123" s="107">
        <f t="shared" si="45"/>
        <v>760</v>
      </c>
      <c r="K123" s="107">
        <f t="shared" si="45"/>
        <v>300</v>
      </c>
      <c r="L123" s="118">
        <f t="shared" si="45"/>
        <v>265</v>
      </c>
      <c r="M123" s="122"/>
      <c r="N123" s="118">
        <f t="shared" si="47"/>
        <v>530</v>
      </c>
      <c r="O123" s="118">
        <f t="shared" si="48"/>
        <v>300</v>
      </c>
      <c r="P123" s="118">
        <f t="shared" si="48"/>
        <v>265</v>
      </c>
      <c r="Q123" s="123"/>
      <c r="S123" s="103"/>
      <c r="W123" s="104"/>
    </row>
    <row r="124" spans="1:23" x14ac:dyDescent="0.25">
      <c r="A124" s="107">
        <v>1250</v>
      </c>
      <c r="B124" s="118">
        <f>'Стандартные размеры KLM-S'!B182</f>
        <v>730</v>
      </c>
      <c r="C124" s="118">
        <f>'Стандартные размеры KLM-S'!C179</f>
        <v>300</v>
      </c>
      <c r="D124" s="118">
        <f>'Стандартные размеры KLM-S'!D179</f>
        <v>265</v>
      </c>
      <c r="E124" s="122"/>
      <c r="F124" s="118">
        <f>'Стандартные размеры KLM-S'!F179</f>
        <v>530</v>
      </c>
      <c r="G124" s="118">
        <f>'Стандартные размеры KLM-S'!G179</f>
        <v>300</v>
      </c>
      <c r="H124" s="118">
        <f>'Стандартные размеры KLM-S'!H179</f>
        <v>265</v>
      </c>
      <c r="I124" s="122"/>
      <c r="J124" s="107">
        <f t="shared" si="45"/>
        <v>730</v>
      </c>
      <c r="K124" s="107">
        <f t="shared" si="45"/>
        <v>300</v>
      </c>
      <c r="L124" s="118">
        <f t="shared" si="45"/>
        <v>265</v>
      </c>
      <c r="M124" s="122"/>
      <c r="N124" s="118">
        <f t="shared" si="47"/>
        <v>530</v>
      </c>
      <c r="O124" s="118">
        <f t="shared" si="48"/>
        <v>300</v>
      </c>
      <c r="P124" s="118">
        <f t="shared" si="48"/>
        <v>265</v>
      </c>
      <c r="Q124" s="123"/>
      <c r="S124" s="103"/>
      <c r="W124" s="104"/>
    </row>
    <row r="125" spans="1:23" x14ac:dyDescent="0.25">
      <c r="A125" s="107">
        <v>1600</v>
      </c>
      <c r="B125" s="118">
        <f>'Стандартные размеры KLM-S'!B183</f>
        <v>700</v>
      </c>
      <c r="C125" s="118">
        <f>'Стандартные размеры KLM-S'!C180</f>
        <v>300</v>
      </c>
      <c r="D125" s="118">
        <f>'Стандартные размеры KLM-S'!D180</f>
        <v>265</v>
      </c>
      <c r="E125" s="122"/>
      <c r="F125" s="118">
        <f>'Стандартные размеры KLM-S'!F180</f>
        <v>530</v>
      </c>
      <c r="G125" s="118">
        <f>'Стандартные размеры KLM-S'!G180</f>
        <v>300</v>
      </c>
      <c r="H125" s="118">
        <f>'Стандартные размеры KLM-S'!H180</f>
        <v>265</v>
      </c>
      <c r="I125" s="122"/>
      <c r="J125" s="107">
        <f t="shared" si="45"/>
        <v>700</v>
      </c>
      <c r="K125" s="107">
        <f t="shared" si="45"/>
        <v>300</v>
      </c>
      <c r="L125" s="118">
        <f t="shared" si="45"/>
        <v>265</v>
      </c>
      <c r="M125" s="122"/>
      <c r="N125" s="118">
        <f t="shared" si="47"/>
        <v>530</v>
      </c>
      <c r="O125" s="118">
        <f t="shared" si="48"/>
        <v>300</v>
      </c>
      <c r="P125" s="118">
        <f t="shared" si="48"/>
        <v>265</v>
      </c>
      <c r="Q125" s="123"/>
      <c r="S125" s="103"/>
      <c r="W125" s="104"/>
    </row>
    <row r="126" spans="1:23" x14ac:dyDescent="0.25">
      <c r="A126" s="107">
        <v>2000</v>
      </c>
      <c r="B126" s="118">
        <f>'Стандартные размеры KLM-S'!B184</f>
        <v>660</v>
      </c>
      <c r="C126" s="118">
        <f>'Стандартные размеры KLM-S'!C181</f>
        <v>450</v>
      </c>
      <c r="D126" s="118">
        <f>'Стандартные размеры KLM-S'!D181</f>
        <v>380</v>
      </c>
      <c r="E126" s="122"/>
      <c r="F126" s="118">
        <f>'Стандартные размеры KLM-S'!F181</f>
        <v>495</v>
      </c>
      <c r="G126" s="118">
        <f>'Стандартные размеры KLM-S'!G181</f>
        <v>300</v>
      </c>
      <c r="H126" s="118">
        <f>'Стандартные размеры KLM-S'!H181</f>
        <v>247.5</v>
      </c>
      <c r="I126" s="122"/>
      <c r="J126" s="107">
        <f t="shared" si="45"/>
        <v>660</v>
      </c>
      <c r="K126" s="107">
        <f t="shared" si="45"/>
        <v>450</v>
      </c>
      <c r="L126" s="118">
        <f t="shared" si="45"/>
        <v>380</v>
      </c>
      <c r="M126" s="122"/>
      <c r="N126" s="118">
        <f t="shared" si="47"/>
        <v>495</v>
      </c>
      <c r="O126" s="118">
        <f t="shared" si="48"/>
        <v>300</v>
      </c>
      <c r="P126" s="118">
        <f t="shared" si="48"/>
        <v>247.5</v>
      </c>
      <c r="Q126" s="123"/>
      <c r="S126" s="103"/>
      <c r="W126" s="104"/>
    </row>
    <row r="127" spans="1:23" x14ac:dyDescent="0.25">
      <c r="A127" s="107">
        <v>2500</v>
      </c>
      <c r="B127" s="118">
        <f>'Стандартные размеры KLM-S'!B185</f>
        <v>850</v>
      </c>
      <c r="C127" s="118">
        <f>'Стандартные размеры KLM-S'!C182</f>
        <v>450</v>
      </c>
      <c r="D127" s="118">
        <f>'Стандартные размеры KLM-S'!D182</f>
        <v>365</v>
      </c>
      <c r="E127" s="122"/>
      <c r="F127" s="118">
        <f>'Стандартные размеры KLM-S'!F182</f>
        <v>780</v>
      </c>
      <c r="G127" s="118">
        <f>'Стандартные размеры KLM-S'!G182</f>
        <v>450</v>
      </c>
      <c r="H127" s="118">
        <f>'Стандартные размеры KLM-S'!H182</f>
        <v>390</v>
      </c>
      <c r="I127" s="122"/>
      <c r="J127" s="107">
        <f t="shared" si="45"/>
        <v>850</v>
      </c>
      <c r="K127" s="107">
        <f t="shared" si="45"/>
        <v>450</v>
      </c>
      <c r="L127" s="118">
        <f t="shared" si="45"/>
        <v>365</v>
      </c>
      <c r="M127" s="122"/>
      <c r="N127" s="118">
        <f t="shared" si="47"/>
        <v>780</v>
      </c>
      <c r="O127" s="118">
        <f t="shared" si="48"/>
        <v>450</v>
      </c>
      <c r="P127" s="118">
        <f t="shared" si="48"/>
        <v>390</v>
      </c>
      <c r="Q127" s="123"/>
      <c r="S127" s="103"/>
      <c r="W127" s="104"/>
    </row>
    <row r="128" spans="1:23" x14ac:dyDescent="0.25">
      <c r="A128" s="107">
        <v>3200</v>
      </c>
      <c r="B128" s="118">
        <f>'Стандартные размеры KLM-S'!B186</f>
        <v>890</v>
      </c>
      <c r="C128" s="118">
        <f>'Стандартные размеры KLM-S'!C183</f>
        <v>450</v>
      </c>
      <c r="D128" s="118">
        <f>'Стандартные размеры KLM-S'!D183</f>
        <v>350</v>
      </c>
      <c r="E128" s="122"/>
      <c r="F128" s="118">
        <f>'Стандартные размеры KLM-S'!F183</f>
        <v>760</v>
      </c>
      <c r="G128" s="118">
        <f>'Стандартные размеры KLM-S'!G183</f>
        <v>450</v>
      </c>
      <c r="H128" s="118">
        <f>'Стандартные размеры KLM-S'!H183</f>
        <v>380</v>
      </c>
      <c r="I128" s="122"/>
      <c r="J128" s="107">
        <f t="shared" si="45"/>
        <v>890</v>
      </c>
      <c r="K128" s="107">
        <f t="shared" si="45"/>
        <v>450</v>
      </c>
      <c r="L128" s="118">
        <f t="shared" si="45"/>
        <v>350</v>
      </c>
      <c r="M128" s="122"/>
      <c r="N128" s="118">
        <f t="shared" si="47"/>
        <v>760</v>
      </c>
      <c r="O128" s="118">
        <f t="shared" si="48"/>
        <v>450</v>
      </c>
      <c r="P128" s="118">
        <f t="shared" si="48"/>
        <v>380</v>
      </c>
      <c r="Q128" s="123"/>
      <c r="S128" s="103"/>
      <c r="W128" s="104"/>
    </row>
    <row r="129" spans="1:26" x14ac:dyDescent="0.25">
      <c r="A129" s="107">
        <v>4000</v>
      </c>
      <c r="B129" s="118">
        <f>'Стандартные размеры KLM-S'!B187</f>
        <v>1010</v>
      </c>
      <c r="C129" s="118">
        <f>'Стандартные размеры KLM-S'!C184</f>
        <v>450</v>
      </c>
      <c r="D129" s="118">
        <f>'Стандартные размеры KLM-S'!D184</f>
        <v>330</v>
      </c>
      <c r="E129" s="122"/>
      <c r="F129" s="118">
        <f>'Стандартные размеры KLM-S'!F184</f>
        <v>700</v>
      </c>
      <c r="G129" s="118">
        <f>'Стандартные размеры KLM-S'!G184</f>
        <v>450</v>
      </c>
      <c r="H129" s="118">
        <f>'Стандартные размеры KLM-S'!H184</f>
        <v>350</v>
      </c>
      <c r="I129" s="122"/>
      <c r="J129" s="107">
        <f t="shared" si="45"/>
        <v>1010</v>
      </c>
      <c r="K129" s="107">
        <f t="shared" si="45"/>
        <v>450</v>
      </c>
      <c r="L129" s="118">
        <f t="shared" si="45"/>
        <v>330</v>
      </c>
      <c r="M129" s="122"/>
      <c r="N129" s="118">
        <f t="shared" si="47"/>
        <v>700</v>
      </c>
      <c r="O129" s="118">
        <f t="shared" si="48"/>
        <v>450</v>
      </c>
      <c r="P129" s="118">
        <f t="shared" si="48"/>
        <v>350</v>
      </c>
      <c r="Q129" s="123"/>
      <c r="S129" s="103"/>
      <c r="W129" s="104"/>
    </row>
    <row r="130" spans="1:26" x14ac:dyDescent="0.25">
      <c r="A130" s="107">
        <v>5000</v>
      </c>
      <c r="B130" s="118">
        <f>'Стандартные размеры KLM-S'!B188</f>
        <v>1200</v>
      </c>
      <c r="C130" s="118">
        <f>'Стандартные размеры KLM-S'!C185</f>
        <v>600</v>
      </c>
      <c r="D130" s="118">
        <f>'Стандартные размеры KLM-S'!D185</f>
        <v>425</v>
      </c>
      <c r="E130" s="122"/>
      <c r="F130" s="118">
        <f>'Стандартные размеры KLM-S'!F185</f>
        <v>660</v>
      </c>
      <c r="G130" s="118">
        <f>'Стандартные размеры KLM-S'!G185</f>
        <v>450</v>
      </c>
      <c r="H130" s="118">
        <f>'Стандартные размеры KLM-S'!H185</f>
        <v>330</v>
      </c>
      <c r="I130" s="122"/>
      <c r="J130" s="107">
        <f t="shared" si="45"/>
        <v>1200</v>
      </c>
      <c r="K130" s="107">
        <f t="shared" si="45"/>
        <v>600</v>
      </c>
      <c r="L130" s="118">
        <f t="shared" si="45"/>
        <v>425</v>
      </c>
      <c r="M130" s="122"/>
      <c r="N130" s="118">
        <f t="shared" si="47"/>
        <v>660</v>
      </c>
      <c r="O130" s="118">
        <f t="shared" si="48"/>
        <v>450</v>
      </c>
      <c r="P130" s="118">
        <f t="shared" si="48"/>
        <v>330</v>
      </c>
      <c r="Q130" s="123"/>
      <c r="S130" s="103"/>
      <c r="W130" s="104"/>
    </row>
    <row r="131" spans="1:26" x14ac:dyDescent="0.25">
      <c r="A131" s="107">
        <v>6300</v>
      </c>
      <c r="B131" s="118">
        <f>'Стандартные размеры KLM-S'!B189</f>
        <v>1380</v>
      </c>
      <c r="C131" s="118">
        <f>'Стандартные размеры KLM-S'!C186</f>
        <v>650</v>
      </c>
      <c r="D131" s="118">
        <f>'Стандартные размеры KLM-S'!D186</f>
        <v>445</v>
      </c>
      <c r="E131" s="122"/>
      <c r="F131" s="118">
        <f>'Стандартные размеры KLM-S'!F186</f>
        <v>850</v>
      </c>
      <c r="G131" s="118">
        <f>'Стандартные размеры KLM-S'!G186</f>
        <v>600</v>
      </c>
      <c r="H131" s="118">
        <f>'Стандартные размеры KLM-S'!H186</f>
        <v>425</v>
      </c>
      <c r="I131" s="122"/>
      <c r="J131" s="107">
        <f t="shared" si="45"/>
        <v>1380</v>
      </c>
      <c r="K131" s="107">
        <f t="shared" si="45"/>
        <v>650</v>
      </c>
      <c r="L131" s="118">
        <f t="shared" si="45"/>
        <v>445</v>
      </c>
      <c r="M131" s="122"/>
      <c r="N131" s="118">
        <f t="shared" si="47"/>
        <v>850</v>
      </c>
      <c r="O131" s="118">
        <f t="shared" si="48"/>
        <v>600</v>
      </c>
      <c r="P131" s="118">
        <f t="shared" si="48"/>
        <v>425</v>
      </c>
      <c r="Q131" s="123"/>
      <c r="S131" s="111"/>
      <c r="T131" s="112"/>
      <c r="U131" s="112"/>
      <c r="V131" s="112"/>
      <c r="W131" s="113"/>
    </row>
    <row r="133" spans="1:26" ht="18.75" x14ac:dyDescent="0.25">
      <c r="D133" s="199" t="s">
        <v>37</v>
      </c>
      <c r="E133" s="199"/>
      <c r="F133" s="199"/>
      <c r="G133" s="199"/>
      <c r="H133" s="199"/>
      <c r="I133" s="199"/>
      <c r="J133" s="199"/>
    </row>
    <row r="134" spans="1:26" x14ac:dyDescent="0.25">
      <c r="D134" s="204" t="s">
        <v>2</v>
      </c>
      <c r="E134" s="204"/>
      <c r="F134" s="204"/>
      <c r="G134" s="204"/>
      <c r="H134" s="204"/>
      <c r="I134" s="204"/>
      <c r="J134" s="204"/>
    </row>
    <row r="135" spans="1:26" x14ac:dyDescent="0.25">
      <c r="D135" s="204" t="s">
        <v>3</v>
      </c>
      <c r="E135" s="204"/>
      <c r="F135" s="204"/>
      <c r="G135" s="204" t="s">
        <v>22</v>
      </c>
      <c r="H135" s="204"/>
      <c r="I135" s="204"/>
      <c r="J135" s="204"/>
    </row>
    <row r="136" spans="1:26" x14ac:dyDescent="0.25">
      <c r="D136" s="204" t="s">
        <v>23</v>
      </c>
      <c r="E136" s="204"/>
      <c r="F136" s="204"/>
      <c r="G136" s="204" t="s">
        <v>22</v>
      </c>
      <c r="H136" s="204"/>
      <c r="I136" s="204"/>
      <c r="J136" s="204"/>
    </row>
    <row r="137" spans="1:26" x14ac:dyDescent="0.25">
      <c r="D137" s="204" t="s">
        <v>31</v>
      </c>
      <c r="E137" s="204"/>
      <c r="F137" s="204"/>
      <c r="G137" s="204" t="s">
        <v>32</v>
      </c>
      <c r="H137" s="204"/>
      <c r="I137" s="204"/>
      <c r="J137" s="204"/>
    </row>
    <row r="139" spans="1:26" x14ac:dyDescent="0.25">
      <c r="A139" s="215" t="s">
        <v>5</v>
      </c>
      <c r="B139" s="215" t="s">
        <v>6</v>
      </c>
      <c r="C139" s="216"/>
      <c r="D139" s="216"/>
      <c r="E139" s="216"/>
      <c r="F139" s="216"/>
      <c r="G139" s="216"/>
      <c r="H139" s="216"/>
      <c r="I139" s="217"/>
      <c r="J139" s="215" t="s">
        <v>7</v>
      </c>
      <c r="K139" s="216"/>
      <c r="L139" s="216"/>
      <c r="M139" s="216"/>
      <c r="N139" s="216"/>
      <c r="O139" s="216"/>
      <c r="P139" s="216"/>
      <c r="Q139" s="217"/>
      <c r="S139" s="100"/>
      <c r="T139" s="101"/>
      <c r="U139" s="101"/>
      <c r="V139" s="101"/>
      <c r="W139" s="101"/>
      <c r="X139" s="101"/>
      <c r="Y139" s="101"/>
      <c r="Z139" s="102"/>
    </row>
    <row r="140" spans="1:26" x14ac:dyDescent="0.25">
      <c r="A140" s="197"/>
      <c r="B140" s="197" t="s">
        <v>8</v>
      </c>
      <c r="C140" s="197"/>
      <c r="D140" s="197"/>
      <c r="E140" s="197"/>
      <c r="F140" s="197" t="s">
        <v>9</v>
      </c>
      <c r="G140" s="197"/>
      <c r="H140" s="197"/>
      <c r="I140" s="197"/>
      <c r="J140" s="197" t="s">
        <v>8</v>
      </c>
      <c r="K140" s="197"/>
      <c r="L140" s="197"/>
      <c r="M140" s="197"/>
      <c r="N140" s="197" t="s">
        <v>9</v>
      </c>
      <c r="O140" s="197"/>
      <c r="P140" s="197"/>
      <c r="Q140" s="197"/>
      <c r="S140" s="103"/>
      <c r="Z140" s="104"/>
    </row>
    <row r="141" spans="1:26" x14ac:dyDescent="0.25">
      <c r="A141" s="197"/>
      <c r="B141" s="107" t="s">
        <v>24</v>
      </c>
      <c r="C141" s="107" t="s">
        <v>27</v>
      </c>
      <c r="D141" s="107" t="s">
        <v>36</v>
      </c>
      <c r="E141" s="107" t="s">
        <v>45</v>
      </c>
      <c r="F141" s="107" t="s">
        <v>24</v>
      </c>
      <c r="G141" s="107" t="s">
        <v>27</v>
      </c>
      <c r="H141" s="107" t="s">
        <v>36</v>
      </c>
      <c r="I141" s="107" t="s">
        <v>45</v>
      </c>
      <c r="J141" s="107" t="s">
        <v>24</v>
      </c>
      <c r="K141" s="107" t="s">
        <v>27</v>
      </c>
      <c r="L141" s="107" t="s">
        <v>36</v>
      </c>
      <c r="M141" s="107" t="s">
        <v>45</v>
      </c>
      <c r="N141" s="107" t="s">
        <v>24</v>
      </c>
      <c r="O141" s="107" t="s">
        <v>27</v>
      </c>
      <c r="P141" s="107" t="s">
        <v>36</v>
      </c>
      <c r="Q141" s="107" t="s">
        <v>45</v>
      </c>
      <c r="S141" s="103"/>
      <c r="Z141" s="104"/>
    </row>
    <row r="142" spans="1:26" x14ac:dyDescent="0.25">
      <c r="A142" s="107">
        <v>630</v>
      </c>
      <c r="B142" s="107">
        <f>'Стандартные размеры KLM-S'!B205</f>
        <v>300</v>
      </c>
      <c r="C142" s="107">
        <f>'Стандартные размеры KLM-S'!C205</f>
        <v>300</v>
      </c>
      <c r="D142" s="107">
        <f>'Стандартные размеры KLM-S'!D205</f>
        <v>435</v>
      </c>
      <c r="E142" s="107"/>
      <c r="F142" s="107">
        <f>'Стандартные размеры KLM-S'!F205</f>
        <v>300</v>
      </c>
      <c r="G142" s="107">
        <f>'Стандартные размеры KLM-S'!G205</f>
        <v>300</v>
      </c>
      <c r="H142" s="107">
        <f>'Стандартные размеры KLM-S'!H205</f>
        <v>435</v>
      </c>
      <c r="I142" s="107"/>
      <c r="J142" s="107">
        <f>B142</f>
        <v>300</v>
      </c>
      <c r="K142" s="107">
        <f t="shared" ref="K142:L142" si="49">C142</f>
        <v>300</v>
      </c>
      <c r="L142" s="107">
        <f t="shared" si="49"/>
        <v>435</v>
      </c>
      <c r="M142" s="107"/>
      <c r="N142" s="107">
        <f t="shared" si="47"/>
        <v>300</v>
      </c>
      <c r="O142" s="107">
        <f t="shared" ref="O142" si="50">G142</f>
        <v>300</v>
      </c>
      <c r="P142" s="107">
        <f t="shared" ref="P142" si="51">H142</f>
        <v>435</v>
      </c>
      <c r="Q142" s="107"/>
      <c r="S142" s="103"/>
      <c r="Z142" s="104"/>
    </row>
    <row r="143" spans="1:26" x14ac:dyDescent="0.25">
      <c r="A143" s="107">
        <v>800</v>
      </c>
      <c r="B143" s="107">
        <f>'Стандартные размеры KLM-S'!B206</f>
        <v>300</v>
      </c>
      <c r="C143" s="107">
        <f>'Стандартные размеры KLM-S'!C206</f>
        <v>300</v>
      </c>
      <c r="D143" s="107">
        <f>'Стандартные размеры KLM-S'!D206</f>
        <v>435</v>
      </c>
      <c r="E143" s="107"/>
      <c r="F143" s="107">
        <f>'Стандартные размеры KLM-S'!F206</f>
        <v>300</v>
      </c>
      <c r="G143" s="107">
        <f>'Стандартные размеры KLM-S'!G206</f>
        <v>300</v>
      </c>
      <c r="H143" s="107">
        <f>'Стандартные размеры KLM-S'!H206</f>
        <v>435</v>
      </c>
      <c r="I143" s="124"/>
      <c r="J143" s="107">
        <f t="shared" ref="J143:J152" si="52">B143</f>
        <v>300</v>
      </c>
      <c r="K143" s="107">
        <f t="shared" ref="K143:K152" si="53">C143</f>
        <v>300</v>
      </c>
      <c r="L143" s="107">
        <f t="shared" ref="L143:L152" si="54">D143</f>
        <v>435</v>
      </c>
      <c r="M143" s="120"/>
      <c r="N143" s="107">
        <f t="shared" ref="N143:N152" si="55">F143</f>
        <v>300</v>
      </c>
      <c r="O143" s="107">
        <f t="shared" ref="O143:O152" si="56">G143</f>
        <v>300</v>
      </c>
      <c r="P143" s="107">
        <f t="shared" ref="P143:P152" si="57">H143</f>
        <v>435</v>
      </c>
      <c r="Q143" s="121"/>
      <c r="S143" s="103"/>
      <c r="Z143" s="104"/>
    </row>
    <row r="144" spans="1:26" x14ac:dyDescent="0.25">
      <c r="A144" s="107">
        <v>1000</v>
      </c>
      <c r="B144" s="107">
        <f>'Стандартные размеры KLM-S'!B207</f>
        <v>450</v>
      </c>
      <c r="C144" s="107">
        <f>'Стандартные размеры KLM-S'!C207</f>
        <v>450</v>
      </c>
      <c r="D144" s="107">
        <f>'Стандартные размеры KLM-S'!D207</f>
        <v>435</v>
      </c>
      <c r="E144" s="107"/>
      <c r="F144" s="107">
        <f>'Стандартные размеры KLM-S'!F207</f>
        <v>300</v>
      </c>
      <c r="G144" s="107">
        <f>'Стандартные размеры KLM-S'!G207</f>
        <v>300</v>
      </c>
      <c r="H144" s="107">
        <f>'Стандартные размеры KLM-S'!H207</f>
        <v>435</v>
      </c>
      <c r="I144" s="124"/>
      <c r="J144" s="107">
        <f t="shared" si="52"/>
        <v>450</v>
      </c>
      <c r="K144" s="107">
        <f t="shared" si="53"/>
        <v>450</v>
      </c>
      <c r="L144" s="107">
        <f t="shared" si="54"/>
        <v>435</v>
      </c>
      <c r="M144" s="120"/>
      <c r="N144" s="107">
        <f t="shared" si="55"/>
        <v>300</v>
      </c>
      <c r="O144" s="107">
        <f t="shared" si="56"/>
        <v>300</v>
      </c>
      <c r="P144" s="107">
        <f t="shared" si="57"/>
        <v>435</v>
      </c>
      <c r="Q144" s="121"/>
      <c r="S144" s="103"/>
      <c r="Z144" s="104"/>
    </row>
    <row r="145" spans="1:26" x14ac:dyDescent="0.25">
      <c r="A145" s="107">
        <v>1250</v>
      </c>
      <c r="B145" s="107">
        <f>'Стандартные размеры KLM-S'!B208</f>
        <v>450</v>
      </c>
      <c r="C145" s="107">
        <f>'Стандартные размеры KLM-S'!C208</f>
        <v>450</v>
      </c>
      <c r="D145" s="107">
        <f>'Стандартные размеры KLM-S'!D208</f>
        <v>435</v>
      </c>
      <c r="E145" s="107"/>
      <c r="F145" s="107">
        <f>'Стандартные размеры KLM-S'!F208</f>
        <v>450</v>
      </c>
      <c r="G145" s="107">
        <f>'Стандартные размеры KLM-S'!G208</f>
        <v>450</v>
      </c>
      <c r="H145" s="107">
        <f>'Стандартные размеры KLM-S'!H208</f>
        <v>435</v>
      </c>
      <c r="I145" s="124"/>
      <c r="J145" s="107">
        <f t="shared" si="52"/>
        <v>450</v>
      </c>
      <c r="K145" s="107">
        <f t="shared" si="53"/>
        <v>450</v>
      </c>
      <c r="L145" s="107">
        <f t="shared" si="54"/>
        <v>435</v>
      </c>
      <c r="M145" s="120"/>
      <c r="N145" s="107">
        <f t="shared" si="55"/>
        <v>450</v>
      </c>
      <c r="O145" s="107">
        <f t="shared" si="56"/>
        <v>450</v>
      </c>
      <c r="P145" s="107">
        <f t="shared" si="57"/>
        <v>435</v>
      </c>
      <c r="Q145" s="121"/>
      <c r="S145" s="103"/>
      <c r="Z145" s="104"/>
    </row>
    <row r="146" spans="1:26" x14ac:dyDescent="0.25">
      <c r="A146" s="107">
        <v>1600</v>
      </c>
      <c r="B146" s="107">
        <f>'Стандартные размеры KLM-S'!B209</f>
        <v>450</v>
      </c>
      <c r="C146" s="107">
        <f>'Стандартные размеры KLM-S'!C209</f>
        <v>450</v>
      </c>
      <c r="D146" s="107">
        <f>'Стандартные размеры KLM-S'!D209</f>
        <v>435</v>
      </c>
      <c r="E146" s="107"/>
      <c r="F146" s="107">
        <f>'Стандартные размеры KLM-S'!F209</f>
        <v>450</v>
      </c>
      <c r="G146" s="107">
        <f>'Стандартные размеры KLM-S'!G209</f>
        <v>450</v>
      </c>
      <c r="H146" s="107">
        <f>'Стандартные размеры KLM-S'!H209</f>
        <v>435</v>
      </c>
      <c r="I146" s="124"/>
      <c r="J146" s="107">
        <f t="shared" si="52"/>
        <v>450</v>
      </c>
      <c r="K146" s="107">
        <f t="shared" si="53"/>
        <v>450</v>
      </c>
      <c r="L146" s="107">
        <f t="shared" si="54"/>
        <v>435</v>
      </c>
      <c r="M146" s="120"/>
      <c r="N146" s="107">
        <f t="shared" si="55"/>
        <v>450</v>
      </c>
      <c r="O146" s="107">
        <f t="shared" si="56"/>
        <v>450</v>
      </c>
      <c r="P146" s="107">
        <f t="shared" si="57"/>
        <v>435</v>
      </c>
      <c r="Q146" s="121"/>
      <c r="S146" s="103"/>
      <c r="Z146" s="104"/>
    </row>
    <row r="147" spans="1:26" x14ac:dyDescent="0.25">
      <c r="A147" s="107">
        <v>2000</v>
      </c>
      <c r="B147" s="107">
        <f>'Стандартные размеры KLM-S'!B210</f>
        <v>450</v>
      </c>
      <c r="C147" s="107">
        <f>'Стандартные размеры KLM-S'!C210</f>
        <v>450</v>
      </c>
      <c r="D147" s="107">
        <f>'Стандартные размеры KLM-S'!D210</f>
        <v>435</v>
      </c>
      <c r="E147" s="107"/>
      <c r="F147" s="107">
        <f>'Стандартные размеры KLM-S'!F210</f>
        <v>450</v>
      </c>
      <c r="G147" s="107">
        <f>'Стандартные размеры KLM-S'!G210</f>
        <v>450</v>
      </c>
      <c r="H147" s="107">
        <f>'Стандартные размеры KLM-S'!H210</f>
        <v>435</v>
      </c>
      <c r="I147" s="124"/>
      <c r="J147" s="107">
        <f t="shared" si="52"/>
        <v>450</v>
      </c>
      <c r="K147" s="107">
        <f t="shared" si="53"/>
        <v>450</v>
      </c>
      <c r="L147" s="107">
        <f t="shared" si="54"/>
        <v>435</v>
      </c>
      <c r="M147" s="120"/>
      <c r="N147" s="107">
        <f t="shared" si="55"/>
        <v>450</v>
      </c>
      <c r="O147" s="107">
        <f t="shared" si="56"/>
        <v>450</v>
      </c>
      <c r="P147" s="107">
        <f t="shared" si="57"/>
        <v>435</v>
      </c>
      <c r="Q147" s="121"/>
      <c r="S147" s="103"/>
      <c r="Z147" s="104"/>
    </row>
    <row r="148" spans="1:26" x14ac:dyDescent="0.25">
      <c r="A148" s="107">
        <v>2500</v>
      </c>
      <c r="B148" s="107">
        <f>'Стандартные размеры KLM-S'!B211</f>
        <v>600</v>
      </c>
      <c r="C148" s="107">
        <f>'Стандартные размеры KLM-S'!C211</f>
        <v>600</v>
      </c>
      <c r="D148" s="107">
        <f>'Стандартные размеры KLM-S'!D211</f>
        <v>435</v>
      </c>
      <c r="E148" s="107"/>
      <c r="F148" s="107">
        <f>'Стандартные размеры KLM-S'!F211</f>
        <v>450</v>
      </c>
      <c r="G148" s="107">
        <f>'Стандартные размеры KLM-S'!G211</f>
        <v>450</v>
      </c>
      <c r="H148" s="107">
        <f>'Стандартные размеры KLM-S'!H211</f>
        <v>435</v>
      </c>
      <c r="I148" s="124"/>
      <c r="J148" s="107">
        <f t="shared" si="52"/>
        <v>600</v>
      </c>
      <c r="K148" s="107">
        <f t="shared" si="53"/>
        <v>600</v>
      </c>
      <c r="L148" s="107">
        <f t="shared" si="54"/>
        <v>435</v>
      </c>
      <c r="M148" s="120"/>
      <c r="N148" s="107">
        <f t="shared" si="55"/>
        <v>450</v>
      </c>
      <c r="O148" s="107">
        <f t="shared" si="56"/>
        <v>450</v>
      </c>
      <c r="P148" s="107">
        <f t="shared" si="57"/>
        <v>435</v>
      </c>
      <c r="Q148" s="121"/>
      <c r="S148" s="103"/>
      <c r="Z148" s="104"/>
    </row>
    <row r="149" spans="1:26" x14ac:dyDescent="0.25">
      <c r="A149" s="107">
        <v>3200</v>
      </c>
      <c r="B149" s="107">
        <f>'Стандартные размеры KLM-S'!B212</f>
        <v>650</v>
      </c>
      <c r="C149" s="107">
        <f>'Стандартные размеры KLM-S'!C212</f>
        <v>650</v>
      </c>
      <c r="D149" s="107">
        <f>'Стандартные размеры KLM-S'!D212</f>
        <v>435</v>
      </c>
      <c r="E149" s="107"/>
      <c r="F149" s="107">
        <f>'Стандартные размеры KLM-S'!F212</f>
        <v>600</v>
      </c>
      <c r="G149" s="107">
        <f>'Стандартные размеры KLM-S'!G212</f>
        <v>600</v>
      </c>
      <c r="H149" s="107">
        <f>'Стандартные размеры KLM-S'!H212</f>
        <v>435</v>
      </c>
      <c r="I149" s="124"/>
      <c r="J149" s="107">
        <f t="shared" si="52"/>
        <v>650</v>
      </c>
      <c r="K149" s="107">
        <f t="shared" si="53"/>
        <v>650</v>
      </c>
      <c r="L149" s="107">
        <f t="shared" si="54"/>
        <v>435</v>
      </c>
      <c r="M149" s="120"/>
      <c r="N149" s="107">
        <f t="shared" si="55"/>
        <v>600</v>
      </c>
      <c r="O149" s="107">
        <f t="shared" si="56"/>
        <v>600</v>
      </c>
      <c r="P149" s="107">
        <f t="shared" si="57"/>
        <v>435</v>
      </c>
      <c r="Q149" s="121"/>
      <c r="S149" s="103"/>
      <c r="Z149" s="104"/>
    </row>
    <row r="150" spans="1:26" x14ac:dyDescent="0.25">
      <c r="A150" s="107">
        <v>4000</v>
      </c>
      <c r="B150" s="107">
        <f>'Стандартные размеры KLM-S'!B213</f>
        <v>750</v>
      </c>
      <c r="C150" s="107">
        <f>'Стандартные размеры KLM-S'!C213</f>
        <v>750</v>
      </c>
      <c r="D150" s="107">
        <f>'Стандартные размеры KLM-S'!D213</f>
        <v>435</v>
      </c>
      <c r="E150" s="107"/>
      <c r="F150" s="107">
        <f>'Стандартные размеры KLM-S'!F213</f>
        <v>650</v>
      </c>
      <c r="G150" s="107">
        <f>'Стандартные размеры KLM-S'!G213</f>
        <v>650</v>
      </c>
      <c r="H150" s="107">
        <f>'Стандартные размеры KLM-S'!H213</f>
        <v>435</v>
      </c>
      <c r="I150" s="124"/>
      <c r="J150" s="107">
        <f t="shared" si="52"/>
        <v>750</v>
      </c>
      <c r="K150" s="107">
        <f t="shared" si="53"/>
        <v>750</v>
      </c>
      <c r="L150" s="107">
        <f t="shared" si="54"/>
        <v>435</v>
      </c>
      <c r="M150" s="120"/>
      <c r="N150" s="107">
        <f t="shared" si="55"/>
        <v>650</v>
      </c>
      <c r="O150" s="107">
        <f t="shared" si="56"/>
        <v>650</v>
      </c>
      <c r="P150" s="107">
        <f t="shared" si="57"/>
        <v>435</v>
      </c>
      <c r="Q150" s="121"/>
      <c r="S150" s="103"/>
      <c r="Z150" s="104"/>
    </row>
    <row r="151" spans="1:26" x14ac:dyDescent="0.25">
      <c r="A151" s="107">
        <v>5000</v>
      </c>
      <c r="B151" s="107">
        <f>'Стандартные размеры KLM-S'!B214</f>
        <v>950</v>
      </c>
      <c r="C151" s="107">
        <f>'Стандартные размеры KLM-S'!C214</f>
        <v>950</v>
      </c>
      <c r="D151" s="107">
        <f>'Стандартные размеры KLM-S'!D214</f>
        <v>435</v>
      </c>
      <c r="E151" s="107"/>
      <c r="F151" s="107">
        <f>'Стандартные размеры KLM-S'!F214</f>
        <v>750</v>
      </c>
      <c r="G151" s="107">
        <f>'Стандартные размеры KLM-S'!G214</f>
        <v>750</v>
      </c>
      <c r="H151" s="107">
        <f>'Стандартные размеры KLM-S'!H214</f>
        <v>435</v>
      </c>
      <c r="I151" s="124"/>
      <c r="J151" s="107">
        <f t="shared" si="52"/>
        <v>950</v>
      </c>
      <c r="K151" s="107">
        <f t="shared" si="53"/>
        <v>950</v>
      </c>
      <c r="L151" s="107">
        <f t="shared" si="54"/>
        <v>435</v>
      </c>
      <c r="M151" s="120"/>
      <c r="N151" s="107">
        <f t="shared" si="55"/>
        <v>750</v>
      </c>
      <c r="O151" s="107">
        <f t="shared" si="56"/>
        <v>750</v>
      </c>
      <c r="P151" s="107">
        <f t="shared" si="57"/>
        <v>435</v>
      </c>
      <c r="Q151" s="121"/>
      <c r="S151" s="103"/>
      <c r="Z151" s="104"/>
    </row>
    <row r="152" spans="1:26" x14ac:dyDescent="0.25">
      <c r="A152" s="107">
        <v>6300</v>
      </c>
      <c r="B152" s="107">
        <f>'Стандартные размеры KLM-S'!B215</f>
        <v>1100</v>
      </c>
      <c r="C152" s="107">
        <f>'Стандартные размеры KLM-S'!C215</f>
        <v>1100</v>
      </c>
      <c r="D152" s="107">
        <f>'Стандартные размеры KLM-S'!D215</f>
        <v>435</v>
      </c>
      <c r="E152" s="107"/>
      <c r="F152" s="107">
        <f>'Стандартные размеры KLM-S'!F215</f>
        <v>950</v>
      </c>
      <c r="G152" s="107">
        <f>'Стандартные размеры KLM-S'!G215</f>
        <v>950</v>
      </c>
      <c r="H152" s="107">
        <f>'Стандартные размеры KLM-S'!H215</f>
        <v>435</v>
      </c>
      <c r="I152" s="124"/>
      <c r="J152" s="107">
        <f t="shared" si="52"/>
        <v>1100</v>
      </c>
      <c r="K152" s="107">
        <f t="shared" si="53"/>
        <v>1100</v>
      </c>
      <c r="L152" s="107">
        <f t="shared" si="54"/>
        <v>435</v>
      </c>
      <c r="M152" s="120"/>
      <c r="N152" s="107">
        <f t="shared" si="55"/>
        <v>950</v>
      </c>
      <c r="O152" s="107">
        <f t="shared" si="56"/>
        <v>950</v>
      </c>
      <c r="P152" s="107">
        <f t="shared" si="57"/>
        <v>435</v>
      </c>
      <c r="Q152" s="121"/>
      <c r="S152" s="111"/>
      <c r="T152" s="112"/>
      <c r="U152" s="112"/>
      <c r="V152" s="112"/>
      <c r="W152" s="112"/>
      <c r="X152" s="112"/>
      <c r="Y152" s="112"/>
      <c r="Z152" s="113"/>
    </row>
    <row r="153" spans="1:26" x14ac:dyDescent="0.25">
      <c r="A153" s="126"/>
      <c r="B153" s="126"/>
      <c r="C153" s="126"/>
      <c r="D153" s="126"/>
      <c r="E153" s="126"/>
      <c r="F153" s="126"/>
      <c r="G153" s="126"/>
      <c r="H153" s="127"/>
      <c r="I153" s="127"/>
      <c r="J153" s="126"/>
      <c r="K153" s="126"/>
      <c r="L153" s="126"/>
      <c r="M153" s="128"/>
      <c r="N153" s="126"/>
      <c r="O153" s="127"/>
      <c r="P153" s="127"/>
      <c r="Q153" s="129"/>
    </row>
    <row r="154" spans="1:26" ht="18.75" x14ac:dyDescent="0.25">
      <c r="B154" s="126"/>
      <c r="C154" s="126"/>
      <c r="D154" s="199" t="s">
        <v>38</v>
      </c>
      <c r="E154" s="199"/>
      <c r="F154" s="199"/>
      <c r="G154" s="199"/>
      <c r="H154" s="199"/>
      <c r="I154" s="199"/>
      <c r="J154" s="199"/>
      <c r="K154" s="126"/>
      <c r="L154" s="126"/>
      <c r="M154" s="128"/>
      <c r="N154" s="126"/>
      <c r="O154" s="127"/>
      <c r="P154" s="127"/>
      <c r="Q154" s="129"/>
    </row>
    <row r="155" spans="1:26" x14ac:dyDescent="0.25">
      <c r="A155" s="126"/>
      <c r="B155" s="126"/>
      <c r="C155" s="126"/>
      <c r="D155" s="204" t="s">
        <v>2</v>
      </c>
      <c r="E155" s="204"/>
      <c r="F155" s="204"/>
      <c r="G155" s="204"/>
      <c r="H155" s="204"/>
      <c r="I155" s="204"/>
      <c r="J155" s="204"/>
      <c r="K155" s="126"/>
      <c r="L155" s="126"/>
      <c r="M155" s="128"/>
      <c r="N155" s="126"/>
      <c r="O155" s="127"/>
      <c r="P155" s="127"/>
      <c r="Q155" s="129"/>
    </row>
    <row r="156" spans="1:26" x14ac:dyDescent="0.25">
      <c r="A156" s="126"/>
      <c r="B156" s="126"/>
      <c r="C156" s="126"/>
      <c r="D156" s="204" t="s">
        <v>3</v>
      </c>
      <c r="E156" s="204"/>
      <c r="F156" s="204"/>
      <c r="G156" s="204" t="s">
        <v>30</v>
      </c>
      <c r="H156" s="204"/>
      <c r="I156" s="204"/>
      <c r="J156" s="204"/>
      <c r="K156" s="126"/>
      <c r="L156" s="126"/>
      <c r="M156" s="128"/>
      <c r="N156" s="126"/>
      <c r="O156" s="127"/>
      <c r="P156" s="127"/>
      <c r="Q156" s="129"/>
    </row>
    <row r="157" spans="1:26" x14ac:dyDescent="0.25">
      <c r="A157" s="126"/>
      <c r="B157" s="126"/>
      <c r="C157" s="126"/>
      <c r="D157" s="204" t="s">
        <v>23</v>
      </c>
      <c r="E157" s="204"/>
      <c r="F157" s="204"/>
      <c r="G157" s="204" t="s">
        <v>30</v>
      </c>
      <c r="H157" s="204"/>
      <c r="I157" s="204"/>
      <c r="J157" s="204"/>
      <c r="K157" s="126"/>
      <c r="L157" s="126"/>
      <c r="M157" s="128"/>
      <c r="N157" s="126"/>
      <c r="O157" s="127"/>
      <c r="P157" s="127"/>
      <c r="Q157" s="129"/>
    </row>
    <row r="158" spans="1:26" x14ac:dyDescent="0.25">
      <c r="A158" s="126"/>
      <c r="B158" s="126"/>
      <c r="C158" s="126"/>
      <c r="D158" s="204" t="s">
        <v>31</v>
      </c>
      <c r="E158" s="204"/>
      <c r="F158" s="204"/>
      <c r="G158" s="204" t="s">
        <v>32</v>
      </c>
      <c r="H158" s="204"/>
      <c r="I158" s="204"/>
      <c r="J158" s="204"/>
      <c r="K158" s="126"/>
      <c r="L158" s="126"/>
      <c r="M158" s="128"/>
      <c r="N158" s="126"/>
      <c r="O158" s="127"/>
      <c r="P158" s="127"/>
      <c r="Q158" s="129"/>
    </row>
    <row r="159" spans="1:26" x14ac:dyDescent="0.25">
      <c r="A159" s="126"/>
      <c r="B159" s="126"/>
      <c r="C159" s="126"/>
      <c r="D159" s="126"/>
      <c r="E159" s="126"/>
      <c r="F159" s="126"/>
      <c r="G159" s="126"/>
      <c r="H159" s="127"/>
      <c r="I159" s="127"/>
      <c r="J159" s="126"/>
      <c r="K159" s="126"/>
      <c r="L159" s="126"/>
      <c r="M159" s="128"/>
      <c r="N159" s="126"/>
      <c r="O159" s="127"/>
      <c r="P159" s="127"/>
      <c r="Q159" s="129"/>
    </row>
    <row r="160" spans="1:26" x14ac:dyDescent="0.25">
      <c r="A160" s="197" t="s">
        <v>5</v>
      </c>
      <c r="B160" s="197" t="s">
        <v>6</v>
      </c>
      <c r="C160" s="197"/>
      <c r="D160" s="197"/>
      <c r="E160" s="197"/>
      <c r="F160" s="197"/>
      <c r="G160" s="197"/>
      <c r="H160" s="197"/>
      <c r="I160" s="197"/>
      <c r="J160" s="197" t="s">
        <v>7</v>
      </c>
      <c r="K160" s="197"/>
      <c r="L160" s="197"/>
      <c r="M160" s="197"/>
      <c r="N160" s="197"/>
      <c r="O160" s="197"/>
      <c r="P160" s="197"/>
      <c r="Q160" s="197"/>
      <c r="S160" s="100"/>
      <c r="T160" s="101"/>
      <c r="U160" s="101"/>
      <c r="V160" s="101"/>
      <c r="W160" s="101"/>
      <c r="X160" s="101"/>
      <c r="Y160" s="101"/>
      <c r="Z160" s="102"/>
    </row>
    <row r="161" spans="1:26" x14ac:dyDescent="0.25">
      <c r="A161" s="197"/>
      <c r="B161" s="197" t="s">
        <v>8</v>
      </c>
      <c r="C161" s="197"/>
      <c r="D161" s="197"/>
      <c r="E161" s="197"/>
      <c r="F161" s="197" t="s">
        <v>9</v>
      </c>
      <c r="G161" s="197"/>
      <c r="H161" s="197"/>
      <c r="I161" s="197"/>
      <c r="J161" s="197" t="s">
        <v>8</v>
      </c>
      <c r="K161" s="197"/>
      <c r="L161" s="197"/>
      <c r="M161" s="197"/>
      <c r="N161" s="197" t="s">
        <v>9</v>
      </c>
      <c r="O161" s="197"/>
      <c r="P161" s="197"/>
      <c r="Q161" s="197"/>
      <c r="S161" s="103"/>
      <c r="Z161" s="104"/>
    </row>
    <row r="162" spans="1:26" x14ac:dyDescent="0.25">
      <c r="A162" s="197"/>
      <c r="B162" s="107" t="s">
        <v>24</v>
      </c>
      <c r="C162" s="107" t="s">
        <v>27</v>
      </c>
      <c r="D162" s="107" t="s">
        <v>36</v>
      </c>
      <c r="E162" s="107" t="s">
        <v>45</v>
      </c>
      <c r="F162" s="107" t="s">
        <v>24</v>
      </c>
      <c r="G162" s="107" t="s">
        <v>27</v>
      </c>
      <c r="H162" s="107" t="s">
        <v>36</v>
      </c>
      <c r="I162" s="107" t="s">
        <v>45</v>
      </c>
      <c r="J162" s="107" t="s">
        <v>24</v>
      </c>
      <c r="K162" s="107" t="s">
        <v>27</v>
      </c>
      <c r="L162" s="107" t="s">
        <v>36</v>
      </c>
      <c r="M162" s="107" t="s">
        <v>45</v>
      </c>
      <c r="N162" s="107" t="s">
        <v>24</v>
      </c>
      <c r="O162" s="107" t="s">
        <v>27</v>
      </c>
      <c r="P162" s="107" t="s">
        <v>36</v>
      </c>
      <c r="Q162" s="107" t="s">
        <v>45</v>
      </c>
      <c r="S162" s="103"/>
      <c r="Z162" s="104"/>
    </row>
    <row r="163" spans="1:26" x14ac:dyDescent="0.25">
      <c r="A163" s="118">
        <v>630</v>
      </c>
      <c r="B163" s="118">
        <f>'Стандартные размеры KLM-S'!B231</f>
        <v>720</v>
      </c>
      <c r="C163" s="118">
        <f>'Стандартные размеры KLM-S'!C231</f>
        <v>485</v>
      </c>
      <c r="D163" s="118">
        <f>'Стандартные размеры KLM-S'!D231</f>
        <v>360</v>
      </c>
      <c r="E163" s="118"/>
      <c r="F163" s="118">
        <f>'Стандартные размеры KLM-S'!F231</f>
        <v>700</v>
      </c>
      <c r="G163" s="118">
        <f>'Стандартные размеры KLM-S'!G231</f>
        <v>485</v>
      </c>
      <c r="H163" s="118">
        <f>'Стандартные размеры KLM-S'!H231</f>
        <v>350</v>
      </c>
      <c r="I163" s="118"/>
      <c r="J163" s="118">
        <f>'Стандартные размеры KLM-S'!J231</f>
        <v>785</v>
      </c>
      <c r="K163" s="118">
        <f>'Стандартные размеры KLM-S'!K231</f>
        <v>485</v>
      </c>
      <c r="L163" s="118">
        <f>'Стандартные размеры KLM-S'!L231</f>
        <v>394.5</v>
      </c>
      <c r="M163" s="118"/>
      <c r="N163" s="118">
        <f>'Стандартные размеры KLM-S'!N231</f>
        <v>760</v>
      </c>
      <c r="O163" s="118">
        <f>'Стандартные размеры KLM-S'!O231</f>
        <v>485</v>
      </c>
      <c r="P163" s="118">
        <f>'Стандартные размеры KLM-S'!P231</f>
        <v>382</v>
      </c>
      <c r="Q163" s="118"/>
      <c r="S163" s="103"/>
      <c r="Z163" s="104"/>
    </row>
    <row r="164" spans="1:26" x14ac:dyDescent="0.25">
      <c r="A164" s="118">
        <v>800</v>
      </c>
      <c r="B164" s="118">
        <f>'Стандартные размеры KLM-S'!B232</f>
        <v>750</v>
      </c>
      <c r="C164" s="118">
        <f>'Стандартные размеры KLM-S'!C232</f>
        <v>485</v>
      </c>
      <c r="D164" s="118">
        <f>'Стандартные размеры KLM-S'!D232</f>
        <v>375</v>
      </c>
      <c r="E164" s="114"/>
      <c r="F164" s="118">
        <f>'Стандартные размеры KLM-S'!F232</f>
        <v>740</v>
      </c>
      <c r="G164" s="118">
        <f>'Стандартные размеры KLM-S'!G232</f>
        <v>485</v>
      </c>
      <c r="H164" s="118">
        <f>'Стандартные размеры KLM-S'!H232</f>
        <v>370</v>
      </c>
      <c r="I164" s="114"/>
      <c r="J164" s="118">
        <f>'Стандартные размеры KLM-S'!J232</f>
        <v>830</v>
      </c>
      <c r="K164" s="118">
        <f>'Стандартные размеры KLM-S'!K232</f>
        <v>485</v>
      </c>
      <c r="L164" s="118">
        <f>'Стандартные размеры KLM-S'!L232</f>
        <v>415</v>
      </c>
      <c r="M164" s="114"/>
      <c r="N164" s="118">
        <f>'Стандартные размеры KLM-S'!N232</f>
        <v>820</v>
      </c>
      <c r="O164" s="118">
        <f>'Стандартные размеры KLM-S'!O232</f>
        <v>485</v>
      </c>
      <c r="P164" s="118">
        <f>'Стандартные размеры KLM-S'!P232</f>
        <v>412</v>
      </c>
      <c r="Q164" s="130"/>
      <c r="S164" s="103"/>
      <c r="Z164" s="104"/>
    </row>
    <row r="165" spans="1:26" x14ac:dyDescent="0.25">
      <c r="A165" s="118">
        <v>1000</v>
      </c>
      <c r="B165" s="118">
        <f>'Стандартные размеры KLM-S'!B233</f>
        <v>820</v>
      </c>
      <c r="C165" s="118">
        <f>'Стандартные размеры KLM-S'!C233</f>
        <v>485</v>
      </c>
      <c r="D165" s="118">
        <f>'Стандартные размеры KLM-S'!D233</f>
        <v>410</v>
      </c>
      <c r="E165" s="114"/>
      <c r="F165" s="118">
        <f>'Стандартные размеры KLM-S'!F233</f>
        <v>750</v>
      </c>
      <c r="G165" s="118">
        <f>'Стандартные размеры KLM-S'!G233</f>
        <v>485</v>
      </c>
      <c r="H165" s="118">
        <f>'Стандартные размеры KLM-S'!H233</f>
        <v>375</v>
      </c>
      <c r="I165" s="114"/>
      <c r="J165" s="118">
        <f>'Стандартные размеры KLM-S'!J233</f>
        <v>940</v>
      </c>
      <c r="K165" s="118">
        <f>'Стандартные размеры KLM-S'!K233</f>
        <v>485</v>
      </c>
      <c r="L165" s="118">
        <f>'Стандартные размеры KLM-S'!L233</f>
        <v>472</v>
      </c>
      <c r="M165" s="114"/>
      <c r="N165" s="118">
        <f>'Стандартные размеры KLM-S'!N233</f>
        <v>830</v>
      </c>
      <c r="O165" s="118">
        <f>'Стандартные размеры KLM-S'!O233</f>
        <v>485</v>
      </c>
      <c r="P165" s="118">
        <f>'Стандартные размеры KLM-S'!P233</f>
        <v>415</v>
      </c>
      <c r="Q165" s="130"/>
      <c r="S165" s="103"/>
      <c r="Z165" s="104"/>
    </row>
    <row r="166" spans="1:26" x14ac:dyDescent="0.25">
      <c r="A166" s="118">
        <v>1250</v>
      </c>
      <c r="B166" s="118">
        <f>'Стандартные размеры KLM-S'!B234</f>
        <v>880</v>
      </c>
      <c r="C166" s="118">
        <f>'Стандартные размеры KLM-S'!C234</f>
        <v>485</v>
      </c>
      <c r="D166" s="118">
        <f>'Стандартные размеры KLM-S'!D234</f>
        <v>440</v>
      </c>
      <c r="E166" s="114"/>
      <c r="F166" s="118">
        <f>'Стандартные размеры KLM-S'!F234</f>
        <v>780</v>
      </c>
      <c r="G166" s="118">
        <f>'Стандартные размеры KLM-S'!G234</f>
        <v>485</v>
      </c>
      <c r="H166" s="118">
        <f>'Стандартные размеры KLM-S'!H234</f>
        <v>390</v>
      </c>
      <c r="I166" s="114"/>
      <c r="J166" s="118">
        <f>'Стандартные размеры KLM-S'!J234</f>
        <v>1030</v>
      </c>
      <c r="K166" s="118">
        <f>'Стандартные размеры KLM-S'!K234</f>
        <v>485</v>
      </c>
      <c r="L166" s="118">
        <f>'Стандартные размеры KLM-S'!L234</f>
        <v>515</v>
      </c>
      <c r="M166" s="114"/>
      <c r="N166" s="118">
        <f>'Стандартные размеры KLM-S'!N234</f>
        <v>880</v>
      </c>
      <c r="O166" s="118">
        <f>'Стандартные размеры KLM-S'!O234</f>
        <v>485</v>
      </c>
      <c r="P166" s="118">
        <f>'Стандартные размеры KLM-S'!P234</f>
        <v>442</v>
      </c>
      <c r="Q166" s="130"/>
      <c r="S166" s="103"/>
      <c r="Z166" s="104"/>
    </row>
    <row r="167" spans="1:26" x14ac:dyDescent="0.25">
      <c r="A167" s="118">
        <v>1600</v>
      </c>
      <c r="B167" s="118">
        <f>'Стандартные размеры KLM-S'!B235</f>
        <v>940</v>
      </c>
      <c r="C167" s="118">
        <f>'Стандартные размеры KLM-S'!C235</f>
        <v>485</v>
      </c>
      <c r="D167" s="118">
        <f>'Стандартные размеры KLM-S'!D235</f>
        <v>470</v>
      </c>
      <c r="E167" s="114"/>
      <c r="F167" s="118">
        <f>'Стандартные размеры KLM-S'!F235</f>
        <v>820</v>
      </c>
      <c r="G167" s="118">
        <f>'Стандартные размеры KLM-S'!G235</f>
        <v>485</v>
      </c>
      <c r="H167" s="118">
        <f>'Стандартные размеры KLM-S'!H235</f>
        <v>410</v>
      </c>
      <c r="I167" s="114"/>
      <c r="J167" s="118">
        <f>'Стандартные размеры KLM-S'!J235</f>
        <v>1120</v>
      </c>
      <c r="K167" s="118">
        <f>'Стандартные размеры KLM-S'!K235</f>
        <v>485</v>
      </c>
      <c r="L167" s="118">
        <f>'Стандартные размеры KLM-S'!L235</f>
        <v>560</v>
      </c>
      <c r="M167" s="114"/>
      <c r="N167" s="118">
        <f>'Стандартные размеры KLM-S'!N235</f>
        <v>940</v>
      </c>
      <c r="O167" s="118">
        <f>'Стандартные размеры KLM-S'!O235</f>
        <v>485</v>
      </c>
      <c r="P167" s="118">
        <f>'Стандартные размеры KLM-S'!P235</f>
        <v>472</v>
      </c>
      <c r="Q167" s="130"/>
      <c r="S167" s="103"/>
      <c r="Z167" s="104"/>
    </row>
    <row r="168" spans="1:26" x14ac:dyDescent="0.25">
      <c r="A168" s="118">
        <v>2000</v>
      </c>
      <c r="B168" s="118">
        <f>'Стандартные размеры KLM-S'!B236</f>
        <v>1020</v>
      </c>
      <c r="C168" s="118">
        <f>'Стандартные размеры KLM-S'!C236</f>
        <v>485</v>
      </c>
      <c r="D168" s="118">
        <f>'Стандартные размеры KLM-S'!D236</f>
        <v>510</v>
      </c>
      <c r="E168" s="114"/>
      <c r="F168" s="118">
        <f>'Стандартные размеры KLM-S'!F236</f>
        <v>940</v>
      </c>
      <c r="G168" s="118">
        <f>'Стандартные размеры KLM-S'!G236</f>
        <v>485</v>
      </c>
      <c r="H168" s="118">
        <f>'Стандартные размеры KLM-S'!H236</f>
        <v>470</v>
      </c>
      <c r="I168" s="114"/>
      <c r="J168" s="118">
        <f>'Стандартные размеры KLM-S'!J236</f>
        <v>1240</v>
      </c>
      <c r="K168" s="118">
        <f>'Стандартные размеры KLM-S'!K236</f>
        <v>485</v>
      </c>
      <c r="L168" s="118">
        <f>'Стандартные размеры KLM-S'!L236</f>
        <v>620</v>
      </c>
      <c r="M168" s="114"/>
      <c r="N168" s="118">
        <f>'Стандартные размеры KLM-S'!N236</f>
        <v>1120</v>
      </c>
      <c r="O168" s="118">
        <f>'Стандартные размеры KLM-S'!O236</f>
        <v>485</v>
      </c>
      <c r="P168" s="118">
        <f>'Стандартные размеры KLM-S'!P236</f>
        <v>562</v>
      </c>
      <c r="Q168" s="130"/>
      <c r="S168" s="103"/>
      <c r="Z168" s="104"/>
    </row>
    <row r="169" spans="1:26" x14ac:dyDescent="0.25">
      <c r="A169" s="118">
        <v>2500</v>
      </c>
      <c r="B169" s="118">
        <f>'Стандартные размеры KLM-S'!B237</f>
        <v>1140</v>
      </c>
      <c r="C169" s="118">
        <f>'Стандартные размеры KLM-S'!C237</f>
        <v>485</v>
      </c>
      <c r="D169" s="118">
        <f>'Стандартные размеры KLM-S'!D237</f>
        <v>570</v>
      </c>
      <c r="E169" s="114"/>
      <c r="F169" s="118">
        <f>'Стандартные размеры KLM-S'!F237</f>
        <v>1020</v>
      </c>
      <c r="G169" s="118">
        <f>'Стандартные размеры KLM-S'!G237</f>
        <v>485</v>
      </c>
      <c r="H169" s="118">
        <f>'Стандартные размеры KLM-S'!H237</f>
        <v>510</v>
      </c>
      <c r="I169" s="114"/>
      <c r="J169" s="118">
        <f>'Стандартные размеры KLM-S'!J237</f>
        <v>1420</v>
      </c>
      <c r="K169" s="118">
        <f>'Стандартные размеры KLM-S'!K237</f>
        <v>485</v>
      </c>
      <c r="L169" s="118">
        <f>'Стандартные размеры KLM-S'!L237</f>
        <v>710</v>
      </c>
      <c r="M169" s="114"/>
      <c r="N169" s="118">
        <f>'Стандартные размеры KLM-S'!N237</f>
        <v>1240</v>
      </c>
      <c r="O169" s="118">
        <f>'Стандартные размеры KLM-S'!O237</f>
        <v>485</v>
      </c>
      <c r="P169" s="118">
        <f>'Стандартные размеры KLM-S'!P237</f>
        <v>622</v>
      </c>
      <c r="Q169" s="130"/>
      <c r="S169" s="103"/>
      <c r="Z169" s="104"/>
    </row>
    <row r="170" spans="1:26" x14ac:dyDescent="0.25">
      <c r="A170" s="118">
        <v>3200</v>
      </c>
      <c r="B170" s="118">
        <f>'Стандартные размеры KLM-S'!B238</f>
        <v>1260</v>
      </c>
      <c r="C170" s="118">
        <f>'Стандартные размеры KLM-S'!C238</f>
        <v>485</v>
      </c>
      <c r="D170" s="118">
        <f>'Стандартные размеры KLM-S'!D238</f>
        <v>630</v>
      </c>
      <c r="E170" s="114"/>
      <c r="F170" s="118">
        <f>'Стандартные размеры KLM-S'!F238</f>
        <v>1140</v>
      </c>
      <c r="G170" s="118">
        <f>'Стандартные размеры KLM-S'!G238</f>
        <v>485</v>
      </c>
      <c r="H170" s="118">
        <f>'Стандартные размеры KLM-S'!H238</f>
        <v>570</v>
      </c>
      <c r="I170" s="114"/>
      <c r="J170" s="118">
        <f>'Стандартные размеры KLM-S'!J238</f>
        <v>1600</v>
      </c>
      <c r="K170" s="118">
        <f>'Стандартные размеры KLM-S'!K238</f>
        <v>485</v>
      </c>
      <c r="L170" s="118">
        <f>'Стандартные размеры KLM-S'!L238</f>
        <v>800</v>
      </c>
      <c r="M170" s="114"/>
      <c r="N170" s="118">
        <f>'Стандартные размеры KLM-S'!N238</f>
        <v>1420</v>
      </c>
      <c r="O170" s="118">
        <f>'Стандартные размеры KLM-S'!O238</f>
        <v>485</v>
      </c>
      <c r="P170" s="118">
        <f>'Стандартные размеры KLM-S'!P238</f>
        <v>712</v>
      </c>
      <c r="Q170" s="130"/>
      <c r="S170" s="103"/>
      <c r="Z170" s="104"/>
    </row>
    <row r="171" spans="1:26" x14ac:dyDescent="0.25">
      <c r="A171" s="118">
        <v>4000</v>
      </c>
      <c r="B171" s="118">
        <f>'Стандартные размеры KLM-S'!B239</f>
        <v>1420</v>
      </c>
      <c r="C171" s="118">
        <f>'Стандартные размеры KLM-S'!C239</f>
        <v>485</v>
      </c>
      <c r="D171" s="118">
        <f>'Стандартные размеры KLM-S'!D239</f>
        <v>710</v>
      </c>
      <c r="E171" s="114"/>
      <c r="F171" s="118">
        <f>'Стандартные размеры KLM-S'!F239</f>
        <v>1260</v>
      </c>
      <c r="G171" s="118">
        <f>'Стандартные размеры KLM-S'!G239</f>
        <v>485</v>
      </c>
      <c r="H171" s="118">
        <f>'Стандартные размеры KLM-S'!H239</f>
        <v>630</v>
      </c>
      <c r="I171" s="114"/>
      <c r="J171" s="118">
        <f>'Стандартные размеры KLM-S'!J239</f>
        <v>1840</v>
      </c>
      <c r="K171" s="118">
        <f>'Стандартные размеры KLM-S'!K239</f>
        <v>485</v>
      </c>
      <c r="L171" s="118">
        <f>'Стандартные размеры KLM-S'!L239</f>
        <v>920</v>
      </c>
      <c r="M171" s="114"/>
      <c r="N171" s="118">
        <f>'Стандартные размеры KLM-S'!N239</f>
        <v>1600</v>
      </c>
      <c r="O171" s="118">
        <f>'Стандартные размеры KLM-S'!O239</f>
        <v>485</v>
      </c>
      <c r="P171" s="118">
        <f>'Стандартные размеры KLM-S'!P239</f>
        <v>802</v>
      </c>
      <c r="Q171" s="130"/>
      <c r="S171" s="103"/>
      <c r="Z171" s="104"/>
    </row>
    <row r="172" spans="1:26" x14ac:dyDescent="0.25">
      <c r="A172" s="118">
        <v>5000</v>
      </c>
      <c r="B172" s="118">
        <f>'Стандартные размеры KLM-S'!B240</f>
        <v>1660</v>
      </c>
      <c r="C172" s="118">
        <f>'Стандартные размеры KLM-S'!C240</f>
        <v>485</v>
      </c>
      <c r="D172" s="118">
        <f>'Стандартные размеры KLM-S'!D240</f>
        <v>830</v>
      </c>
      <c r="E172" s="114"/>
      <c r="F172" s="118">
        <f>'Стандартные размеры KLM-S'!F240</f>
        <v>1420</v>
      </c>
      <c r="G172" s="118">
        <f>'Стандартные размеры KLM-S'!G240</f>
        <v>485</v>
      </c>
      <c r="H172" s="118">
        <f>'Стандартные размеры KLM-S'!H240</f>
        <v>710</v>
      </c>
      <c r="I172" s="114"/>
      <c r="J172" s="118">
        <f>'Стандартные размеры KLM-S'!J240</f>
        <v>2200</v>
      </c>
      <c r="K172" s="118">
        <f>'Стандартные размеры KLM-S'!K240</f>
        <v>485</v>
      </c>
      <c r="L172" s="118">
        <f>'Стандартные размеры KLM-S'!L240</f>
        <v>1100</v>
      </c>
      <c r="M172" s="114"/>
      <c r="N172" s="118">
        <f>'Стандартные размеры KLM-S'!N240</f>
        <v>1840</v>
      </c>
      <c r="O172" s="118">
        <f>'Стандартные размеры KLM-S'!O240</f>
        <v>485</v>
      </c>
      <c r="P172" s="118">
        <f>'Стандартные размеры KLM-S'!P240</f>
        <v>922</v>
      </c>
      <c r="Q172" s="130"/>
      <c r="S172" s="103"/>
      <c r="Z172" s="104"/>
    </row>
    <row r="173" spans="1:26" x14ac:dyDescent="0.25">
      <c r="A173" s="118">
        <v>6300</v>
      </c>
      <c r="B173" s="118">
        <f>'Стандартные размеры KLM-S'!B241</f>
        <v>1900</v>
      </c>
      <c r="C173" s="118">
        <f>'Стандартные размеры KLM-S'!C241</f>
        <v>485</v>
      </c>
      <c r="D173" s="118">
        <f>'Стандартные размеры KLM-S'!D241</f>
        <v>950</v>
      </c>
      <c r="E173" s="114"/>
      <c r="F173" s="118">
        <f>'Стандартные размеры KLM-S'!F241</f>
        <v>1820</v>
      </c>
      <c r="G173" s="118">
        <f>'Стандартные размеры KLM-S'!G241</f>
        <v>485</v>
      </c>
      <c r="H173" s="118">
        <f>'Стандартные размеры KLM-S'!H241</f>
        <v>910</v>
      </c>
      <c r="I173" s="114"/>
      <c r="J173" s="118">
        <f>'Стандартные размеры KLM-S'!J241</f>
        <v>2560</v>
      </c>
      <c r="K173" s="118">
        <f>'Стандартные размеры KLM-S'!K241</f>
        <v>485</v>
      </c>
      <c r="L173" s="118">
        <f>'Стандартные размеры KLM-S'!L241</f>
        <v>1280</v>
      </c>
      <c r="M173" s="114"/>
      <c r="N173" s="118">
        <f>'Стандартные размеры KLM-S'!N241</f>
        <v>2440</v>
      </c>
      <c r="O173" s="118">
        <f>'Стандартные размеры KLM-S'!O241</f>
        <v>485</v>
      </c>
      <c r="P173" s="118">
        <f>'Стандартные размеры KLM-S'!P241</f>
        <v>1222</v>
      </c>
      <c r="Q173" s="130"/>
      <c r="S173" s="111"/>
      <c r="T173" s="112"/>
      <c r="U173" s="112"/>
      <c r="V173" s="112"/>
      <c r="W173" s="112"/>
      <c r="X173" s="112"/>
      <c r="Y173" s="112"/>
      <c r="Z173" s="113"/>
    </row>
    <row r="174" spans="1:26" x14ac:dyDescent="0.25">
      <c r="A174" s="126"/>
      <c r="B174" s="126"/>
      <c r="C174" s="126"/>
      <c r="D174" s="131"/>
      <c r="E174" s="132"/>
      <c r="F174" s="126"/>
      <c r="G174" s="126"/>
      <c r="H174" s="131"/>
      <c r="I174" s="132"/>
      <c r="J174" s="126"/>
      <c r="K174" s="126"/>
      <c r="L174" s="131"/>
      <c r="M174" s="132"/>
      <c r="N174" s="131"/>
      <c r="O174" s="131"/>
      <c r="P174" s="131"/>
      <c r="Q174" s="133"/>
    </row>
    <row r="175" spans="1:26" ht="18.75" x14ac:dyDescent="0.25">
      <c r="A175" s="126"/>
      <c r="B175" s="126"/>
      <c r="C175" s="126"/>
      <c r="D175" s="199" t="s">
        <v>39</v>
      </c>
      <c r="E175" s="199"/>
      <c r="F175" s="199"/>
      <c r="G175" s="199"/>
      <c r="H175" s="199"/>
      <c r="I175" s="199"/>
      <c r="J175" s="199"/>
      <c r="K175" s="126"/>
      <c r="L175" s="131"/>
      <c r="M175" s="132"/>
      <c r="N175" s="131"/>
      <c r="O175" s="131"/>
      <c r="P175" s="131"/>
      <c r="Q175" s="133"/>
    </row>
    <row r="176" spans="1:26" x14ac:dyDescent="0.25">
      <c r="A176" s="126"/>
      <c r="B176" s="126"/>
      <c r="C176" s="126"/>
      <c r="D176" s="204" t="s">
        <v>2</v>
      </c>
      <c r="E176" s="204"/>
      <c r="F176" s="204"/>
      <c r="G176" s="204"/>
      <c r="H176" s="204"/>
      <c r="I176" s="204"/>
      <c r="J176" s="204"/>
      <c r="K176" s="126"/>
      <c r="L176" s="131"/>
      <c r="M176" s="132"/>
      <c r="N176" s="131"/>
      <c r="O176" s="131"/>
      <c r="P176" s="131"/>
      <c r="Q176" s="133"/>
    </row>
    <row r="177" spans="1:21" x14ac:dyDescent="0.25">
      <c r="A177" s="126"/>
      <c r="B177" s="126"/>
      <c r="C177" s="126"/>
      <c r="D177" s="204" t="s">
        <v>3</v>
      </c>
      <c r="E177" s="204"/>
      <c r="F177" s="204"/>
      <c r="G177" s="204" t="s">
        <v>22</v>
      </c>
      <c r="H177" s="204"/>
      <c r="I177" s="204"/>
      <c r="J177" s="204"/>
      <c r="K177" s="126"/>
      <c r="L177" s="131"/>
      <c r="M177" s="132"/>
      <c r="N177" s="131"/>
      <c r="O177" s="131"/>
      <c r="P177" s="131"/>
      <c r="Q177" s="133"/>
    </row>
    <row r="178" spans="1:21" x14ac:dyDescent="0.25">
      <c r="A178" s="126"/>
      <c r="B178" s="126"/>
      <c r="C178" s="126"/>
      <c r="D178" s="204" t="s">
        <v>23</v>
      </c>
      <c r="E178" s="204"/>
      <c r="F178" s="204"/>
      <c r="G178" s="204" t="s">
        <v>22</v>
      </c>
      <c r="H178" s="204"/>
      <c r="I178" s="204"/>
      <c r="J178" s="204"/>
      <c r="K178" s="126"/>
      <c r="L178" s="131"/>
      <c r="M178" s="132"/>
      <c r="N178" s="131"/>
      <c r="O178" s="131"/>
      <c r="P178" s="131"/>
      <c r="Q178" s="133"/>
    </row>
    <row r="180" spans="1:21" x14ac:dyDescent="0.25">
      <c r="A180" s="197" t="s">
        <v>5</v>
      </c>
      <c r="B180" s="197" t="s">
        <v>6</v>
      </c>
      <c r="C180" s="197"/>
      <c r="D180" s="197"/>
      <c r="E180" s="197"/>
      <c r="F180" s="197"/>
      <c r="G180" s="197"/>
      <c r="H180" s="197"/>
      <c r="I180" s="197"/>
      <c r="J180" s="197"/>
      <c r="K180" s="197"/>
      <c r="L180" s="197"/>
      <c r="M180" s="197"/>
      <c r="O180" s="100"/>
      <c r="P180" s="101"/>
      <c r="Q180" s="101"/>
      <c r="R180" s="101"/>
      <c r="S180" s="101"/>
      <c r="T180" s="101"/>
      <c r="U180" s="102"/>
    </row>
    <row r="181" spans="1:21" x14ac:dyDescent="0.25">
      <c r="A181" s="197"/>
      <c r="B181" s="197" t="s">
        <v>8</v>
      </c>
      <c r="C181" s="197"/>
      <c r="D181" s="197"/>
      <c r="E181" s="197"/>
      <c r="F181" s="197"/>
      <c r="G181" s="197"/>
      <c r="H181" s="197" t="s">
        <v>9</v>
      </c>
      <c r="I181" s="197"/>
      <c r="J181" s="197"/>
      <c r="K181" s="197"/>
      <c r="L181" s="197"/>
      <c r="M181" s="197"/>
      <c r="O181" s="103"/>
      <c r="U181" s="104"/>
    </row>
    <row r="182" spans="1:21" x14ac:dyDescent="0.25">
      <c r="A182" s="197"/>
      <c r="B182" s="107" t="s">
        <v>24</v>
      </c>
      <c r="C182" s="107" t="s">
        <v>27</v>
      </c>
      <c r="D182" s="107" t="s">
        <v>40</v>
      </c>
      <c r="E182" s="107" t="s">
        <v>41</v>
      </c>
      <c r="F182" s="107" t="s">
        <v>46</v>
      </c>
      <c r="G182" s="107" t="s">
        <v>45</v>
      </c>
      <c r="H182" s="107" t="s">
        <v>24</v>
      </c>
      <c r="I182" s="107" t="s">
        <v>27</v>
      </c>
      <c r="J182" s="107" t="s">
        <v>40</v>
      </c>
      <c r="K182" s="107" t="s">
        <v>41</v>
      </c>
      <c r="L182" s="107" t="s">
        <v>46</v>
      </c>
      <c r="M182" s="107" t="s">
        <v>45</v>
      </c>
      <c r="O182" s="103"/>
      <c r="U182" s="104"/>
    </row>
    <row r="183" spans="1:21" x14ac:dyDescent="0.25">
      <c r="A183" s="107">
        <v>630</v>
      </c>
      <c r="B183" s="107">
        <f>'Стандартные размеры KLM-S'!B256</f>
        <v>240</v>
      </c>
      <c r="C183" s="107">
        <f>'Стандартные размеры KLM-S'!C256</f>
        <v>450</v>
      </c>
      <c r="D183" s="107">
        <f>'Стандартные размеры KLM-S'!D256</f>
        <v>270</v>
      </c>
      <c r="E183" s="107">
        <f>'Стандартные размеры KLM-S'!E251</f>
        <v>500</v>
      </c>
      <c r="F183" s="124">
        <v>100</v>
      </c>
      <c r="G183" s="107"/>
      <c r="H183" s="107">
        <f>'Стандартные размеры KLM-S'!G256</f>
        <v>240</v>
      </c>
      <c r="I183" s="107">
        <f>'Стандартные размеры KLM-S'!H256</f>
        <v>450</v>
      </c>
      <c r="J183" s="107">
        <f>'Стандартные размеры KLM-S'!I256</f>
        <v>260</v>
      </c>
      <c r="K183" s="107">
        <v>500</v>
      </c>
      <c r="L183" s="124">
        <v>100</v>
      </c>
      <c r="M183" s="107"/>
      <c r="O183" s="103"/>
      <c r="U183" s="104"/>
    </row>
    <row r="184" spans="1:21" x14ac:dyDescent="0.25">
      <c r="A184" s="107">
        <v>800</v>
      </c>
      <c r="B184" s="107">
        <f>'Стандартные размеры KLM-S'!B257</f>
        <v>240</v>
      </c>
      <c r="C184" s="107">
        <f>'Стандартные размеры KLM-S'!C257</f>
        <v>450</v>
      </c>
      <c r="D184" s="107">
        <f>'Стандартные размеры KLM-S'!D257</f>
        <v>285</v>
      </c>
      <c r="E184" s="107">
        <f>'Стандартные размеры KLM-S'!E252</f>
        <v>500</v>
      </c>
      <c r="F184" s="124">
        <v>100</v>
      </c>
      <c r="G184" s="124"/>
      <c r="H184" s="107">
        <f>'Стандартные размеры KLM-S'!G257</f>
        <v>240</v>
      </c>
      <c r="I184" s="107">
        <f>'Стандартные размеры KLM-S'!H257</f>
        <v>450</v>
      </c>
      <c r="J184" s="107">
        <f>'Стандартные размеры KLM-S'!I257</f>
        <v>280</v>
      </c>
      <c r="K184" s="107">
        <v>500</v>
      </c>
      <c r="L184" s="124">
        <v>100</v>
      </c>
      <c r="M184" s="124"/>
      <c r="O184" s="103"/>
      <c r="U184" s="104"/>
    </row>
    <row r="185" spans="1:21" x14ac:dyDescent="0.25">
      <c r="A185" s="107">
        <v>1000</v>
      </c>
      <c r="B185" s="107">
        <f>'Стандартные размеры KLM-S'!B258</f>
        <v>240</v>
      </c>
      <c r="C185" s="107">
        <f>'Стандартные размеры KLM-S'!C258</f>
        <v>450</v>
      </c>
      <c r="D185" s="107">
        <f>'Стандартные размеры KLM-S'!D258</f>
        <v>325</v>
      </c>
      <c r="E185" s="107">
        <f>'Стандартные размеры KLM-S'!E254</f>
        <v>500</v>
      </c>
      <c r="F185" s="124">
        <v>100</v>
      </c>
      <c r="G185" s="124"/>
      <c r="H185" s="107">
        <f>'Стандартные размеры KLM-S'!G258</f>
        <v>240</v>
      </c>
      <c r="I185" s="107">
        <f>'Стандартные размеры KLM-S'!H258</f>
        <v>450</v>
      </c>
      <c r="J185" s="107">
        <f>'Стандартные размеры KLM-S'!I258</f>
        <v>285</v>
      </c>
      <c r="K185" s="107">
        <v>500</v>
      </c>
      <c r="L185" s="124">
        <v>100</v>
      </c>
      <c r="M185" s="124"/>
      <c r="O185" s="103"/>
      <c r="U185" s="104"/>
    </row>
    <row r="186" spans="1:21" x14ac:dyDescent="0.25">
      <c r="A186" s="107">
        <v>1250</v>
      </c>
      <c r="B186" s="107">
        <f>'Стандартные размеры KLM-S'!B259</f>
        <v>240</v>
      </c>
      <c r="C186" s="107">
        <f>'Стандартные размеры KLM-S'!C259</f>
        <v>450</v>
      </c>
      <c r="D186" s="107">
        <f>'Стандартные размеры KLM-S'!D259</f>
        <v>360</v>
      </c>
      <c r="E186" s="107">
        <f>'Стандартные размеры KLM-S'!E256</f>
        <v>500</v>
      </c>
      <c r="F186" s="124">
        <v>100</v>
      </c>
      <c r="G186" s="124"/>
      <c r="H186" s="107">
        <f>'Стандартные размеры KLM-S'!G259</f>
        <v>240</v>
      </c>
      <c r="I186" s="107">
        <f>'Стандартные размеры KLM-S'!H259</f>
        <v>450</v>
      </c>
      <c r="J186" s="107">
        <f>'Стандартные размеры KLM-S'!I259</f>
        <v>300</v>
      </c>
      <c r="K186" s="107">
        <v>500</v>
      </c>
      <c r="L186" s="124">
        <v>100</v>
      </c>
      <c r="M186" s="124"/>
      <c r="O186" s="103"/>
      <c r="U186" s="104"/>
    </row>
    <row r="187" spans="1:21" x14ac:dyDescent="0.25">
      <c r="A187" s="107">
        <v>1600</v>
      </c>
      <c r="B187" s="107">
        <f>'Стандартные размеры KLM-S'!B260</f>
        <v>240</v>
      </c>
      <c r="C187" s="107">
        <f>'Стандартные размеры KLM-S'!C260</f>
        <v>450</v>
      </c>
      <c r="D187" s="107">
        <f>'Стандартные размеры KLM-S'!D260</f>
        <v>390</v>
      </c>
      <c r="E187" s="107">
        <f>'Стандартные размеры KLM-S'!E257</f>
        <v>500</v>
      </c>
      <c r="F187" s="124">
        <v>100</v>
      </c>
      <c r="G187" s="124"/>
      <c r="H187" s="107">
        <f>'Стандартные размеры KLM-S'!G260</f>
        <v>240</v>
      </c>
      <c r="I187" s="107">
        <f>'Стандартные размеры KLM-S'!H260</f>
        <v>450</v>
      </c>
      <c r="J187" s="107">
        <f>'Стандартные размеры KLM-S'!I260</f>
        <v>325</v>
      </c>
      <c r="K187" s="107">
        <v>500</v>
      </c>
      <c r="L187" s="124">
        <v>100</v>
      </c>
      <c r="M187" s="124"/>
      <c r="O187" s="103"/>
      <c r="U187" s="104"/>
    </row>
    <row r="188" spans="1:21" x14ac:dyDescent="0.25">
      <c r="A188" s="107">
        <v>2000</v>
      </c>
      <c r="B188" s="107">
        <f>'Стандартные размеры KLM-S'!B261</f>
        <v>240</v>
      </c>
      <c r="C188" s="107">
        <f>'Стандартные размеры KLM-S'!C261</f>
        <v>450</v>
      </c>
      <c r="D188" s="107">
        <f>'Стандартные размеры KLM-S'!D261</f>
        <v>430</v>
      </c>
      <c r="E188" s="107">
        <f>'Стандартные размеры KLM-S'!E258</f>
        <v>500</v>
      </c>
      <c r="F188" s="124">
        <v>100</v>
      </c>
      <c r="G188" s="124"/>
      <c r="H188" s="107">
        <f>'Стандартные размеры KLM-S'!G261</f>
        <v>240</v>
      </c>
      <c r="I188" s="107">
        <f>'Стандартные размеры KLM-S'!H261</f>
        <v>450</v>
      </c>
      <c r="J188" s="107">
        <f>'Стандартные размеры KLM-S'!I261</f>
        <v>390</v>
      </c>
      <c r="K188" s="107">
        <v>500</v>
      </c>
      <c r="L188" s="124">
        <v>100</v>
      </c>
      <c r="M188" s="124"/>
      <c r="O188" s="103"/>
      <c r="U188" s="104"/>
    </row>
    <row r="189" spans="1:21" x14ac:dyDescent="0.25">
      <c r="A189" s="107">
        <v>2500</v>
      </c>
      <c r="B189" s="107">
        <f>'Стандартные размеры KLM-S'!B262</f>
        <v>240</v>
      </c>
      <c r="C189" s="107">
        <f>'Стандартные размеры KLM-S'!C262</f>
        <v>450</v>
      </c>
      <c r="D189" s="107">
        <f>'Стандартные размеры KLM-S'!D262</f>
        <v>540</v>
      </c>
      <c r="E189" s="107">
        <f>'Стандартные размеры KLM-S'!E259</f>
        <v>500</v>
      </c>
      <c r="F189" s="124">
        <v>100</v>
      </c>
      <c r="G189" s="124"/>
      <c r="H189" s="107">
        <f>'Стандартные размеры KLM-S'!G262</f>
        <v>240</v>
      </c>
      <c r="I189" s="107">
        <f>'Стандартные размеры KLM-S'!H262</f>
        <v>450</v>
      </c>
      <c r="J189" s="107">
        <f>'Стандартные размеры KLM-S'!I262</f>
        <v>430</v>
      </c>
      <c r="K189" s="107">
        <v>500</v>
      </c>
      <c r="L189" s="124">
        <v>100</v>
      </c>
      <c r="M189" s="124"/>
      <c r="O189" s="103"/>
      <c r="U189" s="104"/>
    </row>
    <row r="190" spans="1:21" x14ac:dyDescent="0.25">
      <c r="A190" s="107">
        <v>3200</v>
      </c>
      <c r="B190" s="107">
        <f>'Стандартные размеры KLM-S'!B263</f>
        <v>240</v>
      </c>
      <c r="C190" s="107">
        <f>'Стандартные размеры KLM-S'!C263</f>
        <v>450</v>
      </c>
      <c r="D190" s="107">
        <f>'Стандартные размеры KLM-S'!D263</f>
        <v>600</v>
      </c>
      <c r="E190" s="107">
        <f>'Стандартные размеры KLM-S'!E260</f>
        <v>500</v>
      </c>
      <c r="F190" s="124">
        <v>100</v>
      </c>
      <c r="G190" s="124"/>
      <c r="H190" s="107">
        <f>'Стандартные размеры KLM-S'!G263</f>
        <v>240</v>
      </c>
      <c r="I190" s="107">
        <f>'Стандартные размеры KLM-S'!H263</f>
        <v>450</v>
      </c>
      <c r="J190" s="107">
        <f>'Стандартные размеры KLM-S'!I263</f>
        <v>540</v>
      </c>
      <c r="K190" s="107">
        <v>500</v>
      </c>
      <c r="L190" s="124">
        <v>100</v>
      </c>
      <c r="M190" s="124"/>
      <c r="O190" s="103"/>
      <c r="U190" s="104"/>
    </row>
    <row r="191" spans="1:21" x14ac:dyDescent="0.25">
      <c r="A191" s="107">
        <v>4000</v>
      </c>
      <c r="B191" s="107">
        <f>'Стандартные размеры KLM-S'!B264</f>
        <v>240</v>
      </c>
      <c r="C191" s="107">
        <f>'Стандартные размеры KLM-S'!C264</f>
        <v>450</v>
      </c>
      <c r="D191" s="107">
        <f>'Стандартные размеры KLM-S'!D264</f>
        <v>680</v>
      </c>
      <c r="E191" s="107">
        <f>'Стандартные размеры KLM-S'!E261</f>
        <v>500</v>
      </c>
      <c r="F191" s="124">
        <v>100</v>
      </c>
      <c r="G191" s="124"/>
      <c r="H191" s="107">
        <f>'Стандартные размеры KLM-S'!G264</f>
        <v>240</v>
      </c>
      <c r="I191" s="107">
        <f>'Стандартные размеры KLM-S'!H264</f>
        <v>450</v>
      </c>
      <c r="J191" s="107">
        <f>'Стандартные размеры KLM-S'!I264</f>
        <v>600</v>
      </c>
      <c r="K191" s="107">
        <v>500</v>
      </c>
      <c r="L191" s="124">
        <v>100</v>
      </c>
      <c r="M191" s="124"/>
      <c r="O191" s="103"/>
      <c r="U191" s="104"/>
    </row>
    <row r="192" spans="1:21" x14ac:dyDescent="0.25">
      <c r="A192" s="107">
        <v>5000</v>
      </c>
      <c r="B192" s="107">
        <f>'Стандартные размеры KLM-S'!B265</f>
        <v>240</v>
      </c>
      <c r="C192" s="107">
        <f>'Стандартные размеры KLM-S'!C265</f>
        <v>450</v>
      </c>
      <c r="D192" s="107">
        <f>'Стандартные размеры KLM-S'!D265</f>
        <v>900</v>
      </c>
      <c r="E192" s="107">
        <f>'Стандартные размеры KLM-S'!E262</f>
        <v>500</v>
      </c>
      <c r="F192" s="124">
        <v>100</v>
      </c>
      <c r="G192" s="124"/>
      <c r="H192" s="107">
        <f>'Стандартные размеры KLM-S'!G265</f>
        <v>240</v>
      </c>
      <c r="I192" s="107">
        <f>'Стандартные размеры KLM-S'!H265</f>
        <v>450</v>
      </c>
      <c r="J192" s="107">
        <f>'Стандартные размеры KLM-S'!I265</f>
        <v>680</v>
      </c>
      <c r="K192" s="107">
        <v>500</v>
      </c>
      <c r="L192" s="124">
        <v>100</v>
      </c>
      <c r="M192" s="124"/>
      <c r="O192" s="103"/>
      <c r="U192" s="104"/>
    </row>
    <row r="193" spans="1:21" x14ac:dyDescent="0.25">
      <c r="A193" s="107">
        <v>6300</v>
      </c>
      <c r="B193" s="107">
        <f>'Стандартные размеры KLM-S'!B266</f>
        <v>240</v>
      </c>
      <c r="C193" s="107">
        <f>'Стандартные размеры KLM-S'!C266</f>
        <v>450</v>
      </c>
      <c r="D193" s="107">
        <f>'Стандартные размеры KLM-S'!D266</f>
        <v>1020</v>
      </c>
      <c r="E193" s="107">
        <f>'Стандартные размеры KLM-S'!E263</f>
        <v>500</v>
      </c>
      <c r="F193" s="124">
        <v>100</v>
      </c>
      <c r="G193" s="124"/>
      <c r="H193" s="107">
        <f>'Стандартные размеры KLM-S'!G266</f>
        <v>240</v>
      </c>
      <c r="I193" s="107">
        <f>'Стандартные размеры KLM-S'!H266</f>
        <v>450</v>
      </c>
      <c r="J193" s="107">
        <f>'Стандартные размеры KLM-S'!I266</f>
        <v>929</v>
      </c>
      <c r="K193" s="107">
        <v>500</v>
      </c>
      <c r="L193" s="124">
        <v>100</v>
      </c>
      <c r="M193" s="124"/>
      <c r="O193" s="103"/>
      <c r="U193" s="104"/>
    </row>
    <row r="194" spans="1:21" x14ac:dyDescent="0.25">
      <c r="O194" s="103"/>
      <c r="U194" s="104"/>
    </row>
    <row r="195" spans="1:21" x14ac:dyDescent="0.25">
      <c r="A195" s="197" t="s">
        <v>5</v>
      </c>
      <c r="B195" s="215" t="s">
        <v>7</v>
      </c>
      <c r="C195" s="216"/>
      <c r="D195" s="216"/>
      <c r="E195" s="216"/>
      <c r="F195" s="216"/>
      <c r="G195" s="216"/>
      <c r="H195" s="216"/>
      <c r="I195" s="216"/>
      <c r="J195" s="216"/>
      <c r="K195" s="216"/>
      <c r="L195" s="216"/>
      <c r="M195" s="217"/>
      <c r="O195" s="103"/>
      <c r="U195" s="104"/>
    </row>
    <row r="196" spans="1:21" x14ac:dyDescent="0.25">
      <c r="A196" s="197"/>
      <c r="B196" s="215" t="s">
        <v>8</v>
      </c>
      <c r="C196" s="216"/>
      <c r="D196" s="216"/>
      <c r="E196" s="216"/>
      <c r="F196" s="216"/>
      <c r="G196" s="217"/>
      <c r="H196" s="215" t="s">
        <v>9</v>
      </c>
      <c r="I196" s="216"/>
      <c r="J196" s="216"/>
      <c r="K196" s="216"/>
      <c r="L196" s="216"/>
      <c r="M196" s="217"/>
      <c r="O196" s="103"/>
      <c r="U196" s="104"/>
    </row>
    <row r="197" spans="1:21" x14ac:dyDescent="0.25">
      <c r="A197" s="197"/>
      <c r="B197" s="107" t="s">
        <v>24</v>
      </c>
      <c r="C197" s="107" t="s">
        <v>27</v>
      </c>
      <c r="D197" s="107" t="s">
        <v>40</v>
      </c>
      <c r="E197" s="107" t="s">
        <v>41</v>
      </c>
      <c r="F197" s="107" t="s">
        <v>46</v>
      </c>
      <c r="G197" s="107" t="s">
        <v>45</v>
      </c>
      <c r="H197" s="107" t="s">
        <v>24</v>
      </c>
      <c r="I197" s="107" t="s">
        <v>27</v>
      </c>
      <c r="J197" s="107" t="s">
        <v>40</v>
      </c>
      <c r="K197" s="107" t="s">
        <v>41</v>
      </c>
      <c r="L197" s="107" t="s">
        <v>46</v>
      </c>
      <c r="M197" s="107" t="s">
        <v>45</v>
      </c>
      <c r="O197" s="103"/>
      <c r="U197" s="104"/>
    </row>
    <row r="198" spans="1:21" x14ac:dyDescent="0.25">
      <c r="A198" s="134">
        <v>630</v>
      </c>
      <c r="B198" s="107">
        <f>'Стандартные размеры KLM-S'!L256</f>
        <v>240</v>
      </c>
      <c r="C198" s="107">
        <f>'Стандартные размеры KLM-S'!M256</f>
        <v>450</v>
      </c>
      <c r="D198" s="107">
        <f>'Стандартные размеры KLM-S'!N256</f>
        <v>270</v>
      </c>
      <c r="E198" s="107">
        <f>'Стандартные размеры KLM-S'!O256</f>
        <v>500</v>
      </c>
      <c r="F198" s="124">
        <v>100</v>
      </c>
      <c r="G198" s="124"/>
      <c r="H198" s="107">
        <f>'Стандартные размеры KLM-S'!Q256</f>
        <v>240</v>
      </c>
      <c r="I198" s="107">
        <f>'Стандартные размеры KLM-S'!R256</f>
        <v>450</v>
      </c>
      <c r="J198" s="107">
        <f>'Стандартные размеры KLM-S'!S256</f>
        <v>260</v>
      </c>
      <c r="K198" s="107">
        <f>'Стандартные размеры KLM-S'!T256</f>
        <v>500</v>
      </c>
      <c r="L198" s="124">
        <v>100</v>
      </c>
      <c r="M198" s="124"/>
      <c r="O198" s="103"/>
      <c r="U198" s="104"/>
    </row>
    <row r="199" spans="1:21" x14ac:dyDescent="0.25">
      <c r="A199" s="134">
        <v>800</v>
      </c>
      <c r="B199" s="107">
        <f>'Стандартные размеры KLM-S'!L257</f>
        <v>240</v>
      </c>
      <c r="C199" s="107">
        <f>'Стандартные размеры KLM-S'!M257</f>
        <v>450</v>
      </c>
      <c r="D199" s="107">
        <f>'Стандартные размеры KLM-S'!N257</f>
        <v>285</v>
      </c>
      <c r="E199" s="107">
        <f>'Стандартные размеры KLM-S'!O257</f>
        <v>500</v>
      </c>
      <c r="F199" s="124">
        <v>100</v>
      </c>
      <c r="G199" s="124"/>
      <c r="H199" s="107">
        <f>'Стандартные размеры KLM-S'!Q257</f>
        <v>240</v>
      </c>
      <c r="I199" s="107">
        <f>'Стандартные размеры KLM-S'!R257</f>
        <v>450</v>
      </c>
      <c r="J199" s="107">
        <f>'Стандартные размеры KLM-S'!S257</f>
        <v>280</v>
      </c>
      <c r="K199" s="107">
        <f>'Стандартные размеры KLM-S'!T257</f>
        <v>500</v>
      </c>
      <c r="L199" s="124">
        <v>100</v>
      </c>
      <c r="M199" s="124"/>
      <c r="O199" s="103"/>
      <c r="U199" s="104"/>
    </row>
    <row r="200" spans="1:21" x14ac:dyDescent="0.25">
      <c r="A200" s="134">
        <v>1000</v>
      </c>
      <c r="B200" s="107">
        <f>'Стандартные размеры KLM-S'!L258</f>
        <v>240</v>
      </c>
      <c r="C200" s="107">
        <f>'Стандартные размеры KLM-S'!M258</f>
        <v>450</v>
      </c>
      <c r="D200" s="107">
        <f>'Стандартные размеры KLM-S'!N258</f>
        <v>325</v>
      </c>
      <c r="E200" s="107">
        <f>'Стандартные размеры KLM-S'!O258</f>
        <v>500</v>
      </c>
      <c r="F200" s="124">
        <v>100</v>
      </c>
      <c r="G200" s="124"/>
      <c r="H200" s="107">
        <f>'Стандартные размеры KLM-S'!Q258</f>
        <v>240</v>
      </c>
      <c r="I200" s="107">
        <f>'Стандартные размеры KLM-S'!R258</f>
        <v>450</v>
      </c>
      <c r="J200" s="107">
        <f>'Стандартные размеры KLM-S'!S258</f>
        <v>285</v>
      </c>
      <c r="K200" s="107">
        <f>'Стандартные размеры KLM-S'!T258</f>
        <v>500</v>
      </c>
      <c r="L200" s="124">
        <v>100</v>
      </c>
      <c r="M200" s="124"/>
      <c r="O200" s="103"/>
      <c r="U200" s="104"/>
    </row>
    <row r="201" spans="1:21" x14ac:dyDescent="0.25">
      <c r="A201" s="134">
        <v>1250</v>
      </c>
      <c r="B201" s="107">
        <f>'Стандартные размеры KLM-S'!L259</f>
        <v>240</v>
      </c>
      <c r="C201" s="107">
        <f>'Стандартные размеры KLM-S'!M259</f>
        <v>450</v>
      </c>
      <c r="D201" s="107">
        <f>'Стандартные размеры KLM-S'!N259</f>
        <v>360</v>
      </c>
      <c r="E201" s="107">
        <f>'Стандартные размеры KLM-S'!O259</f>
        <v>500</v>
      </c>
      <c r="F201" s="124">
        <v>100</v>
      </c>
      <c r="G201" s="124"/>
      <c r="H201" s="107">
        <f>'Стандартные размеры KLM-S'!Q259</f>
        <v>240</v>
      </c>
      <c r="I201" s="107">
        <f>'Стандартные размеры KLM-S'!R259</f>
        <v>450</v>
      </c>
      <c r="J201" s="107">
        <f>'Стандартные размеры KLM-S'!S259</f>
        <v>300</v>
      </c>
      <c r="K201" s="107">
        <f>'Стандартные размеры KLM-S'!T259</f>
        <v>500</v>
      </c>
      <c r="L201" s="124">
        <v>100</v>
      </c>
      <c r="M201" s="124"/>
      <c r="O201" s="103"/>
      <c r="U201" s="104"/>
    </row>
    <row r="202" spans="1:21" x14ac:dyDescent="0.25">
      <c r="A202" s="134">
        <v>1600</v>
      </c>
      <c r="B202" s="107">
        <f>'Стандартные размеры KLM-S'!L260</f>
        <v>240</v>
      </c>
      <c r="C202" s="107">
        <f>'Стандартные размеры KLM-S'!M260</f>
        <v>450</v>
      </c>
      <c r="D202" s="107">
        <f>'Стандартные размеры KLM-S'!N260</f>
        <v>390</v>
      </c>
      <c r="E202" s="107">
        <f>'Стандартные размеры KLM-S'!O260</f>
        <v>500</v>
      </c>
      <c r="F202" s="124">
        <v>100</v>
      </c>
      <c r="G202" s="124"/>
      <c r="H202" s="107">
        <f>'Стандартные размеры KLM-S'!Q260</f>
        <v>240</v>
      </c>
      <c r="I202" s="107">
        <f>'Стандартные размеры KLM-S'!R260</f>
        <v>450</v>
      </c>
      <c r="J202" s="107">
        <f>'Стандартные размеры KLM-S'!S260</f>
        <v>325</v>
      </c>
      <c r="K202" s="107">
        <f>'Стандартные размеры KLM-S'!T260</f>
        <v>500</v>
      </c>
      <c r="L202" s="124">
        <v>100</v>
      </c>
      <c r="M202" s="124"/>
      <c r="O202" s="103"/>
      <c r="U202" s="104"/>
    </row>
    <row r="203" spans="1:21" x14ac:dyDescent="0.25">
      <c r="A203" s="134">
        <v>2000</v>
      </c>
      <c r="B203" s="107">
        <f>'Стандартные размеры KLM-S'!L261</f>
        <v>240</v>
      </c>
      <c r="C203" s="107">
        <f>'Стандартные размеры KLM-S'!M261</f>
        <v>450</v>
      </c>
      <c r="D203" s="107">
        <f>'Стандартные размеры KLM-S'!N261</f>
        <v>430</v>
      </c>
      <c r="E203" s="107">
        <f>'Стандартные размеры KLM-S'!O261</f>
        <v>500</v>
      </c>
      <c r="F203" s="124">
        <v>100</v>
      </c>
      <c r="G203" s="124"/>
      <c r="H203" s="107">
        <f>'Стандартные размеры KLM-S'!Q261</f>
        <v>240</v>
      </c>
      <c r="I203" s="107">
        <f>'Стандартные размеры KLM-S'!R261</f>
        <v>450</v>
      </c>
      <c r="J203" s="107">
        <f>'Стандартные размеры KLM-S'!S261</f>
        <v>390</v>
      </c>
      <c r="K203" s="107">
        <f>'Стандартные размеры KLM-S'!T261</f>
        <v>500</v>
      </c>
      <c r="L203" s="124">
        <v>100</v>
      </c>
      <c r="M203" s="124"/>
      <c r="O203" s="103"/>
      <c r="U203" s="104"/>
    </row>
    <row r="204" spans="1:21" x14ac:dyDescent="0.25">
      <c r="A204" s="134">
        <v>2500</v>
      </c>
      <c r="B204" s="107">
        <f>'Стандартные размеры KLM-S'!L262</f>
        <v>240</v>
      </c>
      <c r="C204" s="107">
        <f>'Стандартные размеры KLM-S'!M262</f>
        <v>450</v>
      </c>
      <c r="D204" s="107">
        <f>'Стандартные размеры KLM-S'!N262</f>
        <v>540</v>
      </c>
      <c r="E204" s="107">
        <f>'Стандартные размеры KLM-S'!O262</f>
        <v>500</v>
      </c>
      <c r="F204" s="124">
        <v>100</v>
      </c>
      <c r="G204" s="124"/>
      <c r="H204" s="107">
        <f>'Стандартные размеры KLM-S'!Q262</f>
        <v>240</v>
      </c>
      <c r="I204" s="107">
        <f>'Стандартные размеры KLM-S'!R262</f>
        <v>450</v>
      </c>
      <c r="J204" s="107">
        <f>'Стандартные размеры KLM-S'!S262</f>
        <v>430</v>
      </c>
      <c r="K204" s="107">
        <f>'Стандартные размеры KLM-S'!T262</f>
        <v>500</v>
      </c>
      <c r="L204" s="124">
        <v>100</v>
      </c>
      <c r="M204" s="124"/>
      <c r="O204" s="103"/>
      <c r="U204" s="104"/>
    </row>
    <row r="205" spans="1:21" x14ac:dyDescent="0.25">
      <c r="A205" s="134">
        <v>3200</v>
      </c>
      <c r="B205" s="107">
        <f>'Стандартные размеры KLM-S'!L263</f>
        <v>240</v>
      </c>
      <c r="C205" s="107">
        <f>'Стандартные размеры KLM-S'!M263</f>
        <v>450</v>
      </c>
      <c r="D205" s="107">
        <f>'Стандартные размеры KLM-S'!N263</f>
        <v>600</v>
      </c>
      <c r="E205" s="107">
        <f>'Стандартные размеры KLM-S'!O263</f>
        <v>500</v>
      </c>
      <c r="F205" s="124">
        <v>100</v>
      </c>
      <c r="G205" s="124"/>
      <c r="H205" s="107">
        <f>'Стандартные размеры KLM-S'!Q263</f>
        <v>240</v>
      </c>
      <c r="I205" s="107">
        <f>'Стандартные размеры KLM-S'!R263</f>
        <v>450</v>
      </c>
      <c r="J205" s="107">
        <f>'Стандартные размеры KLM-S'!S263</f>
        <v>540</v>
      </c>
      <c r="K205" s="107">
        <f>'Стандартные размеры KLM-S'!T263</f>
        <v>500</v>
      </c>
      <c r="L205" s="124">
        <v>100</v>
      </c>
      <c r="M205" s="124"/>
      <c r="O205" s="103"/>
      <c r="U205" s="104"/>
    </row>
    <row r="206" spans="1:21" x14ac:dyDescent="0.25">
      <c r="A206" s="134">
        <v>4000</v>
      </c>
      <c r="B206" s="107">
        <f>'Стандартные размеры KLM-S'!L264</f>
        <v>240</v>
      </c>
      <c r="C206" s="107">
        <f>'Стандартные размеры KLM-S'!M264</f>
        <v>450</v>
      </c>
      <c r="D206" s="107">
        <f>'Стандартные размеры KLM-S'!N264</f>
        <v>680</v>
      </c>
      <c r="E206" s="107">
        <f>'Стандартные размеры KLM-S'!O264</f>
        <v>500</v>
      </c>
      <c r="F206" s="124">
        <v>100</v>
      </c>
      <c r="G206" s="124"/>
      <c r="H206" s="107">
        <f>'Стандартные размеры KLM-S'!Q264</f>
        <v>240</v>
      </c>
      <c r="I206" s="107">
        <f>'Стандартные размеры KLM-S'!R264</f>
        <v>450</v>
      </c>
      <c r="J206" s="107">
        <f>'Стандартные размеры KLM-S'!S264</f>
        <v>600</v>
      </c>
      <c r="K206" s="107">
        <f>'Стандартные размеры KLM-S'!T264</f>
        <v>500</v>
      </c>
      <c r="L206" s="124">
        <v>100</v>
      </c>
      <c r="M206" s="124"/>
      <c r="O206" s="103"/>
      <c r="U206" s="104"/>
    </row>
    <row r="207" spans="1:21" x14ac:dyDescent="0.25">
      <c r="A207" s="134">
        <v>5000</v>
      </c>
      <c r="B207" s="107">
        <f>'Стандартные размеры KLM-S'!L265</f>
        <v>240</v>
      </c>
      <c r="C207" s="107">
        <f>'Стандартные размеры KLM-S'!M265</f>
        <v>450</v>
      </c>
      <c r="D207" s="107">
        <f>'Стандартные размеры KLM-S'!N265</f>
        <v>900</v>
      </c>
      <c r="E207" s="107">
        <f>'Стандартные размеры KLM-S'!O265</f>
        <v>500</v>
      </c>
      <c r="F207" s="124">
        <v>100</v>
      </c>
      <c r="G207" s="124"/>
      <c r="H207" s="107">
        <f>'Стандартные размеры KLM-S'!Q265</f>
        <v>240</v>
      </c>
      <c r="I207" s="107">
        <f>'Стандартные размеры KLM-S'!R265</f>
        <v>450</v>
      </c>
      <c r="J207" s="107">
        <f>'Стандартные размеры KLM-S'!S265</f>
        <v>680</v>
      </c>
      <c r="K207" s="107">
        <f>'Стандартные размеры KLM-S'!T265</f>
        <v>500</v>
      </c>
      <c r="L207" s="124">
        <v>100</v>
      </c>
      <c r="M207" s="124"/>
      <c r="O207" s="103"/>
      <c r="U207" s="104"/>
    </row>
    <row r="208" spans="1:21" x14ac:dyDescent="0.25">
      <c r="A208" s="134">
        <v>6300</v>
      </c>
      <c r="B208" s="107">
        <f>'Стандартные размеры KLM-S'!L266</f>
        <v>240</v>
      </c>
      <c r="C208" s="107">
        <f>'Стандартные размеры KLM-S'!M266</f>
        <v>450</v>
      </c>
      <c r="D208" s="107">
        <f>'Стандартные размеры KLM-S'!N266</f>
        <v>1020</v>
      </c>
      <c r="E208" s="107">
        <f>'Стандартные размеры KLM-S'!O266</f>
        <v>500</v>
      </c>
      <c r="F208" s="124">
        <v>100</v>
      </c>
      <c r="G208" s="124"/>
      <c r="H208" s="107">
        <f>'Стандартные размеры KLM-S'!Q266</f>
        <v>240</v>
      </c>
      <c r="I208" s="107">
        <f>'Стандартные размеры KLM-S'!R266</f>
        <v>450</v>
      </c>
      <c r="J208" s="107">
        <f>'Стандартные размеры KLM-S'!S266</f>
        <v>929</v>
      </c>
      <c r="K208" s="107">
        <f>'Стандартные размеры KLM-S'!T266</f>
        <v>500</v>
      </c>
      <c r="L208" s="124">
        <v>100</v>
      </c>
      <c r="M208" s="124"/>
      <c r="O208" s="111"/>
      <c r="P208" s="112"/>
      <c r="Q208" s="112"/>
      <c r="R208" s="112"/>
      <c r="S208" s="112"/>
      <c r="T208" s="112"/>
      <c r="U208" s="113"/>
    </row>
    <row r="209" spans="2:3" x14ac:dyDescent="0.25">
      <c r="B209" s="125"/>
      <c r="C209" s="125"/>
    </row>
  </sheetData>
  <mergeCells count="132">
    <mergeCell ref="G157:J157"/>
    <mergeCell ref="D94:F94"/>
    <mergeCell ref="G94:J94"/>
    <mergeCell ref="D95:F95"/>
    <mergeCell ref="G95:J95"/>
    <mergeCell ref="D112:J112"/>
    <mergeCell ref="D136:F136"/>
    <mergeCell ref="G136:J136"/>
    <mergeCell ref="D137:F137"/>
    <mergeCell ref="G137:J137"/>
    <mergeCell ref="D116:F116"/>
    <mergeCell ref="G116:J116"/>
    <mergeCell ref="D133:J133"/>
    <mergeCell ref="D134:J134"/>
    <mergeCell ref="D135:F135"/>
    <mergeCell ref="G135:J135"/>
    <mergeCell ref="D91:J91"/>
    <mergeCell ref="D92:J92"/>
    <mergeCell ref="D93:F93"/>
    <mergeCell ref="G93:J93"/>
    <mergeCell ref="D70:J70"/>
    <mergeCell ref="D71:J71"/>
    <mergeCell ref="D72:F72"/>
    <mergeCell ref="G72:J72"/>
    <mergeCell ref="D73:F73"/>
    <mergeCell ref="G73:J73"/>
    <mergeCell ref="D50:J50"/>
    <mergeCell ref="D51:J51"/>
    <mergeCell ref="D52:F52"/>
    <mergeCell ref="G52:J52"/>
    <mergeCell ref="D53:F53"/>
    <mergeCell ref="G53:J53"/>
    <mergeCell ref="A1:Y1"/>
    <mergeCell ref="D3:J3"/>
    <mergeCell ref="D4:J4"/>
    <mergeCell ref="D5:J5"/>
    <mergeCell ref="D6:F6"/>
    <mergeCell ref="G6:J6"/>
    <mergeCell ref="V10:X10"/>
    <mergeCell ref="A8:A10"/>
    <mergeCell ref="B8:M8"/>
    <mergeCell ref="N8:Y8"/>
    <mergeCell ref="B9:G9"/>
    <mergeCell ref="H9:M9"/>
    <mergeCell ref="N9:S9"/>
    <mergeCell ref="T9:Y9"/>
    <mergeCell ref="D10:F10"/>
    <mergeCell ref="J10:L10"/>
    <mergeCell ref="P10:R10"/>
    <mergeCell ref="A32:A34"/>
    <mergeCell ref="B32:G32"/>
    <mergeCell ref="H32:M32"/>
    <mergeCell ref="B33:D33"/>
    <mergeCell ref="E33:G33"/>
    <mergeCell ref="H33:J33"/>
    <mergeCell ref="K33:M33"/>
    <mergeCell ref="D27:J27"/>
    <mergeCell ref="D28:J28"/>
    <mergeCell ref="D29:F29"/>
    <mergeCell ref="G29:J29"/>
    <mergeCell ref="D30:F30"/>
    <mergeCell ref="G30:J30"/>
    <mergeCell ref="A55:A57"/>
    <mergeCell ref="B55:G55"/>
    <mergeCell ref="H55:K55"/>
    <mergeCell ref="B56:D56"/>
    <mergeCell ref="E56:G56"/>
    <mergeCell ref="H56:J56"/>
    <mergeCell ref="K56:M56"/>
    <mergeCell ref="A76:A78"/>
    <mergeCell ref="B76:I76"/>
    <mergeCell ref="J76:Q76"/>
    <mergeCell ref="B77:E77"/>
    <mergeCell ref="F77:I77"/>
    <mergeCell ref="J77:M77"/>
    <mergeCell ref="N77:Q77"/>
    <mergeCell ref="D74:F74"/>
    <mergeCell ref="G74:J74"/>
    <mergeCell ref="A97:A99"/>
    <mergeCell ref="B97:I97"/>
    <mergeCell ref="J97:Q97"/>
    <mergeCell ref="B98:E98"/>
    <mergeCell ref="F98:I98"/>
    <mergeCell ref="J98:M98"/>
    <mergeCell ref="N98:Q98"/>
    <mergeCell ref="A118:A120"/>
    <mergeCell ref="B118:I118"/>
    <mergeCell ref="J118:Q118"/>
    <mergeCell ref="B119:E119"/>
    <mergeCell ref="F119:I119"/>
    <mergeCell ref="J119:M119"/>
    <mergeCell ref="N119:Q119"/>
    <mergeCell ref="D113:J113"/>
    <mergeCell ref="D114:F114"/>
    <mergeCell ref="G114:J114"/>
    <mergeCell ref="D115:F115"/>
    <mergeCell ref="G115:J115"/>
    <mergeCell ref="A139:A141"/>
    <mergeCell ref="B139:I139"/>
    <mergeCell ref="J139:Q139"/>
    <mergeCell ref="B140:E140"/>
    <mergeCell ref="F140:I140"/>
    <mergeCell ref="J140:M140"/>
    <mergeCell ref="N140:Q140"/>
    <mergeCell ref="A180:A182"/>
    <mergeCell ref="B180:M180"/>
    <mergeCell ref="B181:G181"/>
    <mergeCell ref="H181:M181"/>
    <mergeCell ref="D154:J154"/>
    <mergeCell ref="D178:F178"/>
    <mergeCell ref="G178:J178"/>
    <mergeCell ref="D158:F158"/>
    <mergeCell ref="G158:J158"/>
    <mergeCell ref="D175:J175"/>
    <mergeCell ref="D176:J176"/>
    <mergeCell ref="D177:F177"/>
    <mergeCell ref="G177:J177"/>
    <mergeCell ref="D155:J155"/>
    <mergeCell ref="D156:F156"/>
    <mergeCell ref="G156:J156"/>
    <mergeCell ref="D157:F157"/>
    <mergeCell ref="A195:A197"/>
    <mergeCell ref="B195:M195"/>
    <mergeCell ref="B196:G196"/>
    <mergeCell ref="H196:M196"/>
    <mergeCell ref="A160:A162"/>
    <mergeCell ref="B160:I160"/>
    <mergeCell ref="J160:Q160"/>
    <mergeCell ref="B161:E161"/>
    <mergeCell ref="F161:I161"/>
    <mergeCell ref="J161:M161"/>
    <mergeCell ref="N161:Q16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P251"/>
  <sheetViews>
    <sheetView topLeftCell="A100" zoomScale="115" zoomScaleNormal="115" workbookViewId="0">
      <selection activeCell="C125" sqref="C125"/>
    </sheetView>
  </sheetViews>
  <sheetFormatPr defaultRowHeight="15" x14ac:dyDescent="0.25"/>
  <cols>
    <col min="1" max="1" width="24.42578125" bestFit="1" customWidth="1"/>
    <col min="2" max="2" width="7" customWidth="1"/>
    <col min="3" max="3" width="6.140625" style="1" customWidth="1"/>
    <col min="4" max="4" width="9.42578125" style="1" customWidth="1"/>
    <col min="5" max="5" width="10.7109375" style="1" customWidth="1"/>
    <col min="6" max="6" width="8.5703125" style="1" customWidth="1"/>
    <col min="7" max="7" width="11.42578125" bestFit="1" customWidth="1"/>
    <col min="8" max="8" width="7.28515625" customWidth="1"/>
    <col min="9" max="11" width="7.28515625" style="1" customWidth="1"/>
    <col min="12" max="12" width="8.7109375" style="1" customWidth="1"/>
    <col min="13" max="13" width="11.42578125" bestFit="1" customWidth="1"/>
    <col min="14" max="14" width="6.140625" bestFit="1" customWidth="1"/>
    <col min="15" max="15" width="6.140625" style="1" customWidth="1"/>
    <col min="16" max="16" width="9.5703125" style="1" customWidth="1"/>
    <col min="17" max="17" width="10.42578125" style="1" customWidth="1"/>
    <col min="18" max="18" width="8.5703125" style="1" customWidth="1"/>
    <col min="19" max="19" width="11.42578125" bestFit="1" customWidth="1"/>
    <col min="20" max="20" width="6.140625" bestFit="1" customWidth="1"/>
    <col min="21" max="23" width="6.140625" style="1" customWidth="1"/>
    <col min="24" max="24" width="7.5703125" style="1" customWidth="1"/>
    <col min="25" max="25" width="7.5703125" customWidth="1"/>
    <col min="26" max="28" width="11.28515625" style="1" customWidth="1"/>
    <col min="29" max="29" width="15.42578125" customWidth="1"/>
    <col min="39" max="40" width="9.140625" customWidth="1"/>
  </cols>
  <sheetData>
    <row r="1" spans="1:28" x14ac:dyDescent="0.25">
      <c r="A1" s="235" t="s">
        <v>47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44"/>
      <c r="AA1" s="44"/>
      <c r="AB1" s="44"/>
    </row>
    <row r="3" spans="1:28" x14ac:dyDescent="0.25">
      <c r="A3" t="s">
        <v>0</v>
      </c>
    </row>
    <row r="5" spans="1:28" x14ac:dyDescent="0.25">
      <c r="A5" s="227" t="s">
        <v>5</v>
      </c>
      <c r="B5" s="227" t="s">
        <v>6</v>
      </c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 t="s">
        <v>7</v>
      </c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31"/>
      <c r="AA5" s="31"/>
      <c r="AB5" s="31"/>
    </row>
    <row r="6" spans="1:28" x14ac:dyDescent="0.25">
      <c r="A6" s="227"/>
      <c r="B6" s="227" t="s">
        <v>8</v>
      </c>
      <c r="C6" s="227"/>
      <c r="D6" s="227"/>
      <c r="E6" s="227"/>
      <c r="F6" s="227"/>
      <c r="G6" s="227"/>
      <c r="H6" s="233" t="s">
        <v>9</v>
      </c>
      <c r="I6" s="233"/>
      <c r="J6" s="233"/>
      <c r="K6" s="233"/>
      <c r="L6" s="233"/>
      <c r="M6" s="233"/>
      <c r="N6" s="227" t="s">
        <v>8</v>
      </c>
      <c r="O6" s="227"/>
      <c r="P6" s="227"/>
      <c r="Q6" s="227"/>
      <c r="R6" s="227"/>
      <c r="S6" s="227"/>
      <c r="T6" s="233" t="s">
        <v>9</v>
      </c>
      <c r="U6" s="233"/>
      <c r="V6" s="233"/>
      <c r="W6" s="233"/>
      <c r="X6" s="233"/>
      <c r="Y6" s="233"/>
    </row>
    <row r="7" spans="1:28" ht="45" x14ac:dyDescent="0.25">
      <c r="A7" s="227"/>
      <c r="B7" s="4" t="s">
        <v>10</v>
      </c>
      <c r="C7" s="4" t="s">
        <v>11</v>
      </c>
      <c r="D7" s="227" t="s">
        <v>12</v>
      </c>
      <c r="E7" s="227"/>
      <c r="F7" s="227"/>
      <c r="G7" s="5" t="s">
        <v>13</v>
      </c>
      <c r="H7" s="6" t="s">
        <v>10</v>
      </c>
      <c r="I7" s="6" t="s">
        <v>11</v>
      </c>
      <c r="J7" s="233" t="s">
        <v>12</v>
      </c>
      <c r="K7" s="233"/>
      <c r="L7" s="233"/>
      <c r="M7" s="7" t="s">
        <v>13</v>
      </c>
      <c r="N7" s="4" t="s">
        <v>10</v>
      </c>
      <c r="O7" s="4" t="s">
        <v>11</v>
      </c>
      <c r="P7" s="227" t="s">
        <v>12</v>
      </c>
      <c r="Q7" s="227"/>
      <c r="R7" s="227"/>
      <c r="S7" s="5" t="s">
        <v>13</v>
      </c>
      <c r="T7" s="6" t="s">
        <v>10</v>
      </c>
      <c r="U7" s="6" t="s">
        <v>11</v>
      </c>
      <c r="V7" s="233" t="s">
        <v>12</v>
      </c>
      <c r="W7" s="233"/>
      <c r="X7" s="233"/>
      <c r="Y7" s="7" t="s">
        <v>13</v>
      </c>
    </row>
    <row r="8" spans="1:28" s="1" customFormat="1" ht="45" x14ac:dyDescent="0.25">
      <c r="A8" s="2"/>
      <c r="B8" s="4"/>
      <c r="C8" s="4"/>
      <c r="D8" s="8" t="s">
        <v>14</v>
      </c>
      <c r="E8" s="8" t="s">
        <v>15</v>
      </c>
      <c r="F8" s="8" t="s">
        <v>16</v>
      </c>
      <c r="G8" s="5"/>
      <c r="H8" s="6"/>
      <c r="I8" s="6"/>
      <c r="J8" s="9" t="s">
        <v>14</v>
      </c>
      <c r="K8" s="9" t="s">
        <v>15</v>
      </c>
      <c r="L8" s="9" t="s">
        <v>16</v>
      </c>
      <c r="M8" s="7"/>
      <c r="N8" s="4"/>
      <c r="O8" s="4"/>
      <c r="P8" s="8" t="s">
        <v>14</v>
      </c>
      <c r="Q8" s="8" t="s">
        <v>15</v>
      </c>
      <c r="R8" s="8" t="s">
        <v>16</v>
      </c>
      <c r="S8" s="5"/>
      <c r="T8" s="6"/>
      <c r="U8" s="6"/>
      <c r="V8" s="9" t="s">
        <v>14</v>
      </c>
      <c r="W8" s="9" t="s">
        <v>15</v>
      </c>
      <c r="X8" s="9" t="s">
        <v>16</v>
      </c>
      <c r="Y8" s="7"/>
    </row>
    <row r="9" spans="1:28" s="1" customFormat="1" x14ac:dyDescent="0.25">
      <c r="A9" s="10">
        <v>160</v>
      </c>
      <c r="B9" s="11">
        <v>69</v>
      </c>
      <c r="C9" s="11">
        <v>140</v>
      </c>
      <c r="D9" s="8">
        <v>1</v>
      </c>
      <c r="E9" s="12">
        <v>30</v>
      </c>
      <c r="F9" s="12">
        <v>6</v>
      </c>
      <c r="G9" s="5"/>
      <c r="H9" s="14">
        <v>69</v>
      </c>
      <c r="I9" s="14">
        <v>140</v>
      </c>
      <c r="J9" s="15">
        <v>1</v>
      </c>
      <c r="K9" s="15">
        <v>30</v>
      </c>
      <c r="L9" s="15">
        <v>6</v>
      </c>
      <c r="M9" s="16">
        <v>18.399999999999999</v>
      </c>
      <c r="N9" s="11">
        <f t="shared" ref="N9:O24" si="0">B9</f>
        <v>69</v>
      </c>
      <c r="O9" s="11">
        <f t="shared" ref="O9:O13" si="1">C9</f>
        <v>140</v>
      </c>
      <c r="P9" s="12">
        <v>1</v>
      </c>
      <c r="Q9" s="17">
        <f t="shared" ref="Q9:Q24" si="2">E9</f>
        <v>30</v>
      </c>
      <c r="R9" s="17">
        <f t="shared" ref="R9:R24" si="3">F9</f>
        <v>6</v>
      </c>
      <c r="S9" s="13">
        <v>6.7</v>
      </c>
      <c r="T9" s="14">
        <f t="shared" ref="T9:T24" si="4">H9</f>
        <v>69</v>
      </c>
      <c r="U9" s="14">
        <f t="shared" ref="U9:U24" si="5">C9</f>
        <v>140</v>
      </c>
      <c r="V9" s="14">
        <v>1</v>
      </c>
      <c r="W9" s="14">
        <f t="shared" ref="W9:W24" si="6">K9</f>
        <v>30</v>
      </c>
      <c r="X9" s="14">
        <f t="shared" ref="X9:X24" si="7">L9</f>
        <v>6</v>
      </c>
      <c r="Y9" s="16">
        <v>20.5</v>
      </c>
    </row>
    <row r="10" spans="1:28" s="1" customFormat="1" x14ac:dyDescent="0.25">
      <c r="A10" s="10">
        <v>250</v>
      </c>
      <c r="B10" s="11">
        <v>69</v>
      </c>
      <c r="C10" s="11">
        <v>140</v>
      </c>
      <c r="D10" s="8">
        <v>1</v>
      </c>
      <c r="E10" s="12">
        <v>30</v>
      </c>
      <c r="F10" s="12">
        <v>6</v>
      </c>
      <c r="G10" s="5"/>
      <c r="H10" s="14">
        <v>69</v>
      </c>
      <c r="I10" s="14">
        <v>140</v>
      </c>
      <c r="J10" s="15">
        <v>1</v>
      </c>
      <c r="K10" s="15">
        <v>30</v>
      </c>
      <c r="L10" s="15">
        <v>6</v>
      </c>
      <c r="M10" s="16">
        <v>18.399999999999999</v>
      </c>
      <c r="N10" s="11">
        <f t="shared" si="0"/>
        <v>69</v>
      </c>
      <c r="O10" s="11">
        <f t="shared" si="1"/>
        <v>140</v>
      </c>
      <c r="P10" s="12">
        <v>1</v>
      </c>
      <c r="Q10" s="17">
        <f t="shared" si="2"/>
        <v>30</v>
      </c>
      <c r="R10" s="17">
        <f t="shared" si="3"/>
        <v>6</v>
      </c>
      <c r="S10" s="13">
        <v>7.7</v>
      </c>
      <c r="T10" s="14">
        <f t="shared" si="4"/>
        <v>69</v>
      </c>
      <c r="U10" s="14">
        <f t="shared" si="5"/>
        <v>140</v>
      </c>
      <c r="V10" s="14">
        <v>1</v>
      </c>
      <c r="W10" s="14">
        <f t="shared" si="6"/>
        <v>30</v>
      </c>
      <c r="X10" s="14">
        <f t="shared" si="7"/>
        <v>6</v>
      </c>
      <c r="Y10" s="16">
        <v>20.5</v>
      </c>
    </row>
    <row r="11" spans="1:28" s="1" customFormat="1" x14ac:dyDescent="0.25">
      <c r="A11" s="10">
        <v>315</v>
      </c>
      <c r="B11" s="11">
        <v>69</v>
      </c>
      <c r="C11" s="11">
        <v>140</v>
      </c>
      <c r="D11" s="8">
        <v>1</v>
      </c>
      <c r="E11" s="12">
        <v>30</v>
      </c>
      <c r="F11" s="12">
        <v>6</v>
      </c>
      <c r="G11" s="5"/>
      <c r="H11" s="14">
        <v>69</v>
      </c>
      <c r="I11" s="14">
        <v>140</v>
      </c>
      <c r="J11" s="15">
        <v>1</v>
      </c>
      <c r="K11" s="15">
        <v>30</v>
      </c>
      <c r="L11" s="15">
        <v>6</v>
      </c>
      <c r="M11" s="16">
        <v>18.399999999999999</v>
      </c>
      <c r="N11" s="11">
        <f t="shared" ref="N11" si="8">B11</f>
        <v>69</v>
      </c>
      <c r="O11" s="11">
        <f t="shared" ref="O11" si="9">C11</f>
        <v>140</v>
      </c>
      <c r="P11" s="12">
        <v>1</v>
      </c>
      <c r="Q11" s="17">
        <f t="shared" ref="Q11" si="10">E11</f>
        <v>30</v>
      </c>
      <c r="R11" s="17">
        <f t="shared" ref="R11" si="11">F11</f>
        <v>6</v>
      </c>
      <c r="S11" s="13">
        <v>8.6999999999999993</v>
      </c>
      <c r="T11" s="14">
        <f t="shared" ref="T11" si="12">H11</f>
        <v>69</v>
      </c>
      <c r="U11" s="14">
        <f t="shared" ref="U11" si="13">C11</f>
        <v>140</v>
      </c>
      <c r="V11" s="14">
        <v>1</v>
      </c>
      <c r="W11" s="14">
        <f t="shared" ref="W11" si="14">K11</f>
        <v>30</v>
      </c>
      <c r="X11" s="14">
        <f t="shared" ref="X11" si="15">L11</f>
        <v>6</v>
      </c>
      <c r="Y11" s="16">
        <v>20.5</v>
      </c>
    </row>
    <row r="12" spans="1:28" s="1" customFormat="1" x14ac:dyDescent="0.25">
      <c r="A12" s="18">
        <v>400</v>
      </c>
      <c r="B12" s="11">
        <v>69</v>
      </c>
      <c r="C12" s="11">
        <v>140</v>
      </c>
      <c r="D12" s="12">
        <v>1</v>
      </c>
      <c r="E12" s="12">
        <v>30</v>
      </c>
      <c r="F12" s="12">
        <v>6</v>
      </c>
      <c r="G12" s="13">
        <v>7.5</v>
      </c>
      <c r="H12" s="14">
        <v>69</v>
      </c>
      <c r="I12" s="14">
        <v>140</v>
      </c>
      <c r="J12" s="15">
        <v>1</v>
      </c>
      <c r="K12" s="15">
        <v>30</v>
      </c>
      <c r="L12" s="15">
        <v>6</v>
      </c>
      <c r="M12" s="16">
        <v>18.399999999999999</v>
      </c>
      <c r="N12" s="11">
        <f t="shared" si="0"/>
        <v>69</v>
      </c>
      <c r="O12" s="11">
        <f t="shared" si="1"/>
        <v>140</v>
      </c>
      <c r="P12" s="12">
        <v>1</v>
      </c>
      <c r="Q12" s="17">
        <f t="shared" si="2"/>
        <v>30</v>
      </c>
      <c r="R12" s="17">
        <f t="shared" si="3"/>
        <v>6</v>
      </c>
      <c r="S12" s="13">
        <v>8.6999999999999993</v>
      </c>
      <c r="T12" s="14">
        <f t="shared" si="4"/>
        <v>69</v>
      </c>
      <c r="U12" s="14">
        <f t="shared" si="5"/>
        <v>140</v>
      </c>
      <c r="V12" s="14">
        <v>1</v>
      </c>
      <c r="W12" s="14">
        <f t="shared" si="6"/>
        <v>30</v>
      </c>
      <c r="X12" s="14">
        <f t="shared" si="7"/>
        <v>6</v>
      </c>
      <c r="Y12" s="16">
        <v>20.5</v>
      </c>
    </row>
    <row r="13" spans="1:28" s="1" customFormat="1" x14ac:dyDescent="0.25">
      <c r="A13" s="18">
        <v>500</v>
      </c>
      <c r="B13" s="11">
        <v>69</v>
      </c>
      <c r="C13" s="11">
        <v>140</v>
      </c>
      <c r="D13" s="8">
        <v>1</v>
      </c>
      <c r="E13" s="12">
        <v>40</v>
      </c>
      <c r="F13" s="12">
        <v>6</v>
      </c>
      <c r="G13" s="5"/>
      <c r="H13" s="14">
        <v>69</v>
      </c>
      <c r="I13" s="14">
        <v>140</v>
      </c>
      <c r="J13" s="15">
        <v>1</v>
      </c>
      <c r="K13" s="15">
        <v>30</v>
      </c>
      <c r="L13" s="15">
        <v>6</v>
      </c>
      <c r="M13" s="16">
        <v>18.399999999999999</v>
      </c>
      <c r="N13" s="11">
        <f t="shared" si="0"/>
        <v>69</v>
      </c>
      <c r="O13" s="11">
        <f t="shared" si="1"/>
        <v>140</v>
      </c>
      <c r="P13" s="12">
        <v>1</v>
      </c>
      <c r="Q13" s="17">
        <f t="shared" si="2"/>
        <v>40</v>
      </c>
      <c r="R13" s="17">
        <f t="shared" si="3"/>
        <v>6</v>
      </c>
      <c r="S13" s="13">
        <v>8.6999999999999993</v>
      </c>
      <c r="T13" s="14">
        <f t="shared" si="4"/>
        <v>69</v>
      </c>
      <c r="U13" s="14">
        <f t="shared" si="5"/>
        <v>140</v>
      </c>
      <c r="V13" s="14">
        <v>1</v>
      </c>
      <c r="W13" s="14">
        <f t="shared" si="6"/>
        <v>30</v>
      </c>
      <c r="X13" s="14">
        <f t="shared" si="7"/>
        <v>6</v>
      </c>
      <c r="Y13" s="16">
        <v>20.5</v>
      </c>
    </row>
    <row r="14" spans="1:28" s="1" customFormat="1" x14ac:dyDescent="0.25">
      <c r="A14" s="10">
        <v>630</v>
      </c>
      <c r="B14" s="4">
        <v>89</v>
      </c>
      <c r="C14" s="4">
        <v>140</v>
      </c>
      <c r="D14" s="12">
        <v>1</v>
      </c>
      <c r="E14" s="2">
        <v>50</v>
      </c>
      <c r="F14" s="2">
        <v>6</v>
      </c>
      <c r="G14" s="4">
        <v>9.4</v>
      </c>
      <c r="H14" s="6">
        <v>79</v>
      </c>
      <c r="I14" s="6">
        <f t="shared" ref="I14:I24" si="16">C14</f>
        <v>140</v>
      </c>
      <c r="J14" s="15">
        <v>1</v>
      </c>
      <c r="K14" s="6">
        <v>40</v>
      </c>
      <c r="L14" s="6">
        <v>6</v>
      </c>
      <c r="M14" s="6">
        <v>20.6</v>
      </c>
      <c r="N14" s="4">
        <f t="shared" si="0"/>
        <v>89</v>
      </c>
      <c r="O14" s="4">
        <f t="shared" si="0"/>
        <v>140</v>
      </c>
      <c r="P14" s="12">
        <v>1</v>
      </c>
      <c r="Q14" s="2">
        <f t="shared" si="2"/>
        <v>50</v>
      </c>
      <c r="R14" s="2">
        <f t="shared" si="3"/>
        <v>6</v>
      </c>
      <c r="S14" s="4">
        <v>10.9</v>
      </c>
      <c r="T14" s="6">
        <f t="shared" si="4"/>
        <v>79</v>
      </c>
      <c r="U14" s="6">
        <f t="shared" si="5"/>
        <v>140</v>
      </c>
      <c r="V14" s="14">
        <v>1</v>
      </c>
      <c r="W14" s="6">
        <f t="shared" si="6"/>
        <v>40</v>
      </c>
      <c r="X14" s="6">
        <f t="shared" si="7"/>
        <v>6</v>
      </c>
      <c r="Y14" s="6">
        <v>23</v>
      </c>
    </row>
    <row r="15" spans="1:28" x14ac:dyDescent="0.25">
      <c r="A15" s="4">
        <v>800</v>
      </c>
      <c r="B15" s="4">
        <v>104</v>
      </c>
      <c r="C15" s="4">
        <f t="shared" ref="C15:C24" si="17">C14</f>
        <v>140</v>
      </c>
      <c r="D15" s="12">
        <v>1</v>
      </c>
      <c r="E15" s="2">
        <v>65</v>
      </c>
      <c r="F15" s="2">
        <v>6</v>
      </c>
      <c r="G15" s="19">
        <v>10.7</v>
      </c>
      <c r="H15" s="6">
        <v>99</v>
      </c>
      <c r="I15" s="6">
        <f t="shared" si="16"/>
        <v>140</v>
      </c>
      <c r="J15" s="6">
        <v>1</v>
      </c>
      <c r="K15" s="6">
        <v>60</v>
      </c>
      <c r="L15" s="6">
        <f t="shared" ref="L15:L24" si="18">L14</f>
        <v>6</v>
      </c>
      <c r="M15" s="20">
        <v>20.6</v>
      </c>
      <c r="N15" s="4">
        <f t="shared" si="0"/>
        <v>104</v>
      </c>
      <c r="O15" s="4">
        <f t="shared" ref="O15:O24" si="19">C15</f>
        <v>140</v>
      </c>
      <c r="P15" s="12">
        <v>1</v>
      </c>
      <c r="Q15" s="2">
        <f t="shared" si="2"/>
        <v>65</v>
      </c>
      <c r="R15" s="2">
        <f t="shared" si="3"/>
        <v>6</v>
      </c>
      <c r="S15" s="19">
        <v>12.3</v>
      </c>
      <c r="T15" s="6">
        <f t="shared" si="4"/>
        <v>99</v>
      </c>
      <c r="U15" s="6">
        <f t="shared" si="5"/>
        <v>140</v>
      </c>
      <c r="V15" s="14">
        <v>1</v>
      </c>
      <c r="W15" s="6">
        <f t="shared" si="6"/>
        <v>60</v>
      </c>
      <c r="X15" s="6">
        <f t="shared" si="7"/>
        <v>6</v>
      </c>
      <c r="Y15" s="6">
        <v>23</v>
      </c>
    </row>
    <row r="16" spans="1:28" x14ac:dyDescent="0.25">
      <c r="A16" s="4">
        <v>1000</v>
      </c>
      <c r="B16" s="4">
        <v>139</v>
      </c>
      <c r="C16" s="4">
        <f t="shared" si="17"/>
        <v>140</v>
      </c>
      <c r="D16" s="12">
        <v>1</v>
      </c>
      <c r="E16" s="2">
        <v>100</v>
      </c>
      <c r="F16" s="2">
        <v>6</v>
      </c>
      <c r="G16" s="19">
        <v>12.9</v>
      </c>
      <c r="H16" s="6">
        <v>104</v>
      </c>
      <c r="I16" s="6">
        <f t="shared" si="16"/>
        <v>140</v>
      </c>
      <c r="J16" s="6">
        <v>1</v>
      </c>
      <c r="K16" s="6">
        <v>65</v>
      </c>
      <c r="L16" s="6">
        <f t="shared" si="18"/>
        <v>6</v>
      </c>
      <c r="M16" s="6">
        <v>22.6</v>
      </c>
      <c r="N16" s="4">
        <f t="shared" si="0"/>
        <v>139</v>
      </c>
      <c r="O16" s="4">
        <f t="shared" si="19"/>
        <v>140</v>
      </c>
      <c r="P16" s="12">
        <v>1</v>
      </c>
      <c r="Q16" s="2">
        <f t="shared" si="2"/>
        <v>100</v>
      </c>
      <c r="R16" s="2">
        <f t="shared" si="3"/>
        <v>6</v>
      </c>
      <c r="S16" s="19">
        <v>13.7</v>
      </c>
      <c r="T16" s="6">
        <f t="shared" si="4"/>
        <v>104</v>
      </c>
      <c r="U16" s="6">
        <f t="shared" si="5"/>
        <v>140</v>
      </c>
      <c r="V16" s="14">
        <v>1</v>
      </c>
      <c r="W16" s="6">
        <f t="shared" si="6"/>
        <v>65</v>
      </c>
      <c r="X16" s="6">
        <f t="shared" si="7"/>
        <v>6</v>
      </c>
      <c r="Y16" s="6">
        <v>25.6</v>
      </c>
    </row>
    <row r="17" spans="1:42" x14ac:dyDescent="0.25">
      <c r="A17" s="4">
        <v>1250</v>
      </c>
      <c r="B17" s="11">
        <v>169</v>
      </c>
      <c r="C17" s="4">
        <f t="shared" si="17"/>
        <v>140</v>
      </c>
      <c r="D17" s="12">
        <v>1</v>
      </c>
      <c r="E17" s="2">
        <v>130</v>
      </c>
      <c r="F17" s="17">
        <v>6</v>
      </c>
      <c r="G17" s="19">
        <v>15.9</v>
      </c>
      <c r="H17" s="6">
        <v>119</v>
      </c>
      <c r="I17" s="6">
        <f t="shared" si="16"/>
        <v>140</v>
      </c>
      <c r="J17" s="6">
        <v>1</v>
      </c>
      <c r="K17" s="6">
        <v>80</v>
      </c>
      <c r="L17" s="6">
        <f t="shared" si="18"/>
        <v>6</v>
      </c>
      <c r="M17" s="20">
        <v>25.6</v>
      </c>
      <c r="N17" s="4">
        <f t="shared" si="0"/>
        <v>169</v>
      </c>
      <c r="O17" s="4">
        <f t="shared" si="19"/>
        <v>140</v>
      </c>
      <c r="P17" s="12">
        <v>1</v>
      </c>
      <c r="Q17" s="2">
        <f t="shared" si="2"/>
        <v>130</v>
      </c>
      <c r="R17" s="2">
        <f t="shared" si="3"/>
        <v>6</v>
      </c>
      <c r="S17" s="19">
        <v>18.8</v>
      </c>
      <c r="T17" s="6">
        <f t="shared" si="4"/>
        <v>119</v>
      </c>
      <c r="U17" s="6">
        <f t="shared" si="5"/>
        <v>140</v>
      </c>
      <c r="V17" s="14">
        <v>1</v>
      </c>
      <c r="W17" s="6">
        <f t="shared" si="6"/>
        <v>80</v>
      </c>
      <c r="X17" s="6">
        <f t="shared" si="7"/>
        <v>6</v>
      </c>
      <c r="Y17" s="6">
        <v>28.6</v>
      </c>
    </row>
    <row r="18" spans="1:42" x14ac:dyDescent="0.25">
      <c r="A18" s="4">
        <v>1600</v>
      </c>
      <c r="B18" s="4">
        <v>199</v>
      </c>
      <c r="C18" s="4">
        <f t="shared" si="17"/>
        <v>140</v>
      </c>
      <c r="D18" s="12">
        <v>1</v>
      </c>
      <c r="E18" s="2">
        <v>160</v>
      </c>
      <c r="F18" s="2">
        <v>6</v>
      </c>
      <c r="G18" s="19">
        <v>19.399999999999999</v>
      </c>
      <c r="H18" s="6">
        <v>139</v>
      </c>
      <c r="I18" s="6">
        <f t="shared" si="16"/>
        <v>140</v>
      </c>
      <c r="J18" s="6">
        <v>1</v>
      </c>
      <c r="K18" s="6">
        <v>100</v>
      </c>
      <c r="L18" s="6">
        <f t="shared" si="18"/>
        <v>6</v>
      </c>
      <c r="M18" s="20">
        <v>30.9</v>
      </c>
      <c r="N18" s="4">
        <f t="shared" si="0"/>
        <v>199</v>
      </c>
      <c r="O18" s="4">
        <f t="shared" si="19"/>
        <v>140</v>
      </c>
      <c r="P18" s="12">
        <v>1</v>
      </c>
      <c r="Q18" s="2">
        <f t="shared" si="2"/>
        <v>160</v>
      </c>
      <c r="R18" s="2">
        <f t="shared" si="3"/>
        <v>6</v>
      </c>
      <c r="S18" s="19">
        <v>23.1</v>
      </c>
      <c r="T18" s="6">
        <f t="shared" si="4"/>
        <v>139</v>
      </c>
      <c r="U18" s="6">
        <f t="shared" si="5"/>
        <v>140</v>
      </c>
      <c r="V18" s="14">
        <v>1</v>
      </c>
      <c r="W18" s="6">
        <f t="shared" si="6"/>
        <v>100</v>
      </c>
      <c r="X18" s="6">
        <f t="shared" si="7"/>
        <v>6</v>
      </c>
      <c r="Y18" s="6">
        <v>36.9</v>
      </c>
    </row>
    <row r="19" spans="1:42" x14ac:dyDescent="0.25">
      <c r="A19" s="4">
        <v>2000</v>
      </c>
      <c r="B19" s="4">
        <v>239</v>
      </c>
      <c r="C19" s="4">
        <f t="shared" si="17"/>
        <v>140</v>
      </c>
      <c r="D19" s="12">
        <v>1</v>
      </c>
      <c r="E19" s="2">
        <v>200</v>
      </c>
      <c r="F19" s="2">
        <v>6</v>
      </c>
      <c r="G19" s="19">
        <v>23.3</v>
      </c>
      <c r="H19" s="6">
        <v>199</v>
      </c>
      <c r="I19" s="6">
        <f t="shared" si="16"/>
        <v>140</v>
      </c>
      <c r="J19" s="6">
        <v>1</v>
      </c>
      <c r="K19" s="6">
        <v>160</v>
      </c>
      <c r="L19" s="6">
        <f t="shared" si="18"/>
        <v>6</v>
      </c>
      <c r="M19" s="6">
        <v>38.799999999999997</v>
      </c>
      <c r="N19" s="4">
        <f t="shared" si="0"/>
        <v>239</v>
      </c>
      <c r="O19" s="4">
        <f t="shared" si="19"/>
        <v>140</v>
      </c>
      <c r="P19" s="12">
        <v>1</v>
      </c>
      <c r="Q19" s="2">
        <f t="shared" si="2"/>
        <v>200</v>
      </c>
      <c r="R19" s="2">
        <f t="shared" si="3"/>
        <v>6</v>
      </c>
      <c r="S19" s="19">
        <v>27.5</v>
      </c>
      <c r="T19" s="6">
        <f t="shared" si="4"/>
        <v>199</v>
      </c>
      <c r="U19" s="6">
        <f t="shared" si="5"/>
        <v>140</v>
      </c>
      <c r="V19" s="14">
        <v>1</v>
      </c>
      <c r="W19" s="6">
        <f t="shared" si="6"/>
        <v>160</v>
      </c>
      <c r="X19" s="6">
        <f t="shared" si="7"/>
        <v>6</v>
      </c>
      <c r="Y19" s="6">
        <v>46.8</v>
      </c>
    </row>
    <row r="20" spans="1:42" x14ac:dyDescent="0.25">
      <c r="A20" s="4">
        <v>2500</v>
      </c>
      <c r="B20" s="4">
        <v>348</v>
      </c>
      <c r="C20" s="4">
        <f t="shared" si="17"/>
        <v>140</v>
      </c>
      <c r="D20" s="2">
        <v>2</v>
      </c>
      <c r="E20" s="2">
        <v>130</v>
      </c>
      <c r="F20" s="2">
        <v>6</v>
      </c>
      <c r="G20" s="19">
        <v>33.659999999999997</v>
      </c>
      <c r="H20" s="6">
        <v>239</v>
      </c>
      <c r="I20" s="6">
        <f t="shared" si="16"/>
        <v>140</v>
      </c>
      <c r="J20" s="6">
        <v>1</v>
      </c>
      <c r="K20" s="6">
        <v>200</v>
      </c>
      <c r="L20" s="6">
        <f t="shared" si="18"/>
        <v>6</v>
      </c>
      <c r="M20" s="6">
        <v>46.6</v>
      </c>
      <c r="N20" s="4">
        <f t="shared" si="0"/>
        <v>348</v>
      </c>
      <c r="O20" s="4">
        <f t="shared" si="19"/>
        <v>140</v>
      </c>
      <c r="P20" s="2">
        <f t="shared" ref="P20:P24" si="20">D20</f>
        <v>2</v>
      </c>
      <c r="Q20" s="2">
        <f t="shared" si="2"/>
        <v>130</v>
      </c>
      <c r="R20" s="2">
        <f t="shared" si="3"/>
        <v>6</v>
      </c>
      <c r="S20" s="19">
        <v>39.299999999999997</v>
      </c>
      <c r="T20" s="6">
        <f t="shared" si="4"/>
        <v>239</v>
      </c>
      <c r="U20" s="6">
        <f t="shared" si="5"/>
        <v>140</v>
      </c>
      <c r="V20" s="14">
        <v>1</v>
      </c>
      <c r="W20" s="6">
        <f t="shared" si="6"/>
        <v>200</v>
      </c>
      <c r="X20" s="6">
        <f t="shared" si="7"/>
        <v>6</v>
      </c>
      <c r="Y20" s="20">
        <v>49.8</v>
      </c>
    </row>
    <row r="21" spans="1:42" x14ac:dyDescent="0.25">
      <c r="A21" s="4">
        <v>3200</v>
      </c>
      <c r="B21" s="4">
        <v>408</v>
      </c>
      <c r="C21" s="4">
        <f t="shared" si="17"/>
        <v>140</v>
      </c>
      <c r="D21" s="2">
        <v>2</v>
      </c>
      <c r="E21" s="2">
        <v>160</v>
      </c>
      <c r="F21" s="2">
        <v>6</v>
      </c>
      <c r="G21" s="19">
        <v>39.5</v>
      </c>
      <c r="H21" s="6">
        <v>348</v>
      </c>
      <c r="I21" s="6">
        <f t="shared" si="16"/>
        <v>140</v>
      </c>
      <c r="J21" s="6">
        <v>2</v>
      </c>
      <c r="K21" s="6">
        <v>130</v>
      </c>
      <c r="L21" s="6">
        <f t="shared" si="18"/>
        <v>6</v>
      </c>
      <c r="M21" s="20">
        <v>62.6</v>
      </c>
      <c r="N21" s="4">
        <f t="shared" si="0"/>
        <v>408</v>
      </c>
      <c r="O21" s="4">
        <f t="shared" si="19"/>
        <v>140</v>
      </c>
      <c r="P21" s="2">
        <f t="shared" si="20"/>
        <v>2</v>
      </c>
      <c r="Q21" s="2">
        <f t="shared" si="2"/>
        <v>160</v>
      </c>
      <c r="R21" s="2">
        <f t="shared" si="3"/>
        <v>6</v>
      </c>
      <c r="S21" s="19">
        <v>46.3</v>
      </c>
      <c r="T21" s="6">
        <f t="shared" si="4"/>
        <v>348</v>
      </c>
      <c r="U21" s="6">
        <f t="shared" si="5"/>
        <v>140</v>
      </c>
      <c r="V21" s="6">
        <f t="shared" ref="V21:V24" si="21">J21</f>
        <v>2</v>
      </c>
      <c r="W21" s="6">
        <f t="shared" si="6"/>
        <v>130</v>
      </c>
      <c r="X21" s="6">
        <f t="shared" si="7"/>
        <v>6</v>
      </c>
      <c r="Y21" s="20">
        <v>74.8</v>
      </c>
    </row>
    <row r="22" spans="1:42" x14ac:dyDescent="0.25">
      <c r="A22" s="4">
        <v>4000</v>
      </c>
      <c r="B22" s="4">
        <v>488</v>
      </c>
      <c r="C22" s="4">
        <f t="shared" si="17"/>
        <v>140</v>
      </c>
      <c r="D22" s="2">
        <v>2</v>
      </c>
      <c r="E22" s="2">
        <v>200</v>
      </c>
      <c r="F22" s="2">
        <v>6</v>
      </c>
      <c r="G22" s="19">
        <v>47.5</v>
      </c>
      <c r="H22" s="6">
        <v>408</v>
      </c>
      <c r="I22" s="6">
        <f t="shared" si="16"/>
        <v>140</v>
      </c>
      <c r="J22" s="6">
        <v>2</v>
      </c>
      <c r="K22" s="6">
        <v>160</v>
      </c>
      <c r="L22" s="6">
        <f t="shared" si="18"/>
        <v>6</v>
      </c>
      <c r="M22" s="6">
        <v>93.9</v>
      </c>
      <c r="N22" s="4">
        <f t="shared" si="0"/>
        <v>488</v>
      </c>
      <c r="O22" s="4">
        <f t="shared" si="19"/>
        <v>140</v>
      </c>
      <c r="P22" s="2">
        <f t="shared" si="20"/>
        <v>2</v>
      </c>
      <c r="Q22" s="2">
        <f t="shared" si="2"/>
        <v>200</v>
      </c>
      <c r="R22" s="2">
        <f t="shared" si="3"/>
        <v>6</v>
      </c>
      <c r="S22" s="19">
        <v>55.3</v>
      </c>
      <c r="T22" s="6">
        <f t="shared" si="4"/>
        <v>408</v>
      </c>
      <c r="U22" s="6">
        <f t="shared" si="5"/>
        <v>140</v>
      </c>
      <c r="V22" s="6">
        <f t="shared" si="21"/>
        <v>2</v>
      </c>
      <c r="W22" s="6">
        <f t="shared" si="6"/>
        <v>160</v>
      </c>
      <c r="X22" s="6">
        <f t="shared" si="7"/>
        <v>6</v>
      </c>
      <c r="Y22" s="6">
        <v>114.7</v>
      </c>
    </row>
    <row r="23" spans="1:42" x14ac:dyDescent="0.25">
      <c r="A23" s="4">
        <v>5000</v>
      </c>
      <c r="B23" s="4">
        <v>706</v>
      </c>
      <c r="C23" s="4">
        <f t="shared" si="17"/>
        <v>140</v>
      </c>
      <c r="D23" s="2">
        <v>4</v>
      </c>
      <c r="E23" s="2">
        <v>130</v>
      </c>
      <c r="F23" s="2">
        <v>6</v>
      </c>
      <c r="G23" s="19">
        <v>67.400000000000006</v>
      </c>
      <c r="H23" s="6">
        <v>488</v>
      </c>
      <c r="I23" s="6">
        <f t="shared" si="16"/>
        <v>140</v>
      </c>
      <c r="J23" s="6">
        <v>2</v>
      </c>
      <c r="K23" s="6">
        <v>200</v>
      </c>
      <c r="L23" s="6">
        <f t="shared" si="18"/>
        <v>6</v>
      </c>
      <c r="M23" s="20">
        <v>124.6</v>
      </c>
      <c r="N23" s="4">
        <f t="shared" si="0"/>
        <v>706</v>
      </c>
      <c r="O23" s="4">
        <f t="shared" si="19"/>
        <v>140</v>
      </c>
      <c r="P23" s="2">
        <f t="shared" si="20"/>
        <v>4</v>
      </c>
      <c r="Q23" s="2">
        <f t="shared" si="2"/>
        <v>130</v>
      </c>
      <c r="R23" s="2">
        <f t="shared" si="3"/>
        <v>6</v>
      </c>
      <c r="S23" s="19">
        <v>77.3</v>
      </c>
      <c r="T23" s="6">
        <f t="shared" si="4"/>
        <v>488</v>
      </c>
      <c r="U23" s="6">
        <f t="shared" si="5"/>
        <v>140</v>
      </c>
      <c r="V23" s="6">
        <f t="shared" si="21"/>
        <v>2</v>
      </c>
      <c r="W23" s="6">
        <f t="shared" si="6"/>
        <v>200</v>
      </c>
      <c r="X23" s="6">
        <f t="shared" si="7"/>
        <v>6</v>
      </c>
      <c r="Y23" s="20">
        <v>152.6</v>
      </c>
    </row>
    <row r="24" spans="1:42" x14ac:dyDescent="0.25">
      <c r="A24" s="4">
        <v>6300</v>
      </c>
      <c r="B24" s="4">
        <v>826</v>
      </c>
      <c r="C24" s="4">
        <f t="shared" si="17"/>
        <v>140</v>
      </c>
      <c r="D24" s="2">
        <v>4</v>
      </c>
      <c r="E24" s="2">
        <v>160</v>
      </c>
      <c r="F24" s="2">
        <v>6</v>
      </c>
      <c r="G24" s="19">
        <v>74.7</v>
      </c>
      <c r="H24" s="6">
        <v>737</v>
      </c>
      <c r="I24" s="6">
        <f t="shared" si="16"/>
        <v>140</v>
      </c>
      <c r="J24" s="6">
        <v>3</v>
      </c>
      <c r="K24" s="6">
        <v>200</v>
      </c>
      <c r="L24" s="6">
        <f t="shared" si="18"/>
        <v>6</v>
      </c>
      <c r="M24" s="6">
        <v>156.1</v>
      </c>
      <c r="N24" s="4">
        <f t="shared" si="0"/>
        <v>826</v>
      </c>
      <c r="O24" s="4">
        <f t="shared" si="19"/>
        <v>140</v>
      </c>
      <c r="P24" s="2">
        <f t="shared" si="20"/>
        <v>4</v>
      </c>
      <c r="Q24" s="2">
        <f t="shared" si="2"/>
        <v>160</v>
      </c>
      <c r="R24" s="2">
        <f t="shared" si="3"/>
        <v>6</v>
      </c>
      <c r="S24" s="19">
        <v>90.7</v>
      </c>
      <c r="T24" s="6">
        <f t="shared" si="4"/>
        <v>737</v>
      </c>
      <c r="U24" s="6">
        <f t="shared" si="5"/>
        <v>140</v>
      </c>
      <c r="V24" s="6">
        <f t="shared" si="21"/>
        <v>3</v>
      </c>
      <c r="W24" s="6">
        <f t="shared" si="6"/>
        <v>200</v>
      </c>
      <c r="X24" s="6">
        <f t="shared" si="7"/>
        <v>6</v>
      </c>
      <c r="Y24" s="20">
        <v>168.1</v>
      </c>
    </row>
    <row r="25" spans="1:42" x14ac:dyDescent="0.25">
      <c r="A25" s="236" t="s">
        <v>17</v>
      </c>
      <c r="B25" s="239" t="s">
        <v>48</v>
      </c>
      <c r="C25" s="239"/>
      <c r="D25" s="239"/>
      <c r="E25" s="239"/>
      <c r="F25" s="239"/>
      <c r="G25" s="239"/>
      <c r="H25" s="239"/>
      <c r="I25" s="239"/>
      <c r="J25" s="239"/>
      <c r="K25" s="239"/>
      <c r="L25" s="239"/>
      <c r="M25" s="239"/>
      <c r="N25" s="239"/>
      <c r="AC25" s="1"/>
      <c r="AD25" s="1"/>
      <c r="AE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s="1" customFormat="1" x14ac:dyDescent="0.25">
      <c r="A26" s="237"/>
      <c r="B26" s="239" t="s">
        <v>49</v>
      </c>
      <c r="C26" s="239"/>
      <c r="D26" s="239"/>
      <c r="E26" s="239"/>
      <c r="F26" s="239"/>
      <c r="G26" s="239"/>
      <c r="H26" s="239"/>
      <c r="I26" s="239"/>
      <c r="J26" s="239"/>
      <c r="K26" s="239"/>
      <c r="L26" s="239"/>
      <c r="M26" s="239"/>
      <c r="N26" s="239"/>
    </row>
    <row r="27" spans="1:42" s="1" customFormat="1" x14ac:dyDescent="0.25">
      <c r="A27" s="237"/>
      <c r="B27" s="239" t="s">
        <v>20</v>
      </c>
      <c r="C27" s="239"/>
      <c r="D27" s="239"/>
      <c r="E27" s="239"/>
      <c r="F27" s="239"/>
      <c r="G27" s="239"/>
      <c r="H27" s="239"/>
      <c r="I27" s="239"/>
      <c r="J27" s="239"/>
      <c r="K27" s="239"/>
      <c r="L27" s="239"/>
      <c r="M27" s="239"/>
      <c r="N27" s="239"/>
      <c r="AA27" s="182" t="s">
        <v>67</v>
      </c>
      <c r="AB27" s="1">
        <f>(E23*D23)+(40*3)+(3*6)+(3*4)+(18*2)</f>
        <v>706</v>
      </c>
    </row>
    <row r="28" spans="1:42" s="1" customFormat="1" x14ac:dyDescent="0.25">
      <c r="A28" s="238"/>
      <c r="B28" s="239"/>
      <c r="C28" s="239"/>
      <c r="D28" s="239"/>
      <c r="E28" s="239"/>
      <c r="F28" s="239"/>
      <c r="G28" s="239"/>
      <c r="H28" s="239"/>
      <c r="I28" s="239"/>
      <c r="J28" s="239"/>
      <c r="K28" s="239"/>
      <c r="L28" s="239"/>
      <c r="M28" s="239"/>
      <c r="N28" s="239"/>
    </row>
    <row r="29" spans="1:42" s="1" customFormat="1" x14ac:dyDescent="0.25">
      <c r="A29" s="31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</row>
    <row r="30" spans="1:42" s="1" customFormat="1" x14ac:dyDescent="0.25">
      <c r="A30" s="157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</row>
    <row r="31" spans="1:42" s="1" customFormat="1" x14ac:dyDescent="0.25">
      <c r="A31" s="157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</row>
    <row r="32" spans="1:42" s="1" customFormat="1" x14ac:dyDescent="0.25">
      <c r="A32" s="32" t="s">
        <v>59</v>
      </c>
      <c r="B32" s="240" t="s">
        <v>61</v>
      </c>
      <c r="C32" s="240"/>
      <c r="D32" s="240"/>
      <c r="E32" s="240"/>
      <c r="F32" s="240"/>
      <c r="G32" s="177">
        <f>(11+93+90)*2+2</f>
        <v>390</v>
      </c>
      <c r="H32" s="176" t="s">
        <v>60</v>
      </c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</row>
    <row r="33" spans="1:42" s="1" customFormat="1" x14ac:dyDescent="0.25">
      <c r="A33" s="157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</row>
    <row r="34" spans="1:42" x14ac:dyDescent="0.25">
      <c r="A34" s="32" t="s">
        <v>21</v>
      </c>
      <c r="B34" s="32"/>
      <c r="C34" s="32"/>
      <c r="AC34" s="1"/>
      <c r="AD34" s="1"/>
      <c r="AE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x14ac:dyDescent="0.25"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x14ac:dyDescent="0.25">
      <c r="A36" s="227" t="s">
        <v>5</v>
      </c>
      <c r="B36" s="229" t="s">
        <v>6</v>
      </c>
      <c r="C36" s="230"/>
      <c r="D36" s="230"/>
      <c r="E36" s="230"/>
      <c r="F36" s="230"/>
      <c r="G36" s="230"/>
      <c r="H36" s="230"/>
      <c r="I36" s="230"/>
      <c r="J36" s="230"/>
      <c r="K36" s="231"/>
      <c r="L36" s="229" t="s">
        <v>7</v>
      </c>
      <c r="M36" s="230"/>
      <c r="N36" s="230"/>
      <c r="O36" s="230"/>
      <c r="P36" s="230"/>
      <c r="Q36" s="230"/>
      <c r="R36" s="230"/>
      <c r="S36" s="230"/>
      <c r="T36" s="230"/>
      <c r="U36" s="231"/>
      <c r="V36" s="32"/>
      <c r="W36" s="32"/>
      <c r="X36" s="32"/>
      <c r="Y36" s="32"/>
      <c r="AC36" s="1"/>
      <c r="AD36" s="1"/>
      <c r="AE36" s="1"/>
      <c r="AF36" s="1"/>
      <c r="AG36" s="1"/>
      <c r="AH36" s="1"/>
    </row>
    <row r="37" spans="1:42" x14ac:dyDescent="0.25">
      <c r="A37" s="227"/>
      <c r="B37" s="227" t="s">
        <v>8</v>
      </c>
      <c r="C37" s="227"/>
      <c r="D37" s="227"/>
      <c r="E37" s="227"/>
      <c r="F37" s="227"/>
      <c r="G37" s="233" t="s">
        <v>9</v>
      </c>
      <c r="H37" s="233"/>
      <c r="I37" s="233"/>
      <c r="J37" s="233"/>
      <c r="K37" s="233"/>
      <c r="L37" s="227" t="s">
        <v>8</v>
      </c>
      <c r="M37" s="227"/>
      <c r="N37" s="227"/>
      <c r="O37" s="227"/>
      <c r="P37" s="227"/>
      <c r="Q37" s="233" t="s">
        <v>9</v>
      </c>
      <c r="R37" s="233"/>
      <c r="S37" s="233"/>
      <c r="T37" s="233"/>
      <c r="U37" s="233"/>
      <c r="V37" s="32"/>
      <c r="W37" s="32"/>
    </row>
    <row r="38" spans="1:42" x14ac:dyDescent="0.25">
      <c r="A38" s="227"/>
      <c r="B38" s="30" t="s">
        <v>24</v>
      </c>
      <c r="C38" s="65" t="s">
        <v>50</v>
      </c>
      <c r="D38" s="30" t="s">
        <v>27</v>
      </c>
      <c r="E38" s="65" t="s">
        <v>51</v>
      </c>
      <c r="F38" s="4"/>
      <c r="G38" s="30" t="s">
        <v>24</v>
      </c>
      <c r="H38" s="65" t="s">
        <v>50</v>
      </c>
      <c r="I38" s="66" t="s">
        <v>27</v>
      </c>
      <c r="J38" s="65" t="s">
        <v>51</v>
      </c>
      <c r="K38" s="4"/>
      <c r="L38" s="30" t="s">
        <v>24</v>
      </c>
      <c r="M38" s="65" t="s">
        <v>50</v>
      </c>
      <c r="N38" s="66" t="s">
        <v>27</v>
      </c>
      <c r="O38" s="65" t="s">
        <v>51</v>
      </c>
      <c r="P38" s="4"/>
      <c r="Q38" s="30" t="s">
        <v>24</v>
      </c>
      <c r="R38" s="65" t="s">
        <v>50</v>
      </c>
      <c r="S38" s="66" t="s">
        <v>27</v>
      </c>
      <c r="T38" s="65" t="s">
        <v>51</v>
      </c>
      <c r="U38" s="48"/>
    </row>
    <row r="39" spans="1:42" s="1" customFormat="1" x14ac:dyDescent="0.25">
      <c r="A39" s="4">
        <f t="shared" ref="A39:A54" si="22">A9</f>
        <v>160</v>
      </c>
      <c r="B39" s="30">
        <f>11+93+90+C9</f>
        <v>334</v>
      </c>
      <c r="C39" s="65">
        <f>B39-(C9/2)</f>
        <v>264</v>
      </c>
      <c r="D39" s="30">
        <f t="shared" ref="D39:D44" si="23">B39</f>
        <v>334</v>
      </c>
      <c r="E39" s="65">
        <f t="shared" ref="E39:E44" si="24">C39</f>
        <v>264</v>
      </c>
      <c r="F39" s="4"/>
      <c r="G39" s="30">
        <f>11+93+90+I9</f>
        <v>334</v>
      </c>
      <c r="H39" s="65">
        <f>G39-(I9/2)</f>
        <v>264</v>
      </c>
      <c r="I39" s="66">
        <f t="shared" ref="I39:I44" si="25">G39</f>
        <v>334</v>
      </c>
      <c r="J39" s="65">
        <f t="shared" ref="J39:J44" si="26">H39</f>
        <v>264</v>
      </c>
      <c r="K39" s="4"/>
      <c r="L39" s="30">
        <f t="shared" ref="L39:L44" si="27">B39</f>
        <v>334</v>
      </c>
      <c r="M39" s="65">
        <f t="shared" ref="M39:M44" si="28">C39</f>
        <v>264</v>
      </c>
      <c r="N39" s="66">
        <f t="shared" ref="N39:N44" si="29">L39</f>
        <v>334</v>
      </c>
      <c r="O39" s="65">
        <f t="shared" ref="O39:O44" si="30">M39</f>
        <v>264</v>
      </c>
      <c r="P39" s="4"/>
      <c r="Q39" s="66">
        <f t="shared" ref="Q39:Q44" si="31">G39</f>
        <v>334</v>
      </c>
      <c r="R39" s="67">
        <f t="shared" ref="R39:R44" si="32">H39</f>
        <v>264</v>
      </c>
      <c r="S39" s="66">
        <f t="shared" ref="S39:S44" si="33">Q39</f>
        <v>334</v>
      </c>
      <c r="T39" s="65">
        <f t="shared" ref="T39:T44" si="34">R39</f>
        <v>264</v>
      </c>
      <c r="U39" s="48"/>
    </row>
    <row r="40" spans="1:42" s="1" customFormat="1" x14ac:dyDescent="0.25">
      <c r="A40" s="4">
        <f t="shared" si="22"/>
        <v>250</v>
      </c>
      <c r="B40" s="30">
        <f t="shared" ref="B40:B54" si="35">11+93+90+I9</f>
        <v>334</v>
      </c>
      <c r="C40" s="65">
        <f t="shared" ref="C40:C54" si="36">B40-(C9/2)</f>
        <v>264</v>
      </c>
      <c r="D40" s="30">
        <f t="shared" si="23"/>
        <v>334</v>
      </c>
      <c r="E40" s="65">
        <f t="shared" si="24"/>
        <v>264</v>
      </c>
      <c r="F40" s="4"/>
      <c r="G40" s="30">
        <f t="shared" ref="G40:G54" si="37">11+93+90+I10</f>
        <v>334</v>
      </c>
      <c r="H40" s="65">
        <f t="shared" ref="H40:H54" si="38">G40-(I9/2)</f>
        <v>264</v>
      </c>
      <c r="I40" s="66">
        <f t="shared" si="25"/>
        <v>334</v>
      </c>
      <c r="J40" s="65">
        <f t="shared" si="26"/>
        <v>264</v>
      </c>
      <c r="K40" s="4"/>
      <c r="L40" s="30">
        <f t="shared" si="27"/>
        <v>334</v>
      </c>
      <c r="M40" s="65">
        <f t="shared" si="28"/>
        <v>264</v>
      </c>
      <c r="N40" s="66">
        <f t="shared" si="29"/>
        <v>334</v>
      </c>
      <c r="O40" s="65">
        <f t="shared" si="30"/>
        <v>264</v>
      </c>
      <c r="P40" s="4"/>
      <c r="Q40" s="66">
        <f t="shared" si="31"/>
        <v>334</v>
      </c>
      <c r="R40" s="67">
        <f t="shared" si="32"/>
        <v>264</v>
      </c>
      <c r="S40" s="66">
        <f t="shared" si="33"/>
        <v>334</v>
      </c>
      <c r="T40" s="65">
        <f t="shared" si="34"/>
        <v>264</v>
      </c>
      <c r="U40" s="48"/>
    </row>
    <row r="41" spans="1:42" s="1" customFormat="1" x14ac:dyDescent="0.25">
      <c r="A41" s="4">
        <f t="shared" si="22"/>
        <v>315</v>
      </c>
      <c r="B41" s="30">
        <f t="shared" si="35"/>
        <v>334</v>
      </c>
      <c r="C41" s="65">
        <f t="shared" si="36"/>
        <v>264</v>
      </c>
      <c r="D41" s="30">
        <f t="shared" si="23"/>
        <v>334</v>
      </c>
      <c r="E41" s="65">
        <f t="shared" si="24"/>
        <v>264</v>
      </c>
      <c r="F41" s="4"/>
      <c r="G41" s="30">
        <f t="shared" si="37"/>
        <v>334</v>
      </c>
      <c r="H41" s="65">
        <f t="shared" si="38"/>
        <v>264</v>
      </c>
      <c r="I41" s="66">
        <f t="shared" si="25"/>
        <v>334</v>
      </c>
      <c r="J41" s="65">
        <f t="shared" si="26"/>
        <v>264</v>
      </c>
      <c r="K41" s="4"/>
      <c r="L41" s="30">
        <f t="shared" si="27"/>
        <v>334</v>
      </c>
      <c r="M41" s="65">
        <f t="shared" si="28"/>
        <v>264</v>
      </c>
      <c r="N41" s="66">
        <f t="shared" si="29"/>
        <v>334</v>
      </c>
      <c r="O41" s="65">
        <f t="shared" si="30"/>
        <v>264</v>
      </c>
      <c r="P41" s="4"/>
      <c r="Q41" s="66">
        <f t="shared" si="31"/>
        <v>334</v>
      </c>
      <c r="R41" s="67">
        <f t="shared" si="32"/>
        <v>264</v>
      </c>
      <c r="S41" s="66">
        <f t="shared" si="33"/>
        <v>334</v>
      </c>
      <c r="T41" s="65">
        <f t="shared" si="34"/>
        <v>264</v>
      </c>
      <c r="U41" s="48"/>
    </row>
    <row r="42" spans="1:42" s="1" customFormat="1" x14ac:dyDescent="0.25">
      <c r="A42" s="4">
        <f t="shared" si="22"/>
        <v>400</v>
      </c>
      <c r="B42" s="30">
        <f t="shared" si="35"/>
        <v>334</v>
      </c>
      <c r="C42" s="65">
        <f t="shared" si="36"/>
        <v>264</v>
      </c>
      <c r="D42" s="30">
        <f t="shared" si="23"/>
        <v>334</v>
      </c>
      <c r="E42" s="65">
        <f t="shared" si="24"/>
        <v>264</v>
      </c>
      <c r="F42" s="4"/>
      <c r="G42" s="30">
        <f t="shared" si="37"/>
        <v>334</v>
      </c>
      <c r="H42" s="65">
        <f t="shared" si="38"/>
        <v>264</v>
      </c>
      <c r="I42" s="66">
        <f t="shared" si="25"/>
        <v>334</v>
      </c>
      <c r="J42" s="65">
        <f t="shared" si="26"/>
        <v>264</v>
      </c>
      <c r="K42" s="4"/>
      <c r="L42" s="30">
        <f t="shared" si="27"/>
        <v>334</v>
      </c>
      <c r="M42" s="65">
        <f t="shared" si="28"/>
        <v>264</v>
      </c>
      <c r="N42" s="66">
        <f t="shared" si="29"/>
        <v>334</v>
      </c>
      <c r="O42" s="65">
        <f t="shared" si="30"/>
        <v>264</v>
      </c>
      <c r="P42" s="4"/>
      <c r="Q42" s="66">
        <f t="shared" si="31"/>
        <v>334</v>
      </c>
      <c r="R42" s="67">
        <f t="shared" si="32"/>
        <v>264</v>
      </c>
      <c r="S42" s="66">
        <f t="shared" si="33"/>
        <v>334</v>
      </c>
      <c r="T42" s="65">
        <f t="shared" si="34"/>
        <v>264</v>
      </c>
      <c r="U42" s="48"/>
    </row>
    <row r="43" spans="1:42" s="1" customFormat="1" x14ac:dyDescent="0.25">
      <c r="A43" s="4">
        <f t="shared" si="22"/>
        <v>500</v>
      </c>
      <c r="B43" s="30">
        <f t="shared" si="35"/>
        <v>334</v>
      </c>
      <c r="C43" s="65">
        <f t="shared" si="36"/>
        <v>264</v>
      </c>
      <c r="D43" s="30">
        <f t="shared" si="23"/>
        <v>334</v>
      </c>
      <c r="E43" s="65">
        <f t="shared" si="24"/>
        <v>264</v>
      </c>
      <c r="F43" s="4"/>
      <c r="G43" s="30">
        <f t="shared" si="37"/>
        <v>334</v>
      </c>
      <c r="H43" s="65">
        <f t="shared" si="38"/>
        <v>264</v>
      </c>
      <c r="I43" s="66">
        <f t="shared" si="25"/>
        <v>334</v>
      </c>
      <c r="J43" s="65">
        <f t="shared" si="26"/>
        <v>264</v>
      </c>
      <c r="K43" s="4"/>
      <c r="L43" s="30">
        <f t="shared" si="27"/>
        <v>334</v>
      </c>
      <c r="M43" s="65">
        <f t="shared" si="28"/>
        <v>264</v>
      </c>
      <c r="N43" s="66">
        <f t="shared" si="29"/>
        <v>334</v>
      </c>
      <c r="O43" s="65">
        <f t="shared" si="30"/>
        <v>264</v>
      </c>
      <c r="P43" s="4"/>
      <c r="Q43" s="66">
        <f t="shared" si="31"/>
        <v>334</v>
      </c>
      <c r="R43" s="67">
        <f t="shared" si="32"/>
        <v>264</v>
      </c>
      <c r="S43" s="66">
        <f t="shared" si="33"/>
        <v>334</v>
      </c>
      <c r="T43" s="65">
        <f t="shared" si="34"/>
        <v>264</v>
      </c>
      <c r="U43" s="48"/>
    </row>
    <row r="44" spans="1:42" s="1" customFormat="1" x14ac:dyDescent="0.25">
      <c r="A44" s="4">
        <f t="shared" si="22"/>
        <v>630</v>
      </c>
      <c r="B44" s="30">
        <f t="shared" si="35"/>
        <v>334</v>
      </c>
      <c r="C44" s="65">
        <f t="shared" si="36"/>
        <v>264</v>
      </c>
      <c r="D44" s="30">
        <f t="shared" si="23"/>
        <v>334</v>
      </c>
      <c r="E44" s="65">
        <f t="shared" si="24"/>
        <v>264</v>
      </c>
      <c r="F44" s="4"/>
      <c r="G44" s="30">
        <f t="shared" si="37"/>
        <v>334</v>
      </c>
      <c r="H44" s="65">
        <f t="shared" si="38"/>
        <v>264</v>
      </c>
      <c r="I44" s="66">
        <f t="shared" si="25"/>
        <v>334</v>
      </c>
      <c r="J44" s="65">
        <f t="shared" si="26"/>
        <v>264</v>
      </c>
      <c r="K44" s="4"/>
      <c r="L44" s="30">
        <f t="shared" si="27"/>
        <v>334</v>
      </c>
      <c r="M44" s="65">
        <f t="shared" si="28"/>
        <v>264</v>
      </c>
      <c r="N44" s="66">
        <f t="shared" si="29"/>
        <v>334</v>
      </c>
      <c r="O44" s="65">
        <f t="shared" si="30"/>
        <v>264</v>
      </c>
      <c r="P44" s="4"/>
      <c r="Q44" s="66">
        <f t="shared" si="31"/>
        <v>334</v>
      </c>
      <c r="R44" s="67">
        <f t="shared" si="32"/>
        <v>264</v>
      </c>
      <c r="S44" s="66">
        <f t="shared" si="33"/>
        <v>334</v>
      </c>
      <c r="T44" s="65">
        <f t="shared" si="34"/>
        <v>264</v>
      </c>
      <c r="U44" s="48"/>
    </row>
    <row r="45" spans="1:42" x14ac:dyDescent="0.25">
      <c r="A45" s="4">
        <f t="shared" si="22"/>
        <v>800</v>
      </c>
      <c r="B45" s="30">
        <f t="shared" si="35"/>
        <v>334</v>
      </c>
      <c r="C45" s="65">
        <f t="shared" si="36"/>
        <v>264</v>
      </c>
      <c r="D45" s="30">
        <f t="shared" ref="D45:D89" si="39">B45</f>
        <v>334</v>
      </c>
      <c r="E45" s="65">
        <f t="shared" ref="E45:E77" si="40">C45</f>
        <v>264</v>
      </c>
      <c r="F45" s="4"/>
      <c r="G45" s="30">
        <f t="shared" si="37"/>
        <v>334</v>
      </c>
      <c r="H45" s="65">
        <f t="shared" si="38"/>
        <v>264</v>
      </c>
      <c r="I45" s="66">
        <f t="shared" ref="I45:I77" si="41">G45</f>
        <v>334</v>
      </c>
      <c r="J45" s="65">
        <f t="shared" ref="J45:J77" si="42">H45</f>
        <v>264</v>
      </c>
      <c r="K45" s="4"/>
      <c r="L45" s="30">
        <f t="shared" ref="L45:L77" si="43">B45</f>
        <v>334</v>
      </c>
      <c r="M45" s="65">
        <f t="shared" ref="M45:M77" si="44">C45</f>
        <v>264</v>
      </c>
      <c r="N45" s="66">
        <f t="shared" ref="N45:N77" si="45">L45</f>
        <v>334</v>
      </c>
      <c r="O45" s="65">
        <f t="shared" ref="O45:O77" si="46">M45</f>
        <v>264</v>
      </c>
      <c r="P45" s="4"/>
      <c r="Q45" s="66">
        <f t="shared" ref="Q45:Q77" si="47">G45</f>
        <v>334</v>
      </c>
      <c r="R45" s="67">
        <f t="shared" ref="R45:R77" si="48">H45</f>
        <v>264</v>
      </c>
      <c r="S45" s="66">
        <f t="shared" ref="S45:S77" si="49">Q45</f>
        <v>334</v>
      </c>
      <c r="T45" s="65">
        <f t="shared" ref="T45:T77" si="50">R45</f>
        <v>264</v>
      </c>
      <c r="U45" s="48"/>
    </row>
    <row r="46" spans="1:42" x14ac:dyDescent="0.25">
      <c r="A46" s="4">
        <f t="shared" si="22"/>
        <v>1000</v>
      </c>
      <c r="B46" s="30">
        <f t="shared" si="35"/>
        <v>334</v>
      </c>
      <c r="C46" s="65">
        <f t="shared" si="36"/>
        <v>264</v>
      </c>
      <c r="D46" s="30">
        <f t="shared" si="39"/>
        <v>334</v>
      </c>
      <c r="E46" s="65">
        <f t="shared" si="40"/>
        <v>264</v>
      </c>
      <c r="F46" s="4"/>
      <c r="G46" s="30">
        <f t="shared" si="37"/>
        <v>334</v>
      </c>
      <c r="H46" s="65">
        <f t="shared" si="38"/>
        <v>264</v>
      </c>
      <c r="I46" s="66">
        <f t="shared" si="41"/>
        <v>334</v>
      </c>
      <c r="J46" s="65">
        <f t="shared" si="42"/>
        <v>264</v>
      </c>
      <c r="K46" s="4"/>
      <c r="L46" s="30">
        <f t="shared" si="43"/>
        <v>334</v>
      </c>
      <c r="M46" s="65">
        <f t="shared" si="44"/>
        <v>264</v>
      </c>
      <c r="N46" s="66">
        <f t="shared" si="45"/>
        <v>334</v>
      </c>
      <c r="O46" s="65">
        <f t="shared" si="46"/>
        <v>264</v>
      </c>
      <c r="P46" s="4"/>
      <c r="Q46" s="66">
        <f t="shared" si="47"/>
        <v>334</v>
      </c>
      <c r="R46" s="67">
        <f t="shared" si="48"/>
        <v>264</v>
      </c>
      <c r="S46" s="66">
        <f t="shared" si="49"/>
        <v>334</v>
      </c>
      <c r="T46" s="65">
        <f t="shared" si="50"/>
        <v>264</v>
      </c>
      <c r="U46" s="48"/>
    </row>
    <row r="47" spans="1:42" x14ac:dyDescent="0.25">
      <c r="A47" s="4">
        <f t="shared" si="22"/>
        <v>1250</v>
      </c>
      <c r="B47" s="30">
        <f t="shared" si="35"/>
        <v>334</v>
      </c>
      <c r="C47" s="65">
        <f t="shared" si="36"/>
        <v>264</v>
      </c>
      <c r="D47" s="30">
        <f t="shared" si="39"/>
        <v>334</v>
      </c>
      <c r="E47" s="65">
        <f t="shared" si="40"/>
        <v>264</v>
      </c>
      <c r="F47" s="4"/>
      <c r="G47" s="30">
        <f t="shared" si="37"/>
        <v>334</v>
      </c>
      <c r="H47" s="65">
        <f t="shared" si="38"/>
        <v>264</v>
      </c>
      <c r="I47" s="66">
        <f t="shared" si="41"/>
        <v>334</v>
      </c>
      <c r="J47" s="65">
        <f t="shared" si="42"/>
        <v>264</v>
      </c>
      <c r="K47" s="4"/>
      <c r="L47" s="30">
        <f t="shared" si="43"/>
        <v>334</v>
      </c>
      <c r="M47" s="65">
        <f t="shared" si="44"/>
        <v>264</v>
      </c>
      <c r="N47" s="66">
        <f t="shared" si="45"/>
        <v>334</v>
      </c>
      <c r="O47" s="65">
        <f t="shared" si="46"/>
        <v>264</v>
      </c>
      <c r="P47" s="4"/>
      <c r="Q47" s="66">
        <f t="shared" si="47"/>
        <v>334</v>
      </c>
      <c r="R47" s="67">
        <f t="shared" si="48"/>
        <v>264</v>
      </c>
      <c r="S47" s="66">
        <f t="shared" si="49"/>
        <v>334</v>
      </c>
      <c r="T47" s="65">
        <f t="shared" si="50"/>
        <v>264</v>
      </c>
      <c r="U47" s="48"/>
    </row>
    <row r="48" spans="1:42" x14ac:dyDescent="0.25">
      <c r="A48" s="4">
        <f t="shared" si="22"/>
        <v>1600</v>
      </c>
      <c r="B48" s="30">
        <f t="shared" si="35"/>
        <v>334</v>
      </c>
      <c r="C48" s="65">
        <f t="shared" si="36"/>
        <v>264</v>
      </c>
      <c r="D48" s="30">
        <f>B48</f>
        <v>334</v>
      </c>
      <c r="E48" s="65">
        <f t="shared" si="40"/>
        <v>264</v>
      </c>
      <c r="F48" s="4"/>
      <c r="G48" s="30">
        <f t="shared" si="37"/>
        <v>334</v>
      </c>
      <c r="H48" s="65">
        <f t="shared" si="38"/>
        <v>264</v>
      </c>
      <c r="I48" s="66">
        <f t="shared" si="41"/>
        <v>334</v>
      </c>
      <c r="J48" s="65">
        <f t="shared" si="42"/>
        <v>264</v>
      </c>
      <c r="K48" s="4"/>
      <c r="L48" s="30">
        <f t="shared" si="43"/>
        <v>334</v>
      </c>
      <c r="M48" s="65">
        <f t="shared" si="44"/>
        <v>264</v>
      </c>
      <c r="N48" s="66">
        <f t="shared" si="45"/>
        <v>334</v>
      </c>
      <c r="O48" s="65">
        <f t="shared" si="46"/>
        <v>264</v>
      </c>
      <c r="P48" s="4"/>
      <c r="Q48" s="66">
        <f t="shared" si="47"/>
        <v>334</v>
      </c>
      <c r="R48" s="67">
        <f>H48</f>
        <v>264</v>
      </c>
      <c r="S48" s="66">
        <f t="shared" si="49"/>
        <v>334</v>
      </c>
      <c r="T48" s="65">
        <f t="shared" si="50"/>
        <v>264</v>
      </c>
      <c r="U48" s="48"/>
    </row>
    <row r="49" spans="1:41" x14ac:dyDescent="0.25">
      <c r="A49" s="4">
        <f t="shared" si="22"/>
        <v>2000</v>
      </c>
      <c r="B49" s="30">
        <f t="shared" si="35"/>
        <v>334</v>
      </c>
      <c r="C49" s="65">
        <f t="shared" si="36"/>
        <v>264</v>
      </c>
      <c r="D49" s="30">
        <f t="shared" si="39"/>
        <v>334</v>
      </c>
      <c r="E49" s="65">
        <f t="shared" si="40"/>
        <v>264</v>
      </c>
      <c r="F49" s="4"/>
      <c r="G49" s="30">
        <f t="shared" si="37"/>
        <v>334</v>
      </c>
      <c r="H49" s="65">
        <f t="shared" si="38"/>
        <v>264</v>
      </c>
      <c r="I49" s="66">
        <f t="shared" si="41"/>
        <v>334</v>
      </c>
      <c r="J49" s="65">
        <f t="shared" si="42"/>
        <v>264</v>
      </c>
      <c r="K49" s="4"/>
      <c r="L49" s="30">
        <f t="shared" si="43"/>
        <v>334</v>
      </c>
      <c r="M49" s="65">
        <f t="shared" si="44"/>
        <v>264</v>
      </c>
      <c r="N49" s="66">
        <f t="shared" si="45"/>
        <v>334</v>
      </c>
      <c r="O49" s="65">
        <f t="shared" si="46"/>
        <v>264</v>
      </c>
      <c r="P49" s="4"/>
      <c r="Q49" s="66">
        <f t="shared" si="47"/>
        <v>334</v>
      </c>
      <c r="R49" s="67">
        <f t="shared" si="48"/>
        <v>264</v>
      </c>
      <c r="S49" s="66">
        <f t="shared" si="49"/>
        <v>334</v>
      </c>
      <c r="T49" s="65">
        <f t="shared" si="50"/>
        <v>264</v>
      </c>
      <c r="U49" s="48"/>
    </row>
    <row r="50" spans="1:41" x14ac:dyDescent="0.25">
      <c r="A50" s="4">
        <f t="shared" si="22"/>
        <v>2500</v>
      </c>
      <c r="B50" s="30">
        <f t="shared" si="35"/>
        <v>334</v>
      </c>
      <c r="C50" s="65">
        <f t="shared" si="36"/>
        <v>264</v>
      </c>
      <c r="D50" s="30">
        <f t="shared" si="39"/>
        <v>334</v>
      </c>
      <c r="E50" s="65">
        <f t="shared" si="40"/>
        <v>264</v>
      </c>
      <c r="F50" s="4"/>
      <c r="G50" s="30">
        <f t="shared" si="37"/>
        <v>334</v>
      </c>
      <c r="H50" s="65">
        <f t="shared" si="38"/>
        <v>264</v>
      </c>
      <c r="I50" s="66">
        <f t="shared" si="41"/>
        <v>334</v>
      </c>
      <c r="J50" s="65">
        <f t="shared" si="42"/>
        <v>264</v>
      </c>
      <c r="K50" s="4"/>
      <c r="L50" s="30">
        <f t="shared" si="43"/>
        <v>334</v>
      </c>
      <c r="M50" s="65">
        <f t="shared" si="44"/>
        <v>264</v>
      </c>
      <c r="N50" s="66">
        <f t="shared" si="45"/>
        <v>334</v>
      </c>
      <c r="O50" s="65">
        <f t="shared" si="46"/>
        <v>264</v>
      </c>
      <c r="P50" s="4"/>
      <c r="Q50" s="66">
        <f t="shared" si="47"/>
        <v>334</v>
      </c>
      <c r="R50" s="67">
        <f t="shared" si="48"/>
        <v>264</v>
      </c>
      <c r="S50" s="66">
        <f t="shared" si="49"/>
        <v>334</v>
      </c>
      <c r="T50" s="65">
        <f t="shared" si="50"/>
        <v>264</v>
      </c>
      <c r="U50" s="48"/>
    </row>
    <row r="51" spans="1:41" x14ac:dyDescent="0.25">
      <c r="A51" s="4">
        <f t="shared" si="22"/>
        <v>3200</v>
      </c>
      <c r="B51" s="30">
        <f t="shared" si="35"/>
        <v>334</v>
      </c>
      <c r="C51" s="65">
        <f t="shared" si="36"/>
        <v>264</v>
      </c>
      <c r="D51" s="30">
        <f t="shared" si="39"/>
        <v>334</v>
      </c>
      <c r="E51" s="65">
        <f t="shared" si="40"/>
        <v>264</v>
      </c>
      <c r="F51" s="4"/>
      <c r="G51" s="30">
        <f t="shared" si="37"/>
        <v>334</v>
      </c>
      <c r="H51" s="65">
        <f t="shared" si="38"/>
        <v>264</v>
      </c>
      <c r="I51" s="66">
        <f t="shared" si="41"/>
        <v>334</v>
      </c>
      <c r="J51" s="65">
        <f t="shared" si="42"/>
        <v>264</v>
      </c>
      <c r="K51" s="4"/>
      <c r="L51" s="30">
        <f t="shared" si="43"/>
        <v>334</v>
      </c>
      <c r="M51" s="65">
        <f t="shared" si="44"/>
        <v>264</v>
      </c>
      <c r="N51" s="66">
        <f t="shared" si="45"/>
        <v>334</v>
      </c>
      <c r="O51" s="65">
        <f t="shared" si="46"/>
        <v>264</v>
      </c>
      <c r="P51" s="4"/>
      <c r="Q51" s="66">
        <f t="shared" si="47"/>
        <v>334</v>
      </c>
      <c r="R51" s="67">
        <f t="shared" si="48"/>
        <v>264</v>
      </c>
      <c r="S51" s="66">
        <f t="shared" si="49"/>
        <v>334</v>
      </c>
      <c r="T51" s="65">
        <f t="shared" si="50"/>
        <v>264</v>
      </c>
      <c r="U51" s="48"/>
    </row>
    <row r="52" spans="1:41" x14ac:dyDescent="0.25">
      <c r="A52" s="4">
        <f t="shared" si="22"/>
        <v>4000</v>
      </c>
      <c r="B52" s="30">
        <f t="shared" si="35"/>
        <v>334</v>
      </c>
      <c r="C52" s="65">
        <f t="shared" si="36"/>
        <v>264</v>
      </c>
      <c r="D52" s="30">
        <f t="shared" si="39"/>
        <v>334</v>
      </c>
      <c r="E52" s="65">
        <f t="shared" si="40"/>
        <v>264</v>
      </c>
      <c r="F52" s="4"/>
      <c r="G52" s="30">
        <f t="shared" si="37"/>
        <v>334</v>
      </c>
      <c r="H52" s="65">
        <f t="shared" si="38"/>
        <v>264</v>
      </c>
      <c r="I52" s="66">
        <f t="shared" si="41"/>
        <v>334</v>
      </c>
      <c r="J52" s="65">
        <f t="shared" si="42"/>
        <v>264</v>
      </c>
      <c r="K52" s="4"/>
      <c r="L52" s="30">
        <f t="shared" si="43"/>
        <v>334</v>
      </c>
      <c r="M52" s="65">
        <f t="shared" si="44"/>
        <v>264</v>
      </c>
      <c r="N52" s="66">
        <f t="shared" si="45"/>
        <v>334</v>
      </c>
      <c r="O52" s="65">
        <f t="shared" si="46"/>
        <v>264</v>
      </c>
      <c r="P52" s="4"/>
      <c r="Q52" s="66">
        <f t="shared" si="47"/>
        <v>334</v>
      </c>
      <c r="R52" s="67">
        <f t="shared" si="48"/>
        <v>264</v>
      </c>
      <c r="S52" s="66">
        <f t="shared" si="49"/>
        <v>334</v>
      </c>
      <c r="T52" s="65">
        <f t="shared" si="50"/>
        <v>264</v>
      </c>
      <c r="U52" s="48"/>
    </row>
    <row r="53" spans="1:41" x14ac:dyDescent="0.25">
      <c r="A53" s="4">
        <f t="shared" si="22"/>
        <v>5000</v>
      </c>
      <c r="B53" s="30">
        <f t="shared" si="35"/>
        <v>334</v>
      </c>
      <c r="C53" s="65">
        <f t="shared" si="36"/>
        <v>264</v>
      </c>
      <c r="D53" s="30">
        <f t="shared" si="39"/>
        <v>334</v>
      </c>
      <c r="E53" s="65">
        <f t="shared" si="40"/>
        <v>264</v>
      </c>
      <c r="F53" s="4"/>
      <c r="G53" s="30">
        <f t="shared" si="37"/>
        <v>334</v>
      </c>
      <c r="H53" s="65">
        <f t="shared" si="38"/>
        <v>264</v>
      </c>
      <c r="I53" s="66">
        <f t="shared" si="41"/>
        <v>334</v>
      </c>
      <c r="J53" s="65">
        <f t="shared" si="42"/>
        <v>264</v>
      </c>
      <c r="K53" s="4"/>
      <c r="L53" s="30">
        <f t="shared" si="43"/>
        <v>334</v>
      </c>
      <c r="M53" s="65">
        <f t="shared" si="44"/>
        <v>264</v>
      </c>
      <c r="N53" s="66">
        <f t="shared" si="45"/>
        <v>334</v>
      </c>
      <c r="O53" s="65">
        <f t="shared" si="46"/>
        <v>264</v>
      </c>
      <c r="P53" s="4"/>
      <c r="Q53" s="66">
        <f t="shared" si="47"/>
        <v>334</v>
      </c>
      <c r="R53" s="67">
        <f t="shared" si="48"/>
        <v>264</v>
      </c>
      <c r="S53" s="66">
        <f t="shared" si="49"/>
        <v>334</v>
      </c>
      <c r="T53" s="65">
        <f t="shared" si="50"/>
        <v>264</v>
      </c>
      <c r="U53" s="48"/>
    </row>
    <row r="54" spans="1:41" x14ac:dyDescent="0.25">
      <c r="A54" s="4">
        <f t="shared" si="22"/>
        <v>6300</v>
      </c>
      <c r="B54" s="30">
        <f t="shared" si="35"/>
        <v>334</v>
      </c>
      <c r="C54" s="65">
        <f t="shared" si="36"/>
        <v>264</v>
      </c>
      <c r="D54" s="30">
        <f t="shared" si="39"/>
        <v>334</v>
      </c>
      <c r="E54" s="65">
        <f t="shared" si="40"/>
        <v>264</v>
      </c>
      <c r="F54" s="4"/>
      <c r="G54" s="30">
        <f t="shared" si="37"/>
        <v>334</v>
      </c>
      <c r="H54" s="65">
        <f t="shared" si="38"/>
        <v>264</v>
      </c>
      <c r="I54" s="66">
        <f t="shared" si="41"/>
        <v>334</v>
      </c>
      <c r="J54" s="65">
        <f t="shared" si="42"/>
        <v>264</v>
      </c>
      <c r="K54" s="4"/>
      <c r="L54" s="30">
        <f t="shared" si="43"/>
        <v>334</v>
      </c>
      <c r="M54" s="65">
        <f t="shared" si="44"/>
        <v>264</v>
      </c>
      <c r="N54" s="66">
        <f t="shared" si="45"/>
        <v>334</v>
      </c>
      <c r="O54" s="65">
        <f t="shared" si="46"/>
        <v>264</v>
      </c>
      <c r="P54" s="4"/>
      <c r="Q54" s="66">
        <f t="shared" si="47"/>
        <v>334</v>
      </c>
      <c r="R54" s="67">
        <f t="shared" si="48"/>
        <v>264</v>
      </c>
      <c r="S54" s="66">
        <f t="shared" si="49"/>
        <v>334</v>
      </c>
      <c r="T54" s="65">
        <f t="shared" si="50"/>
        <v>264</v>
      </c>
      <c r="U54" s="48"/>
    </row>
    <row r="55" spans="1:41" x14ac:dyDescent="0.25">
      <c r="E55" s="32"/>
      <c r="M55" s="1"/>
      <c r="N55" s="1"/>
      <c r="O55" s="32"/>
      <c r="P55" s="31"/>
      <c r="Q55" s="31"/>
      <c r="R55" s="32"/>
      <c r="S55" s="32"/>
      <c r="T55" s="32"/>
      <c r="U55" s="32"/>
      <c r="V55" s="31"/>
      <c r="W55" s="31"/>
      <c r="X55" s="32"/>
      <c r="Y55" s="32"/>
      <c r="Z55" s="32"/>
      <c r="AA55" s="32"/>
      <c r="AB55" s="32"/>
      <c r="AC55" s="32"/>
      <c r="AD55" s="32"/>
      <c r="AE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x14ac:dyDescent="0.25">
      <c r="A56" s="32" t="s">
        <v>28</v>
      </c>
      <c r="B56" s="32"/>
      <c r="C56" s="32"/>
      <c r="N56" s="1"/>
      <c r="O56" s="32"/>
      <c r="P56" s="31"/>
      <c r="Q56" s="31"/>
      <c r="R56" s="32"/>
      <c r="S56" s="32"/>
      <c r="T56" s="32"/>
      <c r="U56" s="68"/>
      <c r="V56" s="68"/>
      <c r="W56" s="68"/>
      <c r="X56" s="32"/>
      <c r="Y56" s="32"/>
      <c r="Z56" s="32"/>
      <c r="AA56" s="32"/>
      <c r="AB56" s="32"/>
      <c r="AC56" s="32"/>
      <c r="AD56" s="68"/>
      <c r="AE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x14ac:dyDescent="0.25">
      <c r="A57" s="32"/>
      <c r="B57" s="32"/>
      <c r="C57" s="32"/>
      <c r="N57" s="1"/>
      <c r="O57" s="69"/>
      <c r="P57" s="69"/>
      <c r="Q57" s="69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x14ac:dyDescent="0.25">
      <c r="Y58" s="1"/>
      <c r="AC58" s="1"/>
      <c r="AD58" s="1"/>
      <c r="AE58" s="1"/>
      <c r="AF58" s="1"/>
      <c r="AG58" s="1"/>
      <c r="AH58" s="1"/>
      <c r="AI58" s="1"/>
    </row>
    <row r="59" spans="1:41" x14ac:dyDescent="0.25">
      <c r="A59" s="227" t="s">
        <v>5</v>
      </c>
      <c r="B59" s="229" t="s">
        <v>6</v>
      </c>
      <c r="C59" s="230"/>
      <c r="D59" s="230"/>
      <c r="E59" s="230"/>
      <c r="F59" s="230"/>
      <c r="G59" s="230"/>
      <c r="H59" s="230"/>
      <c r="I59" s="230"/>
      <c r="J59" s="230"/>
      <c r="K59" s="230"/>
      <c r="L59" s="227" t="s">
        <v>7</v>
      </c>
      <c r="M59" s="227"/>
      <c r="N59" s="227"/>
      <c r="O59" s="227"/>
      <c r="P59" s="227"/>
      <c r="Q59" s="227"/>
      <c r="R59" s="227"/>
      <c r="S59" s="227"/>
      <c r="T59" s="227"/>
      <c r="U59" s="227"/>
      <c r="Y59" s="1"/>
      <c r="AC59" s="1"/>
      <c r="AD59" s="1"/>
      <c r="AE59" s="1"/>
    </row>
    <row r="60" spans="1:41" x14ac:dyDescent="0.25">
      <c r="A60" s="227"/>
      <c r="B60" s="229" t="s">
        <v>8</v>
      </c>
      <c r="C60" s="230"/>
      <c r="D60" s="230"/>
      <c r="E60" s="230"/>
      <c r="F60" s="231"/>
      <c r="G60" s="228" t="s">
        <v>9</v>
      </c>
      <c r="H60" s="225"/>
      <c r="I60" s="225"/>
      <c r="J60" s="225"/>
      <c r="K60" s="225"/>
      <c r="L60" s="227" t="s">
        <v>8</v>
      </c>
      <c r="M60" s="227"/>
      <c r="N60" s="227"/>
      <c r="O60" s="227"/>
      <c r="P60" s="227"/>
      <c r="Q60" s="233" t="s">
        <v>9</v>
      </c>
      <c r="R60" s="233"/>
      <c r="S60" s="233"/>
      <c r="T60" s="233"/>
      <c r="U60" s="233"/>
      <c r="V60" s="31"/>
      <c r="W60" s="31"/>
      <c r="X60" s="31"/>
      <c r="Y60" s="1"/>
      <c r="AC60" s="1"/>
      <c r="AD60" s="1"/>
      <c r="AE60" s="1"/>
    </row>
    <row r="61" spans="1:41" x14ac:dyDescent="0.25">
      <c r="A61" s="229"/>
      <c r="B61" s="70" t="s">
        <v>24</v>
      </c>
      <c r="C61" s="65" t="s">
        <v>50</v>
      </c>
      <c r="D61" s="30" t="s">
        <v>27</v>
      </c>
      <c r="E61" s="71" t="s">
        <v>51</v>
      </c>
      <c r="F61" s="4"/>
      <c r="G61" s="70" t="s">
        <v>24</v>
      </c>
      <c r="H61" s="65" t="s">
        <v>50</v>
      </c>
      <c r="I61" s="30" t="s">
        <v>27</v>
      </c>
      <c r="J61" s="71" t="s">
        <v>51</v>
      </c>
      <c r="K61" s="63"/>
      <c r="L61" s="30" t="s">
        <v>24</v>
      </c>
      <c r="M61" s="65" t="s">
        <v>50</v>
      </c>
      <c r="N61" s="30" t="s">
        <v>27</v>
      </c>
      <c r="O61" s="65" t="s">
        <v>51</v>
      </c>
      <c r="P61" s="4"/>
      <c r="Q61" s="30" t="s">
        <v>24</v>
      </c>
      <c r="R61" s="65" t="s">
        <v>50</v>
      </c>
      <c r="S61" s="30" t="s">
        <v>27</v>
      </c>
      <c r="T61" s="65" t="s">
        <v>51</v>
      </c>
      <c r="U61" s="4"/>
      <c r="V61" s="32"/>
      <c r="W61" s="32"/>
      <c r="Y61" s="1"/>
      <c r="AC61" s="1"/>
      <c r="AD61" s="1"/>
    </row>
    <row r="62" spans="1:41" s="1" customFormat="1" x14ac:dyDescent="0.25">
      <c r="A62" s="95">
        <f t="shared" ref="A62:A77" si="51">A9</f>
        <v>160</v>
      </c>
      <c r="B62" s="70">
        <f t="shared" ref="B62:B71" si="52">93+90+11+(D9*(E9+9))+(40*(D9-1))+15+2</f>
        <v>250</v>
      </c>
      <c r="C62" s="65">
        <f t="shared" ref="C62:C77" si="53">B62-((B9/2)-18-1.5)</f>
        <v>235</v>
      </c>
      <c r="D62" s="30">
        <f t="shared" ref="D62:D66" si="54">B62</f>
        <v>250</v>
      </c>
      <c r="E62" s="71">
        <f t="shared" ref="E62:E66" si="55">C62</f>
        <v>235</v>
      </c>
      <c r="F62" s="4"/>
      <c r="G62" s="70">
        <f t="shared" ref="G62:G77" si="56">93+90+11+(J9*(K9+9))+(40*(J9-1))+15+2</f>
        <v>250</v>
      </c>
      <c r="H62" s="65">
        <f t="shared" ref="H62:H77" si="57">G62-H9/2</f>
        <v>215.5</v>
      </c>
      <c r="I62" s="30">
        <f t="shared" ref="I62:I66" si="58">G62</f>
        <v>250</v>
      </c>
      <c r="J62" s="71">
        <f t="shared" ref="J62:J66" si="59">H62</f>
        <v>215.5</v>
      </c>
      <c r="K62" s="63"/>
      <c r="L62" s="30">
        <f t="shared" ref="L62:L66" si="60">B62</f>
        <v>250</v>
      </c>
      <c r="M62" s="65">
        <f t="shared" ref="M62:M66" si="61">C62</f>
        <v>235</v>
      </c>
      <c r="N62" s="30">
        <f t="shared" ref="N62:N66" si="62">L62</f>
        <v>250</v>
      </c>
      <c r="O62" s="65">
        <f t="shared" ref="O62:O66" si="63">M62</f>
        <v>235</v>
      </c>
      <c r="P62" s="4"/>
      <c r="Q62" s="30">
        <f t="shared" ref="Q62:Q66" si="64">G62</f>
        <v>250</v>
      </c>
      <c r="R62" s="65">
        <f t="shared" ref="R62:R66" si="65">H62</f>
        <v>215.5</v>
      </c>
      <c r="S62" s="30">
        <f t="shared" ref="S62:S66" si="66">Q62</f>
        <v>250</v>
      </c>
      <c r="T62" s="65">
        <f t="shared" ref="T62:T66" si="67">R62</f>
        <v>215.5</v>
      </c>
      <c r="U62" s="4"/>
      <c r="V62" s="32"/>
      <c r="W62" s="32"/>
    </row>
    <row r="63" spans="1:41" s="1" customFormat="1" x14ac:dyDescent="0.25">
      <c r="A63" s="95">
        <f t="shared" si="51"/>
        <v>250</v>
      </c>
      <c r="B63" s="70">
        <f t="shared" si="52"/>
        <v>250</v>
      </c>
      <c r="C63" s="65">
        <f t="shared" si="53"/>
        <v>235</v>
      </c>
      <c r="D63" s="30">
        <f t="shared" si="54"/>
        <v>250</v>
      </c>
      <c r="E63" s="71">
        <f t="shared" si="55"/>
        <v>235</v>
      </c>
      <c r="F63" s="4"/>
      <c r="G63" s="70">
        <f t="shared" si="56"/>
        <v>250</v>
      </c>
      <c r="H63" s="65">
        <f t="shared" si="57"/>
        <v>215.5</v>
      </c>
      <c r="I63" s="30">
        <f t="shared" si="58"/>
        <v>250</v>
      </c>
      <c r="J63" s="71">
        <f t="shared" si="59"/>
        <v>215.5</v>
      </c>
      <c r="K63" s="63"/>
      <c r="L63" s="30">
        <f t="shared" si="60"/>
        <v>250</v>
      </c>
      <c r="M63" s="65">
        <f t="shared" si="61"/>
        <v>235</v>
      </c>
      <c r="N63" s="30">
        <f t="shared" si="62"/>
        <v>250</v>
      </c>
      <c r="O63" s="65">
        <f t="shared" si="63"/>
        <v>235</v>
      </c>
      <c r="P63" s="4"/>
      <c r="Q63" s="30">
        <f t="shared" si="64"/>
        <v>250</v>
      </c>
      <c r="R63" s="65">
        <f t="shared" si="65"/>
        <v>215.5</v>
      </c>
      <c r="S63" s="30">
        <f t="shared" si="66"/>
        <v>250</v>
      </c>
      <c r="T63" s="65">
        <f t="shared" si="67"/>
        <v>215.5</v>
      </c>
      <c r="U63" s="4"/>
      <c r="V63" s="32"/>
      <c r="W63" s="32"/>
    </row>
    <row r="64" spans="1:41" s="1" customFormat="1" x14ac:dyDescent="0.25">
      <c r="A64" s="95">
        <f t="shared" si="51"/>
        <v>315</v>
      </c>
      <c r="B64" s="70">
        <f t="shared" si="52"/>
        <v>250</v>
      </c>
      <c r="C64" s="65">
        <f t="shared" si="53"/>
        <v>235</v>
      </c>
      <c r="D64" s="30">
        <f t="shared" si="54"/>
        <v>250</v>
      </c>
      <c r="E64" s="71">
        <f t="shared" si="55"/>
        <v>235</v>
      </c>
      <c r="F64" s="4"/>
      <c r="G64" s="70">
        <f t="shared" si="56"/>
        <v>250</v>
      </c>
      <c r="H64" s="65">
        <f t="shared" si="57"/>
        <v>215.5</v>
      </c>
      <c r="I64" s="30">
        <f t="shared" si="58"/>
        <v>250</v>
      </c>
      <c r="J64" s="71">
        <f t="shared" si="59"/>
        <v>215.5</v>
      </c>
      <c r="K64" s="63"/>
      <c r="L64" s="30">
        <f t="shared" si="60"/>
        <v>250</v>
      </c>
      <c r="M64" s="65">
        <f t="shared" si="61"/>
        <v>235</v>
      </c>
      <c r="N64" s="30">
        <f t="shared" si="62"/>
        <v>250</v>
      </c>
      <c r="O64" s="65">
        <f t="shared" si="63"/>
        <v>235</v>
      </c>
      <c r="P64" s="4"/>
      <c r="Q64" s="30">
        <f t="shared" si="64"/>
        <v>250</v>
      </c>
      <c r="R64" s="65">
        <f t="shared" si="65"/>
        <v>215.5</v>
      </c>
      <c r="S64" s="30">
        <f t="shared" si="66"/>
        <v>250</v>
      </c>
      <c r="T64" s="65">
        <f t="shared" si="67"/>
        <v>215.5</v>
      </c>
      <c r="U64" s="4"/>
      <c r="V64" s="32"/>
      <c r="W64" s="32"/>
    </row>
    <row r="65" spans="1:35" s="1" customFormat="1" x14ac:dyDescent="0.25">
      <c r="A65" s="95">
        <f t="shared" si="51"/>
        <v>400</v>
      </c>
      <c r="B65" s="70">
        <f t="shared" si="52"/>
        <v>250</v>
      </c>
      <c r="C65" s="65">
        <f t="shared" si="53"/>
        <v>235</v>
      </c>
      <c r="D65" s="30">
        <f t="shared" si="54"/>
        <v>250</v>
      </c>
      <c r="E65" s="71">
        <f t="shared" si="55"/>
        <v>235</v>
      </c>
      <c r="F65" s="4"/>
      <c r="G65" s="70">
        <f t="shared" si="56"/>
        <v>250</v>
      </c>
      <c r="H65" s="65">
        <f t="shared" si="57"/>
        <v>215.5</v>
      </c>
      <c r="I65" s="30">
        <f t="shared" si="58"/>
        <v>250</v>
      </c>
      <c r="J65" s="71">
        <f t="shared" si="59"/>
        <v>215.5</v>
      </c>
      <c r="K65" s="63"/>
      <c r="L65" s="30">
        <f t="shared" si="60"/>
        <v>250</v>
      </c>
      <c r="M65" s="65">
        <f t="shared" si="61"/>
        <v>235</v>
      </c>
      <c r="N65" s="30">
        <f t="shared" si="62"/>
        <v>250</v>
      </c>
      <c r="O65" s="65">
        <f t="shared" si="63"/>
        <v>235</v>
      </c>
      <c r="P65" s="4"/>
      <c r="Q65" s="30">
        <f t="shared" si="64"/>
        <v>250</v>
      </c>
      <c r="R65" s="65">
        <f t="shared" si="65"/>
        <v>215.5</v>
      </c>
      <c r="S65" s="30">
        <f t="shared" si="66"/>
        <v>250</v>
      </c>
      <c r="T65" s="65">
        <f t="shared" si="67"/>
        <v>215.5</v>
      </c>
      <c r="U65" s="4"/>
      <c r="V65" s="32"/>
      <c r="W65" s="32"/>
    </row>
    <row r="66" spans="1:35" s="1" customFormat="1" x14ac:dyDescent="0.25">
      <c r="A66" s="95">
        <f t="shared" si="51"/>
        <v>500</v>
      </c>
      <c r="B66" s="70">
        <f t="shared" si="52"/>
        <v>260</v>
      </c>
      <c r="C66" s="65">
        <f t="shared" si="53"/>
        <v>245</v>
      </c>
      <c r="D66" s="30">
        <f t="shared" si="54"/>
        <v>260</v>
      </c>
      <c r="E66" s="71">
        <f t="shared" si="55"/>
        <v>245</v>
      </c>
      <c r="F66" s="4"/>
      <c r="G66" s="70">
        <f t="shared" si="56"/>
        <v>250</v>
      </c>
      <c r="H66" s="65">
        <f t="shared" si="57"/>
        <v>215.5</v>
      </c>
      <c r="I66" s="30">
        <f t="shared" si="58"/>
        <v>250</v>
      </c>
      <c r="J66" s="71">
        <f t="shared" si="59"/>
        <v>215.5</v>
      </c>
      <c r="K66" s="63"/>
      <c r="L66" s="30">
        <f t="shared" si="60"/>
        <v>260</v>
      </c>
      <c r="M66" s="65">
        <f t="shared" si="61"/>
        <v>245</v>
      </c>
      <c r="N66" s="30">
        <f t="shared" si="62"/>
        <v>260</v>
      </c>
      <c r="O66" s="65">
        <f t="shared" si="63"/>
        <v>245</v>
      </c>
      <c r="P66" s="4"/>
      <c r="Q66" s="30">
        <f t="shared" si="64"/>
        <v>250</v>
      </c>
      <c r="R66" s="65">
        <f t="shared" si="65"/>
        <v>215.5</v>
      </c>
      <c r="S66" s="30">
        <f t="shared" si="66"/>
        <v>250</v>
      </c>
      <c r="T66" s="65">
        <f t="shared" si="67"/>
        <v>215.5</v>
      </c>
      <c r="U66" s="4"/>
      <c r="V66" s="32"/>
      <c r="W66" s="32"/>
    </row>
    <row r="67" spans="1:35" s="1" customFormat="1" x14ac:dyDescent="0.25">
      <c r="A67" s="95">
        <f t="shared" si="51"/>
        <v>630</v>
      </c>
      <c r="B67" s="70">
        <f t="shared" si="52"/>
        <v>270</v>
      </c>
      <c r="C67" s="65">
        <f t="shared" si="53"/>
        <v>245</v>
      </c>
      <c r="D67" s="30">
        <f t="shared" si="39"/>
        <v>270</v>
      </c>
      <c r="E67" s="71">
        <f t="shared" si="40"/>
        <v>245</v>
      </c>
      <c r="F67" s="4"/>
      <c r="G67" s="70">
        <f t="shared" si="56"/>
        <v>260</v>
      </c>
      <c r="H67" s="65">
        <f t="shared" si="57"/>
        <v>220.5</v>
      </c>
      <c r="I67" s="30">
        <f t="shared" si="41"/>
        <v>260</v>
      </c>
      <c r="J67" s="71">
        <f t="shared" si="42"/>
        <v>220.5</v>
      </c>
      <c r="K67" s="63"/>
      <c r="L67" s="30">
        <f t="shared" si="43"/>
        <v>270</v>
      </c>
      <c r="M67" s="65">
        <f t="shared" si="44"/>
        <v>245</v>
      </c>
      <c r="N67" s="30">
        <f t="shared" si="45"/>
        <v>270</v>
      </c>
      <c r="O67" s="65">
        <f t="shared" si="46"/>
        <v>245</v>
      </c>
      <c r="P67" s="4"/>
      <c r="Q67" s="30">
        <f t="shared" si="47"/>
        <v>260</v>
      </c>
      <c r="R67" s="65">
        <f t="shared" si="48"/>
        <v>220.5</v>
      </c>
      <c r="S67" s="30">
        <f t="shared" si="49"/>
        <v>260</v>
      </c>
      <c r="T67" s="65">
        <f t="shared" si="50"/>
        <v>220.5</v>
      </c>
      <c r="U67" s="4"/>
      <c r="V67" s="32"/>
      <c r="W67" s="32"/>
    </row>
    <row r="68" spans="1:35" x14ac:dyDescent="0.25">
      <c r="A68" s="95">
        <f t="shared" si="51"/>
        <v>800</v>
      </c>
      <c r="B68" s="70">
        <f t="shared" si="52"/>
        <v>285</v>
      </c>
      <c r="C68" s="65">
        <f t="shared" si="53"/>
        <v>252.5</v>
      </c>
      <c r="D68" s="30">
        <f t="shared" si="39"/>
        <v>285</v>
      </c>
      <c r="E68" s="71">
        <f t="shared" si="40"/>
        <v>252.5</v>
      </c>
      <c r="F68" s="72"/>
      <c r="G68" s="70">
        <f t="shared" si="56"/>
        <v>280</v>
      </c>
      <c r="H68" s="65">
        <f t="shared" si="57"/>
        <v>230.5</v>
      </c>
      <c r="I68" s="30">
        <f t="shared" si="41"/>
        <v>280</v>
      </c>
      <c r="J68" s="71">
        <f t="shared" si="42"/>
        <v>230.5</v>
      </c>
      <c r="K68" s="63"/>
      <c r="L68" s="30">
        <f t="shared" si="43"/>
        <v>285</v>
      </c>
      <c r="M68" s="65">
        <f t="shared" si="44"/>
        <v>252.5</v>
      </c>
      <c r="N68" s="30">
        <f t="shared" si="45"/>
        <v>285</v>
      </c>
      <c r="O68" s="65">
        <f t="shared" si="46"/>
        <v>252.5</v>
      </c>
      <c r="P68" s="4"/>
      <c r="Q68" s="30">
        <f t="shared" si="47"/>
        <v>280</v>
      </c>
      <c r="R68" s="65">
        <f t="shared" si="48"/>
        <v>230.5</v>
      </c>
      <c r="S68" s="30">
        <f t="shared" si="49"/>
        <v>280</v>
      </c>
      <c r="T68" s="65">
        <f t="shared" si="50"/>
        <v>230.5</v>
      </c>
      <c r="U68" s="4"/>
      <c r="V68" s="32"/>
      <c r="W68" s="32"/>
      <c r="Y68" s="1"/>
      <c r="AC68" s="1"/>
      <c r="AD68" s="1"/>
    </row>
    <row r="69" spans="1:35" x14ac:dyDescent="0.25">
      <c r="A69" s="95">
        <f t="shared" si="51"/>
        <v>1000</v>
      </c>
      <c r="B69" s="70">
        <f t="shared" si="52"/>
        <v>320</v>
      </c>
      <c r="C69" s="65">
        <f t="shared" si="53"/>
        <v>270</v>
      </c>
      <c r="D69" s="30">
        <f t="shared" si="39"/>
        <v>320</v>
      </c>
      <c r="E69" s="71">
        <f t="shared" si="40"/>
        <v>270</v>
      </c>
      <c r="F69" s="72"/>
      <c r="G69" s="70">
        <f t="shared" si="56"/>
        <v>285</v>
      </c>
      <c r="H69" s="65">
        <f t="shared" si="57"/>
        <v>233</v>
      </c>
      <c r="I69" s="30">
        <f t="shared" si="41"/>
        <v>285</v>
      </c>
      <c r="J69" s="71">
        <f t="shared" si="42"/>
        <v>233</v>
      </c>
      <c r="K69" s="63"/>
      <c r="L69" s="30">
        <f t="shared" si="43"/>
        <v>320</v>
      </c>
      <c r="M69" s="65">
        <f t="shared" si="44"/>
        <v>270</v>
      </c>
      <c r="N69" s="30">
        <f t="shared" si="45"/>
        <v>320</v>
      </c>
      <c r="O69" s="65">
        <f t="shared" si="46"/>
        <v>270</v>
      </c>
      <c r="P69" s="4"/>
      <c r="Q69" s="30">
        <f t="shared" si="47"/>
        <v>285</v>
      </c>
      <c r="R69" s="65">
        <f t="shared" si="48"/>
        <v>233</v>
      </c>
      <c r="S69" s="30">
        <f t="shared" si="49"/>
        <v>285</v>
      </c>
      <c r="T69" s="65">
        <f t="shared" si="50"/>
        <v>233</v>
      </c>
      <c r="U69" s="4"/>
      <c r="V69" s="32"/>
      <c r="W69" s="32"/>
      <c r="Y69" s="1"/>
      <c r="AC69" s="1"/>
      <c r="AD69" s="1"/>
    </row>
    <row r="70" spans="1:35" x14ac:dyDescent="0.25">
      <c r="A70" s="95">
        <f t="shared" si="51"/>
        <v>1250</v>
      </c>
      <c r="B70" s="70">
        <f t="shared" si="52"/>
        <v>350</v>
      </c>
      <c r="C70" s="65">
        <f t="shared" si="53"/>
        <v>285</v>
      </c>
      <c r="D70" s="30">
        <f t="shared" si="39"/>
        <v>350</v>
      </c>
      <c r="E70" s="71">
        <f t="shared" si="40"/>
        <v>285</v>
      </c>
      <c r="F70" s="72"/>
      <c r="G70" s="70">
        <f t="shared" si="56"/>
        <v>300</v>
      </c>
      <c r="H70" s="65">
        <f t="shared" si="57"/>
        <v>240.5</v>
      </c>
      <c r="I70" s="30">
        <f t="shared" si="41"/>
        <v>300</v>
      </c>
      <c r="J70" s="71">
        <f t="shared" si="42"/>
        <v>240.5</v>
      </c>
      <c r="K70" s="63"/>
      <c r="L70" s="30">
        <f t="shared" si="43"/>
        <v>350</v>
      </c>
      <c r="M70" s="65">
        <f t="shared" si="44"/>
        <v>285</v>
      </c>
      <c r="N70" s="30">
        <f t="shared" si="45"/>
        <v>350</v>
      </c>
      <c r="O70" s="65">
        <f t="shared" si="46"/>
        <v>285</v>
      </c>
      <c r="P70" s="4"/>
      <c r="Q70" s="30">
        <f t="shared" si="47"/>
        <v>300</v>
      </c>
      <c r="R70" s="65">
        <f t="shared" si="48"/>
        <v>240.5</v>
      </c>
      <c r="S70" s="30">
        <f t="shared" si="49"/>
        <v>300</v>
      </c>
      <c r="T70" s="65">
        <f t="shared" si="50"/>
        <v>240.5</v>
      </c>
      <c r="U70" s="4"/>
      <c r="V70" s="32"/>
      <c r="W70" s="32"/>
      <c r="Y70" s="1"/>
      <c r="AC70" s="1"/>
      <c r="AD70" s="1"/>
    </row>
    <row r="71" spans="1:35" x14ac:dyDescent="0.25">
      <c r="A71" s="95">
        <f t="shared" si="51"/>
        <v>1600</v>
      </c>
      <c r="B71" s="70">
        <f t="shared" si="52"/>
        <v>380</v>
      </c>
      <c r="C71" s="65">
        <f t="shared" si="53"/>
        <v>300</v>
      </c>
      <c r="D71" s="30">
        <f t="shared" si="39"/>
        <v>380</v>
      </c>
      <c r="E71" s="71">
        <f t="shared" si="40"/>
        <v>300</v>
      </c>
      <c r="F71" s="72"/>
      <c r="G71" s="70">
        <f t="shared" si="56"/>
        <v>320</v>
      </c>
      <c r="H71" s="65">
        <f t="shared" si="57"/>
        <v>250.5</v>
      </c>
      <c r="I71" s="30">
        <f t="shared" si="41"/>
        <v>320</v>
      </c>
      <c r="J71" s="71">
        <f t="shared" si="42"/>
        <v>250.5</v>
      </c>
      <c r="K71" s="63"/>
      <c r="L71" s="30">
        <f t="shared" si="43"/>
        <v>380</v>
      </c>
      <c r="M71" s="65">
        <f t="shared" si="44"/>
        <v>300</v>
      </c>
      <c r="N71" s="30">
        <f t="shared" si="45"/>
        <v>380</v>
      </c>
      <c r="O71" s="65">
        <f t="shared" si="46"/>
        <v>300</v>
      </c>
      <c r="P71" s="4"/>
      <c r="Q71" s="30">
        <f t="shared" si="47"/>
        <v>320</v>
      </c>
      <c r="R71" s="65">
        <f t="shared" si="48"/>
        <v>250.5</v>
      </c>
      <c r="S71" s="30">
        <f t="shared" si="49"/>
        <v>320</v>
      </c>
      <c r="T71" s="65">
        <f t="shared" si="50"/>
        <v>250.5</v>
      </c>
      <c r="U71" s="4"/>
      <c r="V71" s="32"/>
      <c r="W71" s="32"/>
      <c r="Y71" s="1"/>
      <c r="AC71" s="1"/>
      <c r="AD71" s="1"/>
    </row>
    <row r="72" spans="1:35" x14ac:dyDescent="0.25">
      <c r="A72" s="95">
        <f t="shared" si="51"/>
        <v>2000</v>
      </c>
      <c r="B72" s="70">
        <f>93+90+11+(D19*(E19+9))+(40*(D19-1))+15+2</f>
        <v>420</v>
      </c>
      <c r="C72" s="65">
        <f t="shared" si="53"/>
        <v>320</v>
      </c>
      <c r="D72" s="30">
        <f t="shared" si="39"/>
        <v>420</v>
      </c>
      <c r="E72" s="71">
        <f t="shared" si="40"/>
        <v>320</v>
      </c>
      <c r="F72" s="72"/>
      <c r="G72" s="70">
        <f t="shared" si="56"/>
        <v>380</v>
      </c>
      <c r="H72" s="65">
        <f t="shared" si="57"/>
        <v>280.5</v>
      </c>
      <c r="I72" s="30">
        <f t="shared" si="41"/>
        <v>380</v>
      </c>
      <c r="J72" s="71">
        <f t="shared" si="42"/>
        <v>280.5</v>
      </c>
      <c r="K72" s="63"/>
      <c r="L72" s="30">
        <f t="shared" si="43"/>
        <v>420</v>
      </c>
      <c r="M72" s="65">
        <f t="shared" si="44"/>
        <v>320</v>
      </c>
      <c r="N72" s="30">
        <f t="shared" si="45"/>
        <v>420</v>
      </c>
      <c r="O72" s="65">
        <f t="shared" si="46"/>
        <v>320</v>
      </c>
      <c r="P72" s="4"/>
      <c r="Q72" s="30">
        <f t="shared" si="47"/>
        <v>380</v>
      </c>
      <c r="R72" s="65">
        <f t="shared" si="48"/>
        <v>280.5</v>
      </c>
      <c r="S72" s="30">
        <f t="shared" si="49"/>
        <v>380</v>
      </c>
      <c r="T72" s="65">
        <f t="shared" si="50"/>
        <v>280.5</v>
      </c>
      <c r="U72" s="4"/>
      <c r="V72" s="32"/>
      <c r="W72" s="32"/>
      <c r="Y72" s="1"/>
      <c r="AC72" s="1"/>
      <c r="AD72" s="1"/>
    </row>
    <row r="73" spans="1:35" x14ac:dyDescent="0.25">
      <c r="A73" s="95">
        <f t="shared" si="51"/>
        <v>2500</v>
      </c>
      <c r="B73" s="70">
        <f>93+90+11+(D20*(E20+9))+(40*(D20-1))+15</f>
        <v>527</v>
      </c>
      <c r="C73" s="65">
        <f t="shared" si="53"/>
        <v>372.5</v>
      </c>
      <c r="D73" s="30">
        <f t="shared" si="39"/>
        <v>527</v>
      </c>
      <c r="E73" s="71">
        <f t="shared" si="40"/>
        <v>372.5</v>
      </c>
      <c r="F73" s="72"/>
      <c r="G73" s="70">
        <f t="shared" si="56"/>
        <v>420</v>
      </c>
      <c r="H73" s="65">
        <f t="shared" si="57"/>
        <v>300.5</v>
      </c>
      <c r="I73" s="30">
        <f t="shared" si="41"/>
        <v>420</v>
      </c>
      <c r="J73" s="71">
        <f t="shared" si="42"/>
        <v>300.5</v>
      </c>
      <c r="K73" s="63"/>
      <c r="L73" s="30">
        <f t="shared" si="43"/>
        <v>527</v>
      </c>
      <c r="M73" s="65">
        <f t="shared" si="44"/>
        <v>372.5</v>
      </c>
      <c r="N73" s="30">
        <f t="shared" si="45"/>
        <v>527</v>
      </c>
      <c r="O73" s="65">
        <f t="shared" si="46"/>
        <v>372.5</v>
      </c>
      <c r="P73" s="4"/>
      <c r="Q73" s="30">
        <f t="shared" si="47"/>
        <v>420</v>
      </c>
      <c r="R73" s="65">
        <f t="shared" si="48"/>
        <v>300.5</v>
      </c>
      <c r="S73" s="30">
        <f t="shared" si="49"/>
        <v>420</v>
      </c>
      <c r="T73" s="65">
        <f t="shared" si="50"/>
        <v>300.5</v>
      </c>
      <c r="U73" s="4"/>
      <c r="V73" s="32"/>
      <c r="W73" s="32"/>
      <c r="Y73" s="1"/>
      <c r="AC73" s="1"/>
      <c r="AD73" s="1"/>
    </row>
    <row r="74" spans="1:35" x14ac:dyDescent="0.25">
      <c r="A74" s="95">
        <f t="shared" si="51"/>
        <v>3200</v>
      </c>
      <c r="B74" s="70">
        <f>93+90+11+(D21*(E21+9))+(40*(D21-1))+15</f>
        <v>587</v>
      </c>
      <c r="C74" s="65">
        <f t="shared" si="53"/>
        <v>402.5</v>
      </c>
      <c r="D74" s="30">
        <f t="shared" si="39"/>
        <v>587</v>
      </c>
      <c r="E74" s="71">
        <f t="shared" si="40"/>
        <v>402.5</v>
      </c>
      <c r="F74" s="72"/>
      <c r="G74" s="70">
        <f t="shared" si="56"/>
        <v>529</v>
      </c>
      <c r="H74" s="65">
        <f t="shared" si="57"/>
        <v>355</v>
      </c>
      <c r="I74" s="30">
        <f t="shared" si="41"/>
        <v>529</v>
      </c>
      <c r="J74" s="71">
        <f t="shared" si="42"/>
        <v>355</v>
      </c>
      <c r="K74" s="63"/>
      <c r="L74" s="30">
        <f t="shared" si="43"/>
        <v>587</v>
      </c>
      <c r="M74" s="65">
        <f t="shared" si="44"/>
        <v>402.5</v>
      </c>
      <c r="N74" s="30">
        <f t="shared" si="45"/>
        <v>587</v>
      </c>
      <c r="O74" s="65">
        <f t="shared" si="46"/>
        <v>402.5</v>
      </c>
      <c r="P74" s="4"/>
      <c r="Q74" s="30">
        <f t="shared" si="47"/>
        <v>529</v>
      </c>
      <c r="R74" s="65">
        <f t="shared" si="48"/>
        <v>355</v>
      </c>
      <c r="S74" s="30">
        <f t="shared" si="49"/>
        <v>529</v>
      </c>
      <c r="T74" s="65">
        <f t="shared" si="50"/>
        <v>355</v>
      </c>
      <c r="U74" s="4"/>
      <c r="V74" s="32"/>
      <c r="W74" s="32"/>
      <c r="Y74" s="1"/>
      <c r="AC74" s="1"/>
      <c r="AD74" s="1"/>
    </row>
    <row r="75" spans="1:35" x14ac:dyDescent="0.25">
      <c r="A75" s="95">
        <f t="shared" si="51"/>
        <v>4000</v>
      </c>
      <c r="B75" s="70">
        <f>93+90+11+(D22*(E22+9))+(40*(D22-1))+15</f>
        <v>667</v>
      </c>
      <c r="C75" s="65">
        <f t="shared" si="53"/>
        <v>442.5</v>
      </c>
      <c r="D75" s="30">
        <f t="shared" si="39"/>
        <v>667</v>
      </c>
      <c r="E75" s="71">
        <f t="shared" si="40"/>
        <v>442.5</v>
      </c>
      <c r="F75" s="72"/>
      <c r="G75" s="70">
        <f t="shared" si="56"/>
        <v>589</v>
      </c>
      <c r="H75" s="65">
        <f t="shared" si="57"/>
        <v>385</v>
      </c>
      <c r="I75" s="30">
        <f t="shared" si="41"/>
        <v>589</v>
      </c>
      <c r="J75" s="71">
        <f t="shared" si="42"/>
        <v>385</v>
      </c>
      <c r="K75" s="63"/>
      <c r="L75" s="30">
        <f t="shared" si="43"/>
        <v>667</v>
      </c>
      <c r="M75" s="65">
        <f t="shared" si="44"/>
        <v>442.5</v>
      </c>
      <c r="N75" s="30">
        <f t="shared" si="45"/>
        <v>667</v>
      </c>
      <c r="O75" s="65">
        <f t="shared" si="46"/>
        <v>442.5</v>
      </c>
      <c r="P75" s="4"/>
      <c r="Q75" s="30">
        <f t="shared" si="47"/>
        <v>589</v>
      </c>
      <c r="R75" s="65">
        <f t="shared" si="48"/>
        <v>385</v>
      </c>
      <c r="S75" s="30">
        <f t="shared" si="49"/>
        <v>589</v>
      </c>
      <c r="T75" s="65">
        <f t="shared" si="50"/>
        <v>385</v>
      </c>
      <c r="U75" s="4"/>
      <c r="V75" s="32"/>
      <c r="W75" s="32"/>
      <c r="Y75" s="1"/>
      <c r="AC75" s="1"/>
      <c r="AD75" s="1"/>
    </row>
    <row r="76" spans="1:35" x14ac:dyDescent="0.25">
      <c r="A76" s="95">
        <f t="shared" si="51"/>
        <v>5000</v>
      </c>
      <c r="B76" s="70">
        <f>93+90+11+(D23*(E23+9))+(40*(D23-1))+15</f>
        <v>885</v>
      </c>
      <c r="C76" s="65">
        <f t="shared" si="53"/>
        <v>551.5</v>
      </c>
      <c r="D76" s="30">
        <f t="shared" si="39"/>
        <v>885</v>
      </c>
      <c r="E76" s="71">
        <f t="shared" si="40"/>
        <v>551.5</v>
      </c>
      <c r="F76" s="72"/>
      <c r="G76" s="70">
        <f t="shared" si="56"/>
        <v>669</v>
      </c>
      <c r="H76" s="65">
        <f t="shared" si="57"/>
        <v>425</v>
      </c>
      <c r="I76" s="30">
        <f t="shared" si="41"/>
        <v>669</v>
      </c>
      <c r="J76" s="71">
        <f t="shared" si="42"/>
        <v>425</v>
      </c>
      <c r="K76" s="63"/>
      <c r="L76" s="30">
        <f t="shared" si="43"/>
        <v>885</v>
      </c>
      <c r="M76" s="65">
        <f t="shared" si="44"/>
        <v>551.5</v>
      </c>
      <c r="N76" s="30">
        <f t="shared" si="45"/>
        <v>885</v>
      </c>
      <c r="O76" s="65">
        <f t="shared" si="46"/>
        <v>551.5</v>
      </c>
      <c r="P76" s="4"/>
      <c r="Q76" s="30">
        <f t="shared" si="47"/>
        <v>669</v>
      </c>
      <c r="R76" s="65">
        <f t="shared" si="48"/>
        <v>425</v>
      </c>
      <c r="S76" s="30">
        <f t="shared" si="49"/>
        <v>669</v>
      </c>
      <c r="T76" s="65">
        <f t="shared" si="50"/>
        <v>425</v>
      </c>
      <c r="U76" s="4"/>
      <c r="V76" s="32"/>
      <c r="W76" s="32"/>
      <c r="Y76" s="1"/>
      <c r="AC76" s="1"/>
      <c r="AD76" s="1"/>
    </row>
    <row r="77" spans="1:35" x14ac:dyDescent="0.25">
      <c r="A77" s="95">
        <f t="shared" si="51"/>
        <v>6300</v>
      </c>
      <c r="B77" s="70">
        <f>93+90+11+(D24*(E24+9))+(40*(D24-1))+15</f>
        <v>1005</v>
      </c>
      <c r="C77" s="65">
        <f t="shared" si="53"/>
        <v>611.5</v>
      </c>
      <c r="D77" s="30">
        <f t="shared" si="39"/>
        <v>1005</v>
      </c>
      <c r="E77" s="71">
        <f t="shared" si="40"/>
        <v>611.5</v>
      </c>
      <c r="F77" s="72"/>
      <c r="G77" s="70">
        <f t="shared" si="56"/>
        <v>918</v>
      </c>
      <c r="H77" s="65">
        <f t="shared" si="57"/>
        <v>549.5</v>
      </c>
      <c r="I77" s="30">
        <f t="shared" si="41"/>
        <v>918</v>
      </c>
      <c r="J77" s="71">
        <f t="shared" si="42"/>
        <v>549.5</v>
      </c>
      <c r="K77" s="63"/>
      <c r="L77" s="30">
        <f t="shared" si="43"/>
        <v>1005</v>
      </c>
      <c r="M77" s="65">
        <f t="shared" si="44"/>
        <v>611.5</v>
      </c>
      <c r="N77" s="30">
        <f t="shared" si="45"/>
        <v>1005</v>
      </c>
      <c r="O77" s="65">
        <f t="shared" si="46"/>
        <v>611.5</v>
      </c>
      <c r="P77" s="4"/>
      <c r="Q77" s="30">
        <f t="shared" si="47"/>
        <v>918</v>
      </c>
      <c r="R77" s="65">
        <f t="shared" si="48"/>
        <v>549.5</v>
      </c>
      <c r="S77" s="30">
        <f t="shared" si="49"/>
        <v>918</v>
      </c>
      <c r="T77" s="65">
        <f t="shared" si="50"/>
        <v>549.5</v>
      </c>
      <c r="U77" s="4"/>
      <c r="V77" s="32"/>
      <c r="W77" s="32"/>
      <c r="Y77" s="1"/>
      <c r="AC77" s="1"/>
      <c r="AD77" s="1"/>
    </row>
    <row r="78" spans="1:35" x14ac:dyDescent="0.25">
      <c r="A78" s="1"/>
      <c r="Y78" s="1"/>
      <c r="AC78" s="1"/>
      <c r="AD78" s="1"/>
      <c r="AE78" s="1"/>
      <c r="AF78" s="1"/>
      <c r="AG78" s="1"/>
      <c r="AH78" s="1"/>
      <c r="AI78" s="1"/>
    </row>
    <row r="79" spans="1:35" ht="15" customHeight="1" x14ac:dyDescent="0.25">
      <c r="A79" s="154" t="s">
        <v>29</v>
      </c>
      <c r="B79" s="1"/>
      <c r="Y79" s="1"/>
      <c r="AC79" s="1"/>
      <c r="AD79" s="1"/>
      <c r="AE79" s="1"/>
      <c r="AF79" s="1"/>
      <c r="AG79" s="1"/>
      <c r="AH79" s="1"/>
    </row>
    <row r="80" spans="1:35" x14ac:dyDescent="0.25">
      <c r="A80" s="1"/>
      <c r="Y80" s="1"/>
      <c r="AC80" s="1"/>
    </row>
    <row r="81" spans="1:20" x14ac:dyDescent="0.25">
      <c r="A81" s="241" t="s">
        <v>5</v>
      </c>
      <c r="B81" s="229" t="s">
        <v>6</v>
      </c>
      <c r="C81" s="230"/>
      <c r="D81" s="230"/>
      <c r="E81" s="230"/>
      <c r="F81" s="230"/>
      <c r="G81" s="230"/>
      <c r="H81" s="230"/>
      <c r="I81" s="230"/>
      <c r="J81" s="227" t="s">
        <v>7</v>
      </c>
      <c r="K81" s="227"/>
      <c r="L81" s="227"/>
      <c r="M81" s="227"/>
      <c r="N81" s="227"/>
      <c r="O81" s="227"/>
      <c r="P81" s="227"/>
      <c r="Q81" s="227"/>
      <c r="S81" s="1"/>
      <c r="T81" s="1"/>
    </row>
    <row r="82" spans="1:20" x14ac:dyDescent="0.25">
      <c r="A82" s="242"/>
      <c r="B82" s="229" t="s">
        <v>8</v>
      </c>
      <c r="C82" s="230"/>
      <c r="D82" s="230"/>
      <c r="E82" s="231"/>
      <c r="F82" s="228" t="s">
        <v>9</v>
      </c>
      <c r="G82" s="225"/>
      <c r="H82" s="225"/>
      <c r="I82" s="226"/>
      <c r="J82" s="229" t="s">
        <v>8</v>
      </c>
      <c r="K82" s="230"/>
      <c r="L82" s="230"/>
      <c r="M82" s="231"/>
      <c r="N82" s="228" t="s">
        <v>9</v>
      </c>
      <c r="O82" s="225"/>
      <c r="P82" s="225"/>
      <c r="Q82" s="226"/>
      <c r="R82" s="31"/>
      <c r="S82" s="31"/>
      <c r="T82" s="31"/>
    </row>
    <row r="83" spans="1:20" x14ac:dyDescent="0.25">
      <c r="A83" s="243"/>
      <c r="B83" s="30" t="s">
        <v>24</v>
      </c>
      <c r="C83" s="30" t="s">
        <v>27</v>
      </c>
      <c r="D83" s="73" t="s">
        <v>36</v>
      </c>
      <c r="E83" s="4"/>
      <c r="F83" s="30" t="s">
        <v>24</v>
      </c>
      <c r="G83" s="30" t="s">
        <v>27</v>
      </c>
      <c r="H83" s="30" t="s">
        <v>36</v>
      </c>
      <c r="I83" s="4"/>
      <c r="J83" s="30" t="s">
        <v>24</v>
      </c>
      <c r="K83" s="30" t="s">
        <v>27</v>
      </c>
      <c r="L83" s="30" t="s">
        <v>36</v>
      </c>
      <c r="M83" s="27"/>
      <c r="N83" s="30" t="s">
        <v>24</v>
      </c>
      <c r="O83" s="30" t="s">
        <v>27</v>
      </c>
      <c r="P83" s="30" t="s">
        <v>36</v>
      </c>
      <c r="Q83" s="4"/>
    </row>
    <row r="84" spans="1:20" s="1" customFormat="1" x14ac:dyDescent="0.25">
      <c r="A84" s="4">
        <f t="shared" ref="A84:A99" si="68">A9</f>
        <v>160</v>
      </c>
      <c r="B84" s="74">
        <f t="shared" ref="B84:B89" si="69">11+93+90+C9</f>
        <v>334</v>
      </c>
      <c r="C84" s="74">
        <v>245</v>
      </c>
      <c r="D84" s="74">
        <f t="shared" ref="D84:D88" si="70">B84</f>
        <v>334</v>
      </c>
      <c r="E84" s="75"/>
      <c r="F84" s="74">
        <f t="shared" ref="F84:F99" si="71">11+93+90+C9</f>
        <v>334</v>
      </c>
      <c r="G84" s="74">
        <v>245</v>
      </c>
      <c r="H84" s="74">
        <f t="shared" ref="H84:H88" si="72">F84</f>
        <v>334</v>
      </c>
      <c r="I84" s="60"/>
      <c r="J84" s="74">
        <f t="shared" ref="J84:J88" si="73">B84</f>
        <v>334</v>
      </c>
      <c r="K84" s="74">
        <f t="shared" ref="K84:K88" si="74">C84</f>
        <v>245</v>
      </c>
      <c r="L84" s="74">
        <f t="shared" ref="L84:L88" si="75">D84</f>
        <v>334</v>
      </c>
      <c r="M84" s="75"/>
      <c r="N84" s="74">
        <f t="shared" ref="N84:N88" si="76">F84</f>
        <v>334</v>
      </c>
      <c r="O84" s="74">
        <f t="shared" ref="O84:O88" si="77">G84</f>
        <v>245</v>
      </c>
      <c r="P84" s="74">
        <f t="shared" ref="P84:P88" si="78">H84</f>
        <v>334</v>
      </c>
      <c r="Q84" s="4"/>
    </row>
    <row r="85" spans="1:20" s="1" customFormat="1" x14ac:dyDescent="0.25">
      <c r="A85" s="4">
        <f t="shared" si="68"/>
        <v>250</v>
      </c>
      <c r="B85" s="74">
        <f t="shared" si="69"/>
        <v>334</v>
      </c>
      <c r="C85" s="74">
        <v>246</v>
      </c>
      <c r="D85" s="74">
        <f t="shared" si="70"/>
        <v>334</v>
      </c>
      <c r="E85" s="75"/>
      <c r="F85" s="74">
        <f t="shared" si="71"/>
        <v>334</v>
      </c>
      <c r="G85" s="74">
        <v>246</v>
      </c>
      <c r="H85" s="74">
        <f t="shared" si="72"/>
        <v>334</v>
      </c>
      <c r="I85" s="60"/>
      <c r="J85" s="74">
        <f t="shared" si="73"/>
        <v>334</v>
      </c>
      <c r="K85" s="74">
        <f t="shared" si="74"/>
        <v>246</v>
      </c>
      <c r="L85" s="74">
        <f t="shared" si="75"/>
        <v>334</v>
      </c>
      <c r="M85" s="75"/>
      <c r="N85" s="74">
        <f t="shared" si="76"/>
        <v>334</v>
      </c>
      <c r="O85" s="74">
        <f t="shared" si="77"/>
        <v>246</v>
      </c>
      <c r="P85" s="74">
        <f t="shared" si="78"/>
        <v>334</v>
      </c>
      <c r="Q85" s="4"/>
    </row>
    <row r="86" spans="1:20" s="1" customFormat="1" x14ac:dyDescent="0.25">
      <c r="A86" s="4">
        <f t="shared" si="68"/>
        <v>315</v>
      </c>
      <c r="B86" s="74">
        <f t="shared" si="69"/>
        <v>334</v>
      </c>
      <c r="C86" s="74">
        <v>247</v>
      </c>
      <c r="D86" s="74">
        <f t="shared" si="70"/>
        <v>334</v>
      </c>
      <c r="E86" s="75"/>
      <c r="F86" s="74">
        <f t="shared" si="71"/>
        <v>334</v>
      </c>
      <c r="G86" s="74">
        <v>247</v>
      </c>
      <c r="H86" s="74">
        <f t="shared" si="72"/>
        <v>334</v>
      </c>
      <c r="I86" s="60"/>
      <c r="J86" s="74">
        <f t="shared" si="73"/>
        <v>334</v>
      </c>
      <c r="K86" s="74">
        <f t="shared" si="74"/>
        <v>247</v>
      </c>
      <c r="L86" s="74">
        <f t="shared" si="75"/>
        <v>334</v>
      </c>
      <c r="M86" s="75"/>
      <c r="N86" s="74">
        <f t="shared" si="76"/>
        <v>334</v>
      </c>
      <c r="O86" s="74">
        <f t="shared" si="77"/>
        <v>247</v>
      </c>
      <c r="P86" s="74">
        <f t="shared" si="78"/>
        <v>334</v>
      </c>
      <c r="Q86" s="4"/>
    </row>
    <row r="87" spans="1:20" s="1" customFormat="1" x14ac:dyDescent="0.25">
      <c r="A87" s="4">
        <f t="shared" si="68"/>
        <v>400</v>
      </c>
      <c r="B87" s="74">
        <f t="shared" si="69"/>
        <v>334</v>
      </c>
      <c r="C87" s="74">
        <v>248</v>
      </c>
      <c r="D87" s="74">
        <f t="shared" si="70"/>
        <v>334</v>
      </c>
      <c r="E87" s="75"/>
      <c r="F87" s="74">
        <f t="shared" si="71"/>
        <v>334</v>
      </c>
      <c r="G87" s="74">
        <v>248</v>
      </c>
      <c r="H87" s="74">
        <f t="shared" si="72"/>
        <v>334</v>
      </c>
      <c r="I87" s="60"/>
      <c r="J87" s="74">
        <f t="shared" si="73"/>
        <v>334</v>
      </c>
      <c r="K87" s="74">
        <f t="shared" si="74"/>
        <v>248</v>
      </c>
      <c r="L87" s="74">
        <f t="shared" si="75"/>
        <v>334</v>
      </c>
      <c r="M87" s="75"/>
      <c r="N87" s="74">
        <f t="shared" si="76"/>
        <v>334</v>
      </c>
      <c r="O87" s="74">
        <f t="shared" si="77"/>
        <v>248</v>
      </c>
      <c r="P87" s="74">
        <f t="shared" si="78"/>
        <v>334</v>
      </c>
      <c r="Q87" s="4"/>
    </row>
    <row r="88" spans="1:20" s="1" customFormat="1" x14ac:dyDescent="0.25">
      <c r="A88" s="4">
        <f t="shared" si="68"/>
        <v>500</v>
      </c>
      <c r="B88" s="74">
        <f t="shared" si="69"/>
        <v>334</v>
      </c>
      <c r="C88" s="74">
        <v>249</v>
      </c>
      <c r="D88" s="74">
        <f t="shared" si="70"/>
        <v>334</v>
      </c>
      <c r="E88" s="75"/>
      <c r="F88" s="74">
        <f t="shared" si="71"/>
        <v>334</v>
      </c>
      <c r="G88" s="74">
        <v>249</v>
      </c>
      <c r="H88" s="74">
        <f t="shared" si="72"/>
        <v>334</v>
      </c>
      <c r="I88" s="60"/>
      <c r="J88" s="74">
        <f t="shared" si="73"/>
        <v>334</v>
      </c>
      <c r="K88" s="74">
        <f t="shared" si="74"/>
        <v>249</v>
      </c>
      <c r="L88" s="74">
        <f t="shared" si="75"/>
        <v>334</v>
      </c>
      <c r="M88" s="75"/>
      <c r="N88" s="74">
        <f t="shared" si="76"/>
        <v>334</v>
      </c>
      <c r="O88" s="74">
        <f t="shared" si="77"/>
        <v>249</v>
      </c>
      <c r="P88" s="74">
        <f t="shared" si="78"/>
        <v>334</v>
      </c>
      <c r="Q88" s="4"/>
    </row>
    <row r="89" spans="1:20" s="1" customFormat="1" x14ac:dyDescent="0.25">
      <c r="A89" s="4">
        <f t="shared" si="68"/>
        <v>630</v>
      </c>
      <c r="B89" s="74">
        <f t="shared" si="69"/>
        <v>334</v>
      </c>
      <c r="C89" s="74">
        <v>250</v>
      </c>
      <c r="D89" s="74">
        <f t="shared" si="39"/>
        <v>334</v>
      </c>
      <c r="E89" s="75"/>
      <c r="F89" s="74">
        <f t="shared" si="71"/>
        <v>334</v>
      </c>
      <c r="G89" s="74">
        <v>250</v>
      </c>
      <c r="H89" s="74">
        <f>F89</f>
        <v>334</v>
      </c>
      <c r="I89" s="60"/>
      <c r="J89" s="74">
        <f t="shared" ref="J89:J99" si="79">B89</f>
        <v>334</v>
      </c>
      <c r="K89" s="74">
        <f t="shared" ref="K89:K99" si="80">C89</f>
        <v>250</v>
      </c>
      <c r="L89" s="74">
        <f t="shared" ref="L89:L99" si="81">D89</f>
        <v>334</v>
      </c>
      <c r="M89" s="75"/>
      <c r="N89" s="74">
        <f t="shared" ref="N89:N99" si="82">F89</f>
        <v>334</v>
      </c>
      <c r="O89" s="74">
        <f t="shared" ref="O89:O99" si="83">G89</f>
        <v>250</v>
      </c>
      <c r="P89" s="74">
        <f t="shared" ref="P89:P99" si="84">H89</f>
        <v>334</v>
      </c>
      <c r="Q89" s="4"/>
    </row>
    <row r="90" spans="1:20" x14ac:dyDescent="0.25">
      <c r="A90" s="4">
        <f t="shared" si="68"/>
        <v>800</v>
      </c>
      <c r="B90" s="74">
        <f t="shared" ref="B90:B99" si="85">11+93+90+C14</f>
        <v>334</v>
      </c>
      <c r="C90" s="74">
        <v>250</v>
      </c>
      <c r="D90" s="74">
        <f t="shared" ref="D90:D119" si="86">B90</f>
        <v>334</v>
      </c>
      <c r="E90" s="75"/>
      <c r="F90" s="74">
        <f t="shared" si="71"/>
        <v>334</v>
      </c>
      <c r="G90" s="74">
        <v>250</v>
      </c>
      <c r="H90" s="74">
        <f t="shared" ref="H90:H99" si="87">D90</f>
        <v>334</v>
      </c>
      <c r="I90" s="60"/>
      <c r="J90" s="74">
        <f t="shared" si="79"/>
        <v>334</v>
      </c>
      <c r="K90" s="74">
        <f t="shared" si="80"/>
        <v>250</v>
      </c>
      <c r="L90" s="74">
        <f t="shared" si="81"/>
        <v>334</v>
      </c>
      <c r="M90" s="75"/>
      <c r="N90" s="74">
        <f t="shared" si="82"/>
        <v>334</v>
      </c>
      <c r="O90" s="74">
        <f t="shared" si="83"/>
        <v>250</v>
      </c>
      <c r="P90" s="74">
        <f t="shared" si="84"/>
        <v>334</v>
      </c>
      <c r="Q90" s="76"/>
      <c r="R90" s="62"/>
      <c r="S90" s="62"/>
      <c r="T90" s="62"/>
    </row>
    <row r="91" spans="1:20" x14ac:dyDescent="0.25">
      <c r="A91" s="4">
        <f t="shared" si="68"/>
        <v>1000</v>
      </c>
      <c r="B91" s="74">
        <f t="shared" si="85"/>
        <v>334</v>
      </c>
      <c r="C91" s="74">
        <v>250</v>
      </c>
      <c r="D91" s="74">
        <f t="shared" si="86"/>
        <v>334</v>
      </c>
      <c r="E91" s="75"/>
      <c r="F91" s="74">
        <f t="shared" si="71"/>
        <v>334</v>
      </c>
      <c r="G91" s="74">
        <v>250</v>
      </c>
      <c r="H91" s="74">
        <f t="shared" si="87"/>
        <v>334</v>
      </c>
      <c r="I91" s="60"/>
      <c r="J91" s="74">
        <f t="shared" si="79"/>
        <v>334</v>
      </c>
      <c r="K91" s="74">
        <f t="shared" si="80"/>
        <v>250</v>
      </c>
      <c r="L91" s="74">
        <f t="shared" si="81"/>
        <v>334</v>
      </c>
      <c r="M91" s="75"/>
      <c r="N91" s="74">
        <f t="shared" si="82"/>
        <v>334</v>
      </c>
      <c r="O91" s="74">
        <f t="shared" si="83"/>
        <v>250</v>
      </c>
      <c r="P91" s="74">
        <f t="shared" si="84"/>
        <v>334</v>
      </c>
      <c r="Q91" s="76"/>
      <c r="R91" s="62"/>
      <c r="S91" s="62"/>
      <c r="T91" s="62"/>
    </row>
    <row r="92" spans="1:20" x14ac:dyDescent="0.25">
      <c r="A92" s="4">
        <f t="shared" si="68"/>
        <v>1250</v>
      </c>
      <c r="B92" s="74">
        <f t="shared" si="85"/>
        <v>334</v>
      </c>
      <c r="C92" s="74">
        <v>250</v>
      </c>
      <c r="D92" s="74">
        <f t="shared" si="86"/>
        <v>334</v>
      </c>
      <c r="E92" s="75"/>
      <c r="F92" s="74">
        <f t="shared" si="71"/>
        <v>334</v>
      </c>
      <c r="G92" s="74">
        <v>250</v>
      </c>
      <c r="H92" s="74">
        <f t="shared" si="87"/>
        <v>334</v>
      </c>
      <c r="I92" s="60"/>
      <c r="J92" s="74">
        <f t="shared" si="79"/>
        <v>334</v>
      </c>
      <c r="K92" s="74">
        <f t="shared" si="80"/>
        <v>250</v>
      </c>
      <c r="L92" s="74">
        <f t="shared" si="81"/>
        <v>334</v>
      </c>
      <c r="M92" s="75"/>
      <c r="N92" s="74">
        <f t="shared" si="82"/>
        <v>334</v>
      </c>
      <c r="O92" s="74">
        <f t="shared" si="83"/>
        <v>250</v>
      </c>
      <c r="P92" s="74">
        <f t="shared" si="84"/>
        <v>334</v>
      </c>
      <c r="Q92" s="76"/>
      <c r="R92" s="62"/>
      <c r="S92" s="62"/>
      <c r="T92" s="62"/>
    </row>
    <row r="93" spans="1:20" x14ac:dyDescent="0.25">
      <c r="A93" s="4">
        <f t="shared" si="68"/>
        <v>1600</v>
      </c>
      <c r="B93" s="74">
        <f t="shared" si="85"/>
        <v>334</v>
      </c>
      <c r="C93" s="74">
        <v>250</v>
      </c>
      <c r="D93" s="74">
        <f t="shared" si="86"/>
        <v>334</v>
      </c>
      <c r="E93" s="75"/>
      <c r="F93" s="74">
        <f t="shared" si="71"/>
        <v>334</v>
      </c>
      <c r="G93" s="74">
        <v>250</v>
      </c>
      <c r="H93" s="74">
        <f t="shared" si="87"/>
        <v>334</v>
      </c>
      <c r="I93" s="60"/>
      <c r="J93" s="74">
        <f t="shared" si="79"/>
        <v>334</v>
      </c>
      <c r="K93" s="74">
        <f t="shared" si="80"/>
        <v>250</v>
      </c>
      <c r="L93" s="74">
        <f t="shared" si="81"/>
        <v>334</v>
      </c>
      <c r="M93" s="75"/>
      <c r="N93" s="74">
        <f t="shared" si="82"/>
        <v>334</v>
      </c>
      <c r="O93" s="74">
        <f t="shared" si="83"/>
        <v>250</v>
      </c>
      <c r="P93" s="74">
        <f t="shared" si="84"/>
        <v>334</v>
      </c>
      <c r="Q93" s="76"/>
      <c r="R93" s="62"/>
      <c r="S93" s="62"/>
      <c r="T93" s="62"/>
    </row>
    <row r="94" spans="1:20" x14ac:dyDescent="0.25">
      <c r="A94" s="4">
        <f t="shared" si="68"/>
        <v>2000</v>
      </c>
      <c r="B94" s="74">
        <f t="shared" si="85"/>
        <v>334</v>
      </c>
      <c r="C94" s="74">
        <v>250</v>
      </c>
      <c r="D94" s="74">
        <f t="shared" si="86"/>
        <v>334</v>
      </c>
      <c r="E94" s="75"/>
      <c r="F94" s="74">
        <f t="shared" si="71"/>
        <v>334</v>
      </c>
      <c r="G94" s="74">
        <v>250</v>
      </c>
      <c r="H94" s="74">
        <f t="shared" si="87"/>
        <v>334</v>
      </c>
      <c r="I94" s="60"/>
      <c r="J94" s="74">
        <f t="shared" si="79"/>
        <v>334</v>
      </c>
      <c r="K94" s="74">
        <f t="shared" si="80"/>
        <v>250</v>
      </c>
      <c r="L94" s="74">
        <f t="shared" si="81"/>
        <v>334</v>
      </c>
      <c r="M94" s="75"/>
      <c r="N94" s="74">
        <f t="shared" si="82"/>
        <v>334</v>
      </c>
      <c r="O94" s="74">
        <f t="shared" si="83"/>
        <v>250</v>
      </c>
      <c r="P94" s="74">
        <f t="shared" si="84"/>
        <v>334</v>
      </c>
      <c r="Q94" s="76"/>
      <c r="R94" s="62"/>
      <c r="S94" s="62"/>
      <c r="T94" s="62"/>
    </row>
    <row r="95" spans="1:20" x14ac:dyDescent="0.25">
      <c r="A95" s="4">
        <f t="shared" si="68"/>
        <v>2500</v>
      </c>
      <c r="B95" s="74">
        <f t="shared" si="85"/>
        <v>334</v>
      </c>
      <c r="C95" s="74">
        <v>250</v>
      </c>
      <c r="D95" s="74">
        <f t="shared" si="86"/>
        <v>334</v>
      </c>
      <c r="E95" s="75"/>
      <c r="F95" s="74">
        <f t="shared" si="71"/>
        <v>334</v>
      </c>
      <c r="G95" s="74">
        <v>250</v>
      </c>
      <c r="H95" s="74">
        <f t="shared" si="87"/>
        <v>334</v>
      </c>
      <c r="I95" s="60"/>
      <c r="J95" s="74">
        <f t="shared" si="79"/>
        <v>334</v>
      </c>
      <c r="K95" s="74">
        <f t="shared" si="80"/>
        <v>250</v>
      </c>
      <c r="L95" s="74">
        <f t="shared" si="81"/>
        <v>334</v>
      </c>
      <c r="M95" s="75"/>
      <c r="N95" s="74">
        <f t="shared" si="82"/>
        <v>334</v>
      </c>
      <c r="O95" s="74">
        <f t="shared" si="83"/>
        <v>250</v>
      </c>
      <c r="P95" s="74">
        <f t="shared" si="84"/>
        <v>334</v>
      </c>
      <c r="Q95" s="76"/>
      <c r="R95" s="62"/>
      <c r="S95" s="62"/>
      <c r="T95" s="62"/>
    </row>
    <row r="96" spans="1:20" x14ac:dyDescent="0.25">
      <c r="A96" s="4">
        <f t="shared" si="68"/>
        <v>3200</v>
      </c>
      <c r="B96" s="74">
        <f t="shared" si="85"/>
        <v>334</v>
      </c>
      <c r="C96" s="74">
        <v>250</v>
      </c>
      <c r="D96" s="74">
        <f t="shared" si="86"/>
        <v>334</v>
      </c>
      <c r="E96" s="75"/>
      <c r="F96" s="74">
        <f t="shared" si="71"/>
        <v>334</v>
      </c>
      <c r="G96" s="74">
        <v>250</v>
      </c>
      <c r="H96" s="74">
        <f t="shared" si="87"/>
        <v>334</v>
      </c>
      <c r="I96" s="60"/>
      <c r="J96" s="74">
        <f t="shared" si="79"/>
        <v>334</v>
      </c>
      <c r="K96" s="74">
        <f t="shared" si="80"/>
        <v>250</v>
      </c>
      <c r="L96" s="74">
        <f t="shared" si="81"/>
        <v>334</v>
      </c>
      <c r="M96" s="75"/>
      <c r="N96" s="74">
        <f t="shared" si="82"/>
        <v>334</v>
      </c>
      <c r="O96" s="74">
        <f t="shared" si="83"/>
        <v>250</v>
      </c>
      <c r="P96" s="74">
        <f t="shared" si="84"/>
        <v>334</v>
      </c>
      <c r="Q96" s="76"/>
      <c r="R96" s="62"/>
      <c r="S96" s="62"/>
      <c r="T96" s="62"/>
    </row>
    <row r="97" spans="1:31" x14ac:dyDescent="0.25">
      <c r="A97" s="4">
        <f t="shared" si="68"/>
        <v>4000</v>
      </c>
      <c r="B97" s="74">
        <f t="shared" si="85"/>
        <v>334</v>
      </c>
      <c r="C97" s="74">
        <v>250</v>
      </c>
      <c r="D97" s="74">
        <f t="shared" si="86"/>
        <v>334</v>
      </c>
      <c r="E97" s="75"/>
      <c r="F97" s="74">
        <f t="shared" si="71"/>
        <v>334</v>
      </c>
      <c r="G97" s="74">
        <v>250</v>
      </c>
      <c r="H97" s="74">
        <f t="shared" si="87"/>
        <v>334</v>
      </c>
      <c r="I97" s="60"/>
      <c r="J97" s="74">
        <f t="shared" si="79"/>
        <v>334</v>
      </c>
      <c r="K97" s="74">
        <f t="shared" si="80"/>
        <v>250</v>
      </c>
      <c r="L97" s="74">
        <f t="shared" si="81"/>
        <v>334</v>
      </c>
      <c r="M97" s="75"/>
      <c r="N97" s="74">
        <f t="shared" si="82"/>
        <v>334</v>
      </c>
      <c r="O97" s="74">
        <f t="shared" si="83"/>
        <v>250</v>
      </c>
      <c r="P97" s="74">
        <f t="shared" si="84"/>
        <v>334</v>
      </c>
      <c r="Q97" s="76"/>
      <c r="R97" s="62"/>
      <c r="S97" s="62"/>
      <c r="T97" s="62"/>
    </row>
    <row r="98" spans="1:31" x14ac:dyDescent="0.25">
      <c r="A98" s="4">
        <f t="shared" si="68"/>
        <v>5000</v>
      </c>
      <c r="B98" s="74">
        <f t="shared" si="85"/>
        <v>334</v>
      </c>
      <c r="C98" s="74">
        <v>250</v>
      </c>
      <c r="D98" s="74">
        <f t="shared" si="86"/>
        <v>334</v>
      </c>
      <c r="E98" s="75"/>
      <c r="F98" s="74">
        <f t="shared" si="71"/>
        <v>334</v>
      </c>
      <c r="G98" s="74">
        <v>250</v>
      </c>
      <c r="H98" s="74">
        <f t="shared" si="87"/>
        <v>334</v>
      </c>
      <c r="I98" s="60"/>
      <c r="J98" s="74">
        <f t="shared" si="79"/>
        <v>334</v>
      </c>
      <c r="K98" s="74">
        <f t="shared" si="80"/>
        <v>250</v>
      </c>
      <c r="L98" s="74">
        <f t="shared" si="81"/>
        <v>334</v>
      </c>
      <c r="M98" s="75"/>
      <c r="N98" s="74">
        <f t="shared" si="82"/>
        <v>334</v>
      </c>
      <c r="O98" s="74">
        <f t="shared" si="83"/>
        <v>250</v>
      </c>
      <c r="P98" s="74">
        <f t="shared" si="84"/>
        <v>334</v>
      </c>
      <c r="Q98" s="76"/>
      <c r="R98" s="62"/>
      <c r="S98" s="62"/>
      <c r="T98" s="62"/>
    </row>
    <row r="99" spans="1:31" x14ac:dyDescent="0.25">
      <c r="A99" s="4">
        <f t="shared" si="68"/>
        <v>6300</v>
      </c>
      <c r="B99" s="74">
        <f t="shared" si="85"/>
        <v>334</v>
      </c>
      <c r="C99" s="74">
        <v>250</v>
      </c>
      <c r="D99" s="74">
        <f t="shared" si="86"/>
        <v>334</v>
      </c>
      <c r="E99" s="75"/>
      <c r="F99" s="74">
        <f t="shared" si="71"/>
        <v>334</v>
      </c>
      <c r="G99" s="74">
        <v>250</v>
      </c>
      <c r="H99" s="74">
        <f t="shared" si="87"/>
        <v>334</v>
      </c>
      <c r="I99" s="60"/>
      <c r="J99" s="74">
        <f t="shared" si="79"/>
        <v>334</v>
      </c>
      <c r="K99" s="74">
        <f t="shared" si="80"/>
        <v>250</v>
      </c>
      <c r="L99" s="74">
        <f t="shared" si="81"/>
        <v>334</v>
      </c>
      <c r="M99" s="75"/>
      <c r="N99" s="74">
        <f t="shared" si="82"/>
        <v>334</v>
      </c>
      <c r="O99" s="74">
        <f t="shared" si="83"/>
        <v>250</v>
      </c>
      <c r="P99" s="74">
        <f t="shared" si="84"/>
        <v>334</v>
      </c>
      <c r="Q99" s="76"/>
      <c r="R99" s="62"/>
      <c r="S99" s="62"/>
      <c r="T99" s="62"/>
    </row>
    <row r="100" spans="1:31" x14ac:dyDescent="0.25">
      <c r="A100" s="232" t="s">
        <v>34</v>
      </c>
      <c r="B100" s="232"/>
      <c r="C100" s="232"/>
      <c r="Y100" s="1"/>
      <c r="AC100" s="1"/>
    </row>
    <row r="101" spans="1:31" x14ac:dyDescent="0.25">
      <c r="A101" s="227" t="s">
        <v>5</v>
      </c>
      <c r="B101" s="229" t="s">
        <v>6</v>
      </c>
      <c r="C101" s="230"/>
      <c r="D101" s="230"/>
      <c r="E101" s="230"/>
      <c r="F101" s="230"/>
      <c r="G101" s="230"/>
      <c r="H101" s="230"/>
      <c r="I101" s="230"/>
      <c r="J101" s="227" t="s">
        <v>7</v>
      </c>
      <c r="K101" s="227"/>
      <c r="L101" s="227"/>
      <c r="M101" s="227"/>
      <c r="N101" s="227"/>
      <c r="O101" s="227"/>
      <c r="P101" s="227"/>
      <c r="Q101" s="227"/>
      <c r="S101" s="1"/>
      <c r="T101" s="1"/>
      <c r="Y101" s="1"/>
    </row>
    <row r="102" spans="1:31" x14ac:dyDescent="0.25">
      <c r="A102" s="227"/>
      <c r="B102" s="229" t="s">
        <v>8</v>
      </c>
      <c r="C102" s="230"/>
      <c r="D102" s="230"/>
      <c r="E102" s="231"/>
      <c r="F102" s="228" t="s">
        <v>9</v>
      </c>
      <c r="G102" s="225"/>
      <c r="H102" s="225"/>
      <c r="I102" s="225"/>
      <c r="J102" s="227" t="s">
        <v>8</v>
      </c>
      <c r="K102" s="227"/>
      <c r="L102" s="227"/>
      <c r="M102" s="227"/>
      <c r="N102" s="233" t="s">
        <v>9</v>
      </c>
      <c r="O102" s="233"/>
      <c r="P102" s="233"/>
      <c r="Q102" s="233"/>
      <c r="S102" s="1"/>
      <c r="T102" s="1"/>
      <c r="Y102" s="1"/>
    </row>
    <row r="103" spans="1:31" x14ac:dyDescent="0.25">
      <c r="A103" s="227"/>
      <c r="B103" s="30" t="s">
        <v>24</v>
      </c>
      <c r="C103" s="30" t="s">
        <v>27</v>
      </c>
      <c r="D103" s="73" t="s">
        <v>36</v>
      </c>
      <c r="E103" s="4"/>
      <c r="F103" s="30" t="s">
        <v>24</v>
      </c>
      <c r="G103" s="30" t="s">
        <v>27</v>
      </c>
      <c r="H103" s="30" t="s">
        <v>36</v>
      </c>
      <c r="I103" s="4"/>
      <c r="J103" s="30" t="s">
        <v>24</v>
      </c>
      <c r="K103" s="30" t="s">
        <v>27</v>
      </c>
      <c r="L103" s="30" t="s">
        <v>36</v>
      </c>
      <c r="M103" s="4"/>
      <c r="N103" s="30" t="s">
        <v>24</v>
      </c>
      <c r="O103" s="30" t="s">
        <v>27</v>
      </c>
      <c r="P103" s="30" t="s">
        <v>36</v>
      </c>
      <c r="Q103" s="4"/>
      <c r="R103" s="32"/>
      <c r="S103" s="1"/>
    </row>
    <row r="104" spans="1:31" s="1" customFormat="1" x14ac:dyDescent="0.25">
      <c r="A104" s="4">
        <f t="shared" ref="A104:A119" si="88">A9</f>
        <v>160</v>
      </c>
      <c r="B104" s="30">
        <f>B62</f>
        <v>250</v>
      </c>
      <c r="C104" s="30">
        <f t="shared" ref="C104:C114" si="89">E9+150</f>
        <v>180</v>
      </c>
      <c r="D104" s="30">
        <f t="shared" ref="D104:D109" si="90">B104</f>
        <v>250</v>
      </c>
      <c r="E104" s="75"/>
      <c r="F104" s="30">
        <f t="shared" ref="F104:F114" si="91">183+3+18+K9+11</f>
        <v>245</v>
      </c>
      <c r="G104" s="73">
        <f t="shared" ref="G104:G119" si="92">K9+140</f>
        <v>170</v>
      </c>
      <c r="H104" s="73">
        <f t="shared" ref="H104:H109" si="93">F104</f>
        <v>245</v>
      </c>
      <c r="I104" s="60"/>
      <c r="J104" s="30">
        <f t="shared" ref="J104:J109" si="94">B104</f>
        <v>250</v>
      </c>
      <c r="K104" s="30">
        <f t="shared" ref="K104:K109" si="95">C104</f>
        <v>180</v>
      </c>
      <c r="L104" s="73">
        <f t="shared" ref="L104:L109" si="96">D104</f>
        <v>250</v>
      </c>
      <c r="M104" s="75"/>
      <c r="N104" s="30">
        <f t="shared" ref="N104:N109" si="97">F104</f>
        <v>245</v>
      </c>
      <c r="O104" s="30">
        <f t="shared" ref="O104:O109" si="98">G104</f>
        <v>170</v>
      </c>
      <c r="P104" s="73">
        <f t="shared" ref="P104:P109" si="99">H104</f>
        <v>245</v>
      </c>
      <c r="Q104" s="4"/>
      <c r="R104" s="32"/>
    </row>
    <row r="105" spans="1:31" s="1" customFormat="1" x14ac:dyDescent="0.25">
      <c r="A105" s="4">
        <f t="shared" si="88"/>
        <v>250</v>
      </c>
      <c r="B105" s="30">
        <f t="shared" ref="B105:B119" si="100">B63</f>
        <v>250</v>
      </c>
      <c r="C105" s="30">
        <f t="shared" si="89"/>
        <v>180</v>
      </c>
      <c r="D105" s="30">
        <f t="shared" si="90"/>
        <v>250</v>
      </c>
      <c r="E105" s="75"/>
      <c r="F105" s="30">
        <f t="shared" si="91"/>
        <v>245</v>
      </c>
      <c r="G105" s="73">
        <f t="shared" si="92"/>
        <v>170</v>
      </c>
      <c r="H105" s="73">
        <f t="shared" si="93"/>
        <v>245</v>
      </c>
      <c r="I105" s="60"/>
      <c r="J105" s="30">
        <f t="shared" si="94"/>
        <v>250</v>
      </c>
      <c r="K105" s="30">
        <f t="shared" si="95"/>
        <v>180</v>
      </c>
      <c r="L105" s="73">
        <f t="shared" si="96"/>
        <v>250</v>
      </c>
      <c r="M105" s="75"/>
      <c r="N105" s="30">
        <f t="shared" si="97"/>
        <v>245</v>
      </c>
      <c r="O105" s="30">
        <f t="shared" si="98"/>
        <v>170</v>
      </c>
      <c r="P105" s="73">
        <f t="shared" si="99"/>
        <v>245</v>
      </c>
      <c r="Q105" s="4"/>
      <c r="R105" s="32"/>
    </row>
    <row r="106" spans="1:31" s="1" customFormat="1" x14ac:dyDescent="0.25">
      <c r="A106" s="4">
        <f t="shared" si="88"/>
        <v>315</v>
      </c>
      <c r="B106" s="30">
        <f t="shared" si="100"/>
        <v>250</v>
      </c>
      <c r="C106" s="30">
        <f t="shared" si="89"/>
        <v>180</v>
      </c>
      <c r="D106" s="30">
        <f t="shared" si="90"/>
        <v>250</v>
      </c>
      <c r="E106" s="75"/>
      <c r="F106" s="30">
        <f t="shared" si="91"/>
        <v>245</v>
      </c>
      <c r="G106" s="73">
        <f t="shared" si="92"/>
        <v>170</v>
      </c>
      <c r="H106" s="73">
        <f t="shared" si="93"/>
        <v>245</v>
      </c>
      <c r="I106" s="60"/>
      <c r="J106" s="30">
        <f t="shared" si="94"/>
        <v>250</v>
      </c>
      <c r="K106" s="30">
        <f t="shared" si="95"/>
        <v>180</v>
      </c>
      <c r="L106" s="73">
        <f t="shared" si="96"/>
        <v>250</v>
      </c>
      <c r="M106" s="75"/>
      <c r="N106" s="30">
        <f t="shared" si="97"/>
        <v>245</v>
      </c>
      <c r="O106" s="30">
        <f t="shared" si="98"/>
        <v>170</v>
      </c>
      <c r="P106" s="73">
        <f t="shared" si="99"/>
        <v>245</v>
      </c>
      <c r="Q106" s="4"/>
      <c r="R106" s="32"/>
    </row>
    <row r="107" spans="1:31" s="1" customFormat="1" x14ac:dyDescent="0.25">
      <c r="A107" s="4">
        <f t="shared" si="88"/>
        <v>400</v>
      </c>
      <c r="B107" s="30">
        <f t="shared" si="100"/>
        <v>250</v>
      </c>
      <c r="C107" s="30">
        <f t="shared" si="89"/>
        <v>180</v>
      </c>
      <c r="D107" s="30">
        <f t="shared" si="90"/>
        <v>250</v>
      </c>
      <c r="E107" s="75"/>
      <c r="F107" s="30">
        <f t="shared" si="91"/>
        <v>245</v>
      </c>
      <c r="G107" s="73">
        <f t="shared" si="92"/>
        <v>170</v>
      </c>
      <c r="H107" s="73">
        <f t="shared" si="93"/>
        <v>245</v>
      </c>
      <c r="I107" s="60"/>
      <c r="J107" s="30">
        <f t="shared" si="94"/>
        <v>250</v>
      </c>
      <c r="K107" s="30">
        <f t="shared" si="95"/>
        <v>180</v>
      </c>
      <c r="L107" s="73">
        <f t="shared" si="96"/>
        <v>250</v>
      </c>
      <c r="M107" s="75"/>
      <c r="N107" s="30">
        <f t="shared" si="97"/>
        <v>245</v>
      </c>
      <c r="O107" s="30">
        <f t="shared" si="98"/>
        <v>170</v>
      </c>
      <c r="P107" s="73">
        <f t="shared" si="99"/>
        <v>245</v>
      </c>
      <c r="Q107" s="4"/>
      <c r="R107" s="32"/>
    </row>
    <row r="108" spans="1:31" s="1" customFormat="1" x14ac:dyDescent="0.25">
      <c r="A108" s="4">
        <f t="shared" si="88"/>
        <v>500</v>
      </c>
      <c r="B108" s="30">
        <f t="shared" si="100"/>
        <v>260</v>
      </c>
      <c r="C108" s="30">
        <f t="shared" si="89"/>
        <v>190</v>
      </c>
      <c r="D108" s="30">
        <f t="shared" si="90"/>
        <v>260</v>
      </c>
      <c r="E108" s="75"/>
      <c r="F108" s="30">
        <f t="shared" si="91"/>
        <v>245</v>
      </c>
      <c r="G108" s="73">
        <f t="shared" si="92"/>
        <v>170</v>
      </c>
      <c r="H108" s="73">
        <f t="shared" si="93"/>
        <v>245</v>
      </c>
      <c r="I108" s="60"/>
      <c r="J108" s="30">
        <f t="shared" si="94"/>
        <v>260</v>
      </c>
      <c r="K108" s="30">
        <f t="shared" si="95"/>
        <v>190</v>
      </c>
      <c r="L108" s="73">
        <f t="shared" si="96"/>
        <v>260</v>
      </c>
      <c r="M108" s="75"/>
      <c r="N108" s="30">
        <f t="shared" si="97"/>
        <v>245</v>
      </c>
      <c r="O108" s="30">
        <f t="shared" si="98"/>
        <v>170</v>
      </c>
      <c r="P108" s="73">
        <f t="shared" si="99"/>
        <v>245</v>
      </c>
      <c r="Q108" s="4"/>
      <c r="R108" s="32"/>
    </row>
    <row r="109" spans="1:31" s="1" customFormat="1" x14ac:dyDescent="0.25">
      <c r="A109" s="4">
        <f t="shared" si="88"/>
        <v>630</v>
      </c>
      <c r="B109" s="30">
        <f t="shared" si="100"/>
        <v>270</v>
      </c>
      <c r="C109" s="30">
        <f t="shared" si="89"/>
        <v>200</v>
      </c>
      <c r="D109" s="30">
        <f t="shared" si="90"/>
        <v>270</v>
      </c>
      <c r="E109" s="75"/>
      <c r="F109" s="30">
        <f t="shared" si="91"/>
        <v>255</v>
      </c>
      <c r="G109" s="73">
        <f t="shared" si="92"/>
        <v>180</v>
      </c>
      <c r="H109" s="73">
        <f t="shared" si="93"/>
        <v>255</v>
      </c>
      <c r="I109" s="60"/>
      <c r="J109" s="30">
        <f t="shared" si="94"/>
        <v>270</v>
      </c>
      <c r="K109" s="30">
        <f t="shared" si="95"/>
        <v>200</v>
      </c>
      <c r="L109" s="73">
        <f t="shared" si="96"/>
        <v>270</v>
      </c>
      <c r="M109" s="75"/>
      <c r="N109" s="30">
        <f t="shared" si="97"/>
        <v>255</v>
      </c>
      <c r="O109" s="30">
        <f t="shared" si="98"/>
        <v>180</v>
      </c>
      <c r="P109" s="73">
        <f t="shared" si="99"/>
        <v>255</v>
      </c>
      <c r="Q109" s="4"/>
      <c r="R109" s="32"/>
    </row>
    <row r="110" spans="1:31" x14ac:dyDescent="0.25">
      <c r="A110" s="4">
        <f t="shared" si="88"/>
        <v>800</v>
      </c>
      <c r="B110" s="30">
        <f t="shared" si="100"/>
        <v>285</v>
      </c>
      <c r="C110" s="30">
        <f t="shared" si="89"/>
        <v>215</v>
      </c>
      <c r="D110" s="30">
        <f t="shared" si="86"/>
        <v>285</v>
      </c>
      <c r="E110" s="75"/>
      <c r="F110" s="30">
        <f t="shared" si="91"/>
        <v>275</v>
      </c>
      <c r="G110" s="73">
        <f t="shared" si="92"/>
        <v>200</v>
      </c>
      <c r="H110" s="73">
        <f t="shared" ref="H110:H119" si="101">F110</f>
        <v>275</v>
      </c>
      <c r="I110" s="60"/>
      <c r="J110" s="30">
        <f t="shared" ref="J110:J155" si="102">B110</f>
        <v>285</v>
      </c>
      <c r="K110" s="30">
        <f t="shared" ref="K110:K155" si="103">C110</f>
        <v>215</v>
      </c>
      <c r="L110" s="73">
        <f t="shared" ref="L110:L155" si="104">D110</f>
        <v>285</v>
      </c>
      <c r="M110" s="75"/>
      <c r="N110" s="30">
        <f t="shared" ref="N110:N156" si="105">F110</f>
        <v>275</v>
      </c>
      <c r="O110" s="30">
        <f t="shared" ref="O110:O156" si="106">G110</f>
        <v>200</v>
      </c>
      <c r="P110" s="73">
        <f t="shared" ref="P110:P155" si="107">H110</f>
        <v>275</v>
      </c>
      <c r="Q110" s="76"/>
      <c r="R110" s="62"/>
      <c r="S110" s="62"/>
      <c r="T110" s="62"/>
      <c r="Y110" s="1"/>
      <c r="AC110" s="1"/>
      <c r="AD110" s="1"/>
      <c r="AE110" s="1"/>
    </row>
    <row r="111" spans="1:31" x14ac:dyDescent="0.25">
      <c r="A111" s="4">
        <f t="shared" si="88"/>
        <v>1000</v>
      </c>
      <c r="B111" s="30">
        <f t="shared" si="100"/>
        <v>320</v>
      </c>
      <c r="C111" s="30">
        <f t="shared" si="89"/>
        <v>250</v>
      </c>
      <c r="D111" s="30">
        <f t="shared" si="86"/>
        <v>320</v>
      </c>
      <c r="E111" s="75"/>
      <c r="F111" s="30">
        <f t="shared" si="91"/>
        <v>280</v>
      </c>
      <c r="G111" s="73">
        <f t="shared" si="92"/>
        <v>205</v>
      </c>
      <c r="H111" s="73">
        <f t="shared" si="101"/>
        <v>280</v>
      </c>
      <c r="I111" s="60"/>
      <c r="J111" s="30">
        <f t="shared" si="102"/>
        <v>320</v>
      </c>
      <c r="K111" s="30">
        <f t="shared" si="103"/>
        <v>250</v>
      </c>
      <c r="L111" s="73">
        <f t="shared" si="104"/>
        <v>320</v>
      </c>
      <c r="M111" s="75"/>
      <c r="N111" s="30">
        <f t="shared" si="105"/>
        <v>280</v>
      </c>
      <c r="O111" s="30">
        <f t="shared" si="106"/>
        <v>205</v>
      </c>
      <c r="P111" s="73">
        <f t="shared" si="107"/>
        <v>280</v>
      </c>
      <c r="Q111" s="76"/>
      <c r="R111" s="62"/>
      <c r="S111" s="62"/>
      <c r="T111" s="62"/>
      <c r="Y111" s="1"/>
      <c r="AC111" s="1"/>
      <c r="AD111" s="1"/>
      <c r="AE111" s="1"/>
    </row>
    <row r="112" spans="1:31" x14ac:dyDescent="0.25">
      <c r="A112" s="4">
        <f t="shared" si="88"/>
        <v>1250</v>
      </c>
      <c r="B112" s="30">
        <f t="shared" si="100"/>
        <v>350</v>
      </c>
      <c r="C112" s="30">
        <f t="shared" si="89"/>
        <v>280</v>
      </c>
      <c r="D112" s="30">
        <f t="shared" si="86"/>
        <v>350</v>
      </c>
      <c r="E112" s="75"/>
      <c r="F112" s="30">
        <f t="shared" si="91"/>
        <v>295</v>
      </c>
      <c r="G112" s="73">
        <f t="shared" si="92"/>
        <v>220</v>
      </c>
      <c r="H112" s="73">
        <f t="shared" si="101"/>
        <v>295</v>
      </c>
      <c r="I112" s="60"/>
      <c r="J112" s="30">
        <f t="shared" si="102"/>
        <v>350</v>
      </c>
      <c r="K112" s="30">
        <f t="shared" si="103"/>
        <v>280</v>
      </c>
      <c r="L112" s="73">
        <f t="shared" si="104"/>
        <v>350</v>
      </c>
      <c r="M112" s="75"/>
      <c r="N112" s="30">
        <f t="shared" si="105"/>
        <v>295</v>
      </c>
      <c r="O112" s="30">
        <f t="shared" si="106"/>
        <v>220</v>
      </c>
      <c r="P112" s="73">
        <f t="shared" si="107"/>
        <v>295</v>
      </c>
      <c r="Q112" s="76"/>
      <c r="R112" s="62"/>
      <c r="S112" s="62"/>
      <c r="T112" s="62"/>
      <c r="Y112" s="1"/>
      <c r="AC112" s="1"/>
      <c r="AD112" s="1"/>
      <c r="AE112" s="1"/>
    </row>
    <row r="113" spans="1:39" x14ac:dyDescent="0.25">
      <c r="A113" s="4">
        <f t="shared" si="88"/>
        <v>1600</v>
      </c>
      <c r="B113" s="30">
        <f t="shared" si="100"/>
        <v>380</v>
      </c>
      <c r="C113" s="30">
        <f t="shared" si="89"/>
        <v>310</v>
      </c>
      <c r="D113" s="30">
        <f t="shared" si="86"/>
        <v>380</v>
      </c>
      <c r="E113" s="75"/>
      <c r="F113" s="30">
        <f t="shared" si="91"/>
        <v>315</v>
      </c>
      <c r="G113" s="73">
        <f t="shared" si="92"/>
        <v>240</v>
      </c>
      <c r="H113" s="73">
        <f t="shared" si="101"/>
        <v>315</v>
      </c>
      <c r="I113" s="60"/>
      <c r="J113" s="30">
        <f t="shared" si="102"/>
        <v>380</v>
      </c>
      <c r="K113" s="30">
        <f t="shared" si="103"/>
        <v>310</v>
      </c>
      <c r="L113" s="73">
        <f t="shared" si="104"/>
        <v>380</v>
      </c>
      <c r="M113" s="75"/>
      <c r="N113" s="30">
        <f t="shared" si="105"/>
        <v>315</v>
      </c>
      <c r="O113" s="30">
        <f t="shared" si="106"/>
        <v>240</v>
      </c>
      <c r="P113" s="73">
        <f t="shared" si="107"/>
        <v>315</v>
      </c>
      <c r="Q113" s="76"/>
      <c r="R113" s="62"/>
      <c r="S113" s="62"/>
      <c r="T113" s="62"/>
      <c r="Y113" s="1"/>
      <c r="AC113" s="1"/>
      <c r="AD113" s="1"/>
      <c r="AE113" s="1"/>
    </row>
    <row r="114" spans="1:39" x14ac:dyDescent="0.25">
      <c r="A114" s="4">
        <f t="shared" si="88"/>
        <v>2000</v>
      </c>
      <c r="B114" s="30">
        <f t="shared" si="100"/>
        <v>420</v>
      </c>
      <c r="C114" s="30">
        <f t="shared" si="89"/>
        <v>350</v>
      </c>
      <c r="D114" s="30">
        <f t="shared" si="86"/>
        <v>420</v>
      </c>
      <c r="E114" s="75"/>
      <c r="F114" s="30">
        <f t="shared" si="91"/>
        <v>375</v>
      </c>
      <c r="G114" s="73">
        <f t="shared" si="92"/>
        <v>300</v>
      </c>
      <c r="H114" s="73">
        <f t="shared" si="101"/>
        <v>375</v>
      </c>
      <c r="I114" s="60"/>
      <c r="J114" s="30">
        <f t="shared" si="102"/>
        <v>420</v>
      </c>
      <c r="K114" s="30">
        <f t="shared" si="103"/>
        <v>350</v>
      </c>
      <c r="L114" s="73">
        <f t="shared" si="104"/>
        <v>420</v>
      </c>
      <c r="M114" s="75"/>
      <c r="N114" s="30">
        <f t="shared" si="105"/>
        <v>375</v>
      </c>
      <c r="O114" s="30">
        <f t="shared" si="106"/>
        <v>300</v>
      </c>
      <c r="P114" s="73">
        <f t="shared" si="107"/>
        <v>375</v>
      </c>
      <c r="Q114" s="76"/>
      <c r="R114" s="62"/>
      <c r="S114" s="62"/>
      <c r="T114" s="62"/>
      <c r="Y114" s="1"/>
      <c r="AC114" s="1"/>
      <c r="AD114" s="1"/>
      <c r="AE114" s="1"/>
    </row>
    <row r="115" spans="1:39" x14ac:dyDescent="0.25">
      <c r="A115" s="4">
        <f t="shared" si="88"/>
        <v>2500</v>
      </c>
      <c r="B115" s="30">
        <f t="shared" si="100"/>
        <v>527</v>
      </c>
      <c r="C115" s="30">
        <f>E20*D20+150</f>
        <v>410</v>
      </c>
      <c r="D115" s="30">
        <f t="shared" si="86"/>
        <v>527</v>
      </c>
      <c r="E115" s="75"/>
      <c r="F115" s="30">
        <f>183+(3*2)+40+(K20*2)+11+18</f>
        <v>658</v>
      </c>
      <c r="G115" s="73">
        <f t="shared" si="92"/>
        <v>340</v>
      </c>
      <c r="H115" s="73">
        <f t="shared" si="101"/>
        <v>658</v>
      </c>
      <c r="I115" s="60"/>
      <c r="J115" s="30">
        <f t="shared" si="102"/>
        <v>527</v>
      </c>
      <c r="K115" s="30">
        <f t="shared" si="103"/>
        <v>410</v>
      </c>
      <c r="L115" s="30">
        <f t="shared" si="104"/>
        <v>527</v>
      </c>
      <c r="M115" s="75"/>
      <c r="N115" s="30">
        <f t="shared" si="105"/>
        <v>658</v>
      </c>
      <c r="O115" s="30">
        <f t="shared" si="106"/>
        <v>340</v>
      </c>
      <c r="P115" s="30">
        <f t="shared" si="107"/>
        <v>658</v>
      </c>
      <c r="Q115" s="76"/>
      <c r="R115" s="62"/>
      <c r="S115" s="62"/>
      <c r="T115" s="62"/>
      <c r="Y115" s="1"/>
      <c r="AC115" s="1"/>
      <c r="AD115" s="1"/>
      <c r="AE115" s="1"/>
    </row>
    <row r="116" spans="1:39" x14ac:dyDescent="0.25">
      <c r="A116" s="4">
        <f t="shared" si="88"/>
        <v>3200</v>
      </c>
      <c r="B116" s="30">
        <f t="shared" si="100"/>
        <v>587</v>
      </c>
      <c r="C116" s="30">
        <f>E21*D21+150</f>
        <v>470</v>
      </c>
      <c r="D116" s="30">
        <f t="shared" si="86"/>
        <v>587</v>
      </c>
      <c r="E116" s="75"/>
      <c r="F116" s="30">
        <f>183+(3*J21)+40+(K21*J21)+11+18</f>
        <v>518</v>
      </c>
      <c r="G116" s="73">
        <f t="shared" si="92"/>
        <v>270</v>
      </c>
      <c r="H116" s="73">
        <f t="shared" si="101"/>
        <v>518</v>
      </c>
      <c r="I116" s="60"/>
      <c r="J116" s="30">
        <f t="shared" si="102"/>
        <v>587</v>
      </c>
      <c r="K116" s="30">
        <f t="shared" si="103"/>
        <v>470</v>
      </c>
      <c r="L116" s="30">
        <f t="shared" si="104"/>
        <v>587</v>
      </c>
      <c r="M116" s="75"/>
      <c r="N116" s="30">
        <f t="shared" si="105"/>
        <v>518</v>
      </c>
      <c r="O116" s="30">
        <f t="shared" si="106"/>
        <v>270</v>
      </c>
      <c r="P116" s="30">
        <f t="shared" si="107"/>
        <v>518</v>
      </c>
      <c r="Q116" s="76"/>
      <c r="R116" s="62"/>
      <c r="S116" s="62"/>
      <c r="T116" s="62"/>
      <c r="Y116" s="1"/>
      <c r="AC116" s="1"/>
      <c r="AD116" s="1"/>
      <c r="AE116" s="1"/>
    </row>
    <row r="117" spans="1:39" x14ac:dyDescent="0.25">
      <c r="A117" s="4">
        <f t="shared" si="88"/>
        <v>4000</v>
      </c>
      <c r="B117" s="30">
        <f t="shared" si="100"/>
        <v>667</v>
      </c>
      <c r="C117" s="30">
        <f>E22*D22+150</f>
        <v>550</v>
      </c>
      <c r="D117" s="30">
        <f t="shared" si="86"/>
        <v>667</v>
      </c>
      <c r="E117" s="75"/>
      <c r="F117" s="30">
        <f>183+(3*J22)+40+(K22*J22)+11+18</f>
        <v>578</v>
      </c>
      <c r="G117" s="73">
        <f t="shared" si="92"/>
        <v>300</v>
      </c>
      <c r="H117" s="73">
        <f t="shared" si="101"/>
        <v>578</v>
      </c>
      <c r="I117" s="60"/>
      <c r="J117" s="30">
        <f t="shared" si="102"/>
        <v>667</v>
      </c>
      <c r="K117" s="30">
        <f t="shared" si="103"/>
        <v>550</v>
      </c>
      <c r="L117" s="30">
        <f t="shared" si="104"/>
        <v>667</v>
      </c>
      <c r="M117" s="75"/>
      <c r="N117" s="30">
        <f t="shared" si="105"/>
        <v>578</v>
      </c>
      <c r="O117" s="30">
        <f t="shared" si="106"/>
        <v>300</v>
      </c>
      <c r="P117" s="30">
        <f t="shared" si="107"/>
        <v>578</v>
      </c>
      <c r="Q117" s="76"/>
      <c r="R117" s="62"/>
      <c r="S117" s="62"/>
      <c r="T117" s="62"/>
      <c r="Y117" s="1"/>
      <c r="AC117" s="1"/>
      <c r="AD117" s="1"/>
      <c r="AE117" s="1"/>
    </row>
    <row r="118" spans="1:39" x14ac:dyDescent="0.25">
      <c r="A118" s="4">
        <f t="shared" si="88"/>
        <v>5000</v>
      </c>
      <c r="B118" s="30">
        <f t="shared" si="100"/>
        <v>885</v>
      </c>
      <c r="C118" s="30">
        <f>E23*D23+150</f>
        <v>670</v>
      </c>
      <c r="D118" s="30">
        <f t="shared" si="86"/>
        <v>885</v>
      </c>
      <c r="E118" s="75"/>
      <c r="F118" s="30">
        <f>183+(3*J23)+40+(K23*J23)+11+18</f>
        <v>658</v>
      </c>
      <c r="G118" s="73">
        <f t="shared" si="92"/>
        <v>340</v>
      </c>
      <c r="H118" s="73">
        <f t="shared" si="101"/>
        <v>658</v>
      </c>
      <c r="I118" s="60"/>
      <c r="J118" s="30">
        <f t="shared" si="102"/>
        <v>885</v>
      </c>
      <c r="K118" s="30">
        <f t="shared" si="103"/>
        <v>670</v>
      </c>
      <c r="L118" s="30">
        <f t="shared" si="104"/>
        <v>885</v>
      </c>
      <c r="M118" s="75"/>
      <c r="N118" s="30">
        <f t="shared" si="105"/>
        <v>658</v>
      </c>
      <c r="O118" s="30">
        <f t="shared" si="106"/>
        <v>340</v>
      </c>
      <c r="P118" s="30">
        <f t="shared" si="107"/>
        <v>658</v>
      </c>
      <c r="Q118" s="76"/>
      <c r="R118" s="62"/>
      <c r="S118" s="62"/>
      <c r="T118" s="62"/>
      <c r="Y118" s="1"/>
      <c r="AC118" s="1"/>
      <c r="AD118" s="1"/>
      <c r="AE118" s="1"/>
    </row>
    <row r="119" spans="1:39" x14ac:dyDescent="0.25">
      <c r="A119" s="4">
        <f t="shared" si="88"/>
        <v>6300</v>
      </c>
      <c r="B119" s="30">
        <f t="shared" si="100"/>
        <v>1005</v>
      </c>
      <c r="C119" s="30">
        <f>E24*D24+150</f>
        <v>790</v>
      </c>
      <c r="D119" s="30">
        <f t="shared" si="86"/>
        <v>1005</v>
      </c>
      <c r="E119" s="75"/>
      <c r="F119" s="30">
        <f>183+(3*J24)+40+(K24*J24)+11+18</f>
        <v>861</v>
      </c>
      <c r="G119" s="73">
        <f t="shared" si="92"/>
        <v>340</v>
      </c>
      <c r="H119" s="73">
        <f t="shared" si="101"/>
        <v>861</v>
      </c>
      <c r="I119" s="60"/>
      <c r="J119" s="30">
        <f t="shared" si="102"/>
        <v>1005</v>
      </c>
      <c r="K119" s="30">
        <f t="shared" si="103"/>
        <v>790</v>
      </c>
      <c r="L119" s="30">
        <f t="shared" si="104"/>
        <v>1005</v>
      </c>
      <c r="M119" s="75"/>
      <c r="N119" s="30">
        <f t="shared" si="105"/>
        <v>861</v>
      </c>
      <c r="O119" s="30">
        <f t="shared" si="106"/>
        <v>340</v>
      </c>
      <c r="P119" s="30">
        <f t="shared" si="107"/>
        <v>861</v>
      </c>
      <c r="Q119" s="76"/>
      <c r="R119" s="62"/>
      <c r="S119" s="62"/>
      <c r="T119" s="62"/>
      <c r="Y119" s="1"/>
      <c r="AC119" s="1"/>
      <c r="AD119" s="1"/>
      <c r="AE119" s="1"/>
    </row>
    <row r="120" spans="1:39" x14ac:dyDescent="0.25">
      <c r="A120" s="232" t="s">
        <v>35</v>
      </c>
      <c r="B120" s="232"/>
      <c r="C120" s="232"/>
      <c r="Y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2" spans="1:39" x14ac:dyDescent="0.25">
      <c r="A122" s="227" t="s">
        <v>5</v>
      </c>
      <c r="B122" s="229" t="s">
        <v>6</v>
      </c>
      <c r="C122" s="230"/>
      <c r="D122" s="230"/>
      <c r="E122" s="230"/>
      <c r="F122" s="230"/>
      <c r="G122" s="230"/>
      <c r="H122" s="230"/>
      <c r="I122" s="230"/>
      <c r="J122" s="227" t="s">
        <v>7</v>
      </c>
      <c r="K122" s="227"/>
      <c r="L122" s="227"/>
      <c r="M122" s="227"/>
      <c r="N122" s="227"/>
      <c r="O122" s="227"/>
      <c r="P122" s="227"/>
      <c r="Q122" s="227"/>
      <c r="S122" s="1"/>
    </row>
    <row r="123" spans="1:39" x14ac:dyDescent="0.25">
      <c r="A123" s="227"/>
      <c r="B123" s="229" t="s">
        <v>8</v>
      </c>
      <c r="C123" s="230"/>
      <c r="D123" s="230"/>
      <c r="E123" s="231"/>
      <c r="F123" s="228" t="s">
        <v>9</v>
      </c>
      <c r="G123" s="225"/>
      <c r="H123" s="225"/>
      <c r="I123" s="225"/>
      <c r="J123" s="227" t="s">
        <v>8</v>
      </c>
      <c r="K123" s="227"/>
      <c r="L123" s="227"/>
      <c r="M123" s="227"/>
      <c r="N123" s="233" t="s">
        <v>9</v>
      </c>
      <c r="O123" s="233"/>
      <c r="P123" s="233"/>
      <c r="Q123" s="233"/>
    </row>
    <row r="124" spans="1:39" x14ac:dyDescent="0.25">
      <c r="A124" s="227"/>
      <c r="B124" s="30" t="s">
        <v>24</v>
      </c>
      <c r="C124" s="30" t="s">
        <v>27</v>
      </c>
      <c r="D124" s="73" t="s">
        <v>36</v>
      </c>
      <c r="E124" s="4" t="s">
        <v>26</v>
      </c>
      <c r="F124" s="30" t="s">
        <v>24</v>
      </c>
      <c r="G124" s="30" t="s">
        <v>27</v>
      </c>
      <c r="H124" s="30" t="s">
        <v>36</v>
      </c>
      <c r="I124" s="63" t="s">
        <v>26</v>
      </c>
      <c r="J124" s="30" t="s">
        <v>24</v>
      </c>
      <c r="K124" s="30" t="s">
        <v>27</v>
      </c>
      <c r="L124" s="30" t="s">
        <v>36</v>
      </c>
      <c r="M124" s="4" t="s">
        <v>26</v>
      </c>
      <c r="N124" s="30" t="s">
        <v>24</v>
      </c>
      <c r="O124" s="30" t="s">
        <v>27</v>
      </c>
      <c r="P124" s="30" t="s">
        <v>36</v>
      </c>
      <c r="Q124" s="4" t="s">
        <v>26</v>
      </c>
    </row>
    <row r="125" spans="1:39" s="1" customFormat="1" x14ac:dyDescent="0.25">
      <c r="A125" s="4">
        <f t="shared" ref="A125:A140" si="108">A9</f>
        <v>160</v>
      </c>
      <c r="B125" s="30">
        <f>((93+90)*2)+(E9+3)+(11*2)+(3*2)</f>
        <v>427</v>
      </c>
      <c r="C125" s="77">
        <f t="shared" ref="C125:C132" si="109">(93+90)+((E9+3)*D9)+40*(D9-1)+11+3*(D9*2-2)+18</f>
        <v>245</v>
      </c>
      <c r="D125" s="77">
        <f t="shared" ref="D125:D130" si="110">B125/2</f>
        <v>213.5</v>
      </c>
      <c r="E125" s="60"/>
      <c r="F125" s="30">
        <f t="shared" ref="F125:F140" si="111">((92.5+90)*2)+(K9+3)+22</f>
        <v>420</v>
      </c>
      <c r="G125" s="30">
        <f t="shared" ref="G125:G140" si="112">(93+90)+3+K9+18+11</f>
        <v>245</v>
      </c>
      <c r="H125" s="78">
        <f t="shared" ref="H125:H130" si="113">F125/2</f>
        <v>210</v>
      </c>
      <c r="I125" s="79"/>
      <c r="J125" s="77">
        <f t="shared" ref="J125:J130" si="114">B125</f>
        <v>427</v>
      </c>
      <c r="K125" s="77">
        <f t="shared" ref="K125:K130" si="115">C125</f>
        <v>245</v>
      </c>
      <c r="L125" s="78">
        <f t="shared" ref="L125:L130" si="116">D125</f>
        <v>213.5</v>
      </c>
      <c r="M125" s="60"/>
      <c r="N125" s="77">
        <f t="shared" ref="N125:N130" si="117">F125</f>
        <v>420</v>
      </c>
      <c r="O125" s="77">
        <f t="shared" ref="O125:O130" si="118">G125</f>
        <v>245</v>
      </c>
      <c r="P125" s="78">
        <f t="shared" ref="P125:P130" si="119">H125</f>
        <v>210</v>
      </c>
      <c r="Q125" s="4"/>
    </row>
    <row r="126" spans="1:39" s="1" customFormat="1" x14ac:dyDescent="0.25">
      <c r="A126" s="4">
        <f t="shared" si="108"/>
        <v>250</v>
      </c>
      <c r="B126" s="30">
        <f>((93+90)*2)+(E10+3)+(11*2)+(3*2)</f>
        <v>427</v>
      </c>
      <c r="C126" s="77">
        <f t="shared" si="109"/>
        <v>245</v>
      </c>
      <c r="D126" s="77">
        <f t="shared" si="110"/>
        <v>213.5</v>
      </c>
      <c r="E126" s="60"/>
      <c r="F126" s="30">
        <f t="shared" si="111"/>
        <v>420</v>
      </c>
      <c r="G126" s="30">
        <f t="shared" si="112"/>
        <v>245</v>
      </c>
      <c r="H126" s="78">
        <f t="shared" si="113"/>
        <v>210</v>
      </c>
      <c r="I126" s="79"/>
      <c r="J126" s="77">
        <f t="shared" si="114"/>
        <v>427</v>
      </c>
      <c r="K126" s="77">
        <f t="shared" si="115"/>
        <v>245</v>
      </c>
      <c r="L126" s="78">
        <f t="shared" si="116"/>
        <v>213.5</v>
      </c>
      <c r="M126" s="60"/>
      <c r="N126" s="77">
        <f t="shared" si="117"/>
        <v>420</v>
      </c>
      <c r="O126" s="77">
        <f t="shared" si="118"/>
        <v>245</v>
      </c>
      <c r="P126" s="78">
        <f t="shared" si="119"/>
        <v>210</v>
      </c>
      <c r="Q126" s="4"/>
    </row>
    <row r="127" spans="1:39" s="1" customFormat="1" x14ac:dyDescent="0.25">
      <c r="A127" s="4">
        <f t="shared" si="108"/>
        <v>315</v>
      </c>
      <c r="B127" s="30">
        <f t="shared" ref="B127:B135" si="120">((93+90)*2)+(E11+3)+(11*2)+(3*2)</f>
        <v>427</v>
      </c>
      <c r="C127" s="77">
        <f t="shared" si="109"/>
        <v>245</v>
      </c>
      <c r="D127" s="77">
        <f t="shared" si="110"/>
        <v>213.5</v>
      </c>
      <c r="E127" s="60"/>
      <c r="F127" s="30">
        <f t="shared" si="111"/>
        <v>420</v>
      </c>
      <c r="G127" s="30">
        <f t="shared" si="112"/>
        <v>245</v>
      </c>
      <c r="H127" s="78">
        <f t="shared" si="113"/>
        <v>210</v>
      </c>
      <c r="I127" s="79"/>
      <c r="J127" s="77">
        <f t="shared" si="114"/>
        <v>427</v>
      </c>
      <c r="K127" s="77">
        <f t="shared" si="115"/>
        <v>245</v>
      </c>
      <c r="L127" s="78">
        <f t="shared" si="116"/>
        <v>213.5</v>
      </c>
      <c r="M127" s="60"/>
      <c r="N127" s="77">
        <f t="shared" si="117"/>
        <v>420</v>
      </c>
      <c r="O127" s="77">
        <f t="shared" si="118"/>
        <v>245</v>
      </c>
      <c r="P127" s="78">
        <f t="shared" si="119"/>
        <v>210</v>
      </c>
      <c r="Q127" s="4"/>
    </row>
    <row r="128" spans="1:39" s="1" customFormat="1" x14ac:dyDescent="0.25">
      <c r="A128" s="4">
        <f t="shared" si="108"/>
        <v>400</v>
      </c>
      <c r="B128" s="30">
        <f t="shared" si="120"/>
        <v>427</v>
      </c>
      <c r="C128" s="77">
        <f t="shared" si="109"/>
        <v>245</v>
      </c>
      <c r="D128" s="77">
        <f t="shared" si="110"/>
        <v>213.5</v>
      </c>
      <c r="E128" s="60"/>
      <c r="F128" s="30">
        <f t="shared" si="111"/>
        <v>420</v>
      </c>
      <c r="G128" s="30">
        <f t="shared" si="112"/>
        <v>245</v>
      </c>
      <c r="H128" s="78">
        <f t="shared" si="113"/>
        <v>210</v>
      </c>
      <c r="I128" s="79"/>
      <c r="J128" s="77">
        <f t="shared" si="114"/>
        <v>427</v>
      </c>
      <c r="K128" s="77">
        <f t="shared" si="115"/>
        <v>245</v>
      </c>
      <c r="L128" s="78">
        <f t="shared" si="116"/>
        <v>213.5</v>
      </c>
      <c r="M128" s="60"/>
      <c r="N128" s="77">
        <f t="shared" si="117"/>
        <v>420</v>
      </c>
      <c r="O128" s="77">
        <f t="shared" si="118"/>
        <v>245</v>
      </c>
      <c r="P128" s="78">
        <f t="shared" si="119"/>
        <v>210</v>
      </c>
      <c r="Q128" s="4"/>
    </row>
    <row r="129" spans="1:20" s="1" customFormat="1" x14ac:dyDescent="0.25">
      <c r="A129" s="4">
        <f t="shared" si="108"/>
        <v>500</v>
      </c>
      <c r="B129" s="30">
        <f t="shared" si="120"/>
        <v>437</v>
      </c>
      <c r="C129" s="77">
        <f t="shared" si="109"/>
        <v>255</v>
      </c>
      <c r="D129" s="77">
        <f t="shared" si="110"/>
        <v>218.5</v>
      </c>
      <c r="E129" s="60"/>
      <c r="F129" s="30">
        <f t="shared" si="111"/>
        <v>420</v>
      </c>
      <c r="G129" s="30">
        <f t="shared" si="112"/>
        <v>245</v>
      </c>
      <c r="H129" s="78">
        <f t="shared" si="113"/>
        <v>210</v>
      </c>
      <c r="I129" s="79"/>
      <c r="J129" s="77">
        <f t="shared" si="114"/>
        <v>437</v>
      </c>
      <c r="K129" s="77">
        <f t="shared" si="115"/>
        <v>255</v>
      </c>
      <c r="L129" s="78">
        <f t="shared" si="116"/>
        <v>218.5</v>
      </c>
      <c r="M129" s="60"/>
      <c r="N129" s="77">
        <f t="shared" si="117"/>
        <v>420</v>
      </c>
      <c r="O129" s="77">
        <f t="shared" si="118"/>
        <v>245</v>
      </c>
      <c r="P129" s="78">
        <f t="shared" si="119"/>
        <v>210</v>
      </c>
      <c r="Q129" s="4"/>
    </row>
    <row r="130" spans="1:20" s="1" customFormat="1" x14ac:dyDescent="0.25">
      <c r="A130" s="4">
        <f t="shared" si="108"/>
        <v>630</v>
      </c>
      <c r="B130" s="30">
        <f t="shared" si="120"/>
        <v>447</v>
      </c>
      <c r="C130" s="77">
        <f t="shared" si="109"/>
        <v>265</v>
      </c>
      <c r="D130" s="77">
        <f t="shared" si="110"/>
        <v>223.5</v>
      </c>
      <c r="E130" s="60"/>
      <c r="F130" s="30">
        <f t="shared" si="111"/>
        <v>430</v>
      </c>
      <c r="G130" s="30">
        <f t="shared" si="112"/>
        <v>255</v>
      </c>
      <c r="H130" s="78">
        <f t="shared" si="113"/>
        <v>215</v>
      </c>
      <c r="I130" s="79"/>
      <c r="J130" s="77">
        <f t="shared" si="114"/>
        <v>447</v>
      </c>
      <c r="K130" s="77">
        <f t="shared" si="115"/>
        <v>265</v>
      </c>
      <c r="L130" s="78">
        <f t="shared" si="116"/>
        <v>223.5</v>
      </c>
      <c r="M130" s="60"/>
      <c r="N130" s="77">
        <f t="shared" si="117"/>
        <v>430</v>
      </c>
      <c r="O130" s="77">
        <f t="shared" si="118"/>
        <v>255</v>
      </c>
      <c r="P130" s="78">
        <f t="shared" si="119"/>
        <v>215</v>
      </c>
      <c r="Q130" s="4"/>
    </row>
    <row r="131" spans="1:20" x14ac:dyDescent="0.25">
      <c r="A131" s="4">
        <f t="shared" si="108"/>
        <v>800</v>
      </c>
      <c r="B131" s="30">
        <f t="shared" si="120"/>
        <v>462</v>
      </c>
      <c r="C131" s="77">
        <f t="shared" si="109"/>
        <v>280</v>
      </c>
      <c r="D131" s="77">
        <f t="shared" ref="D131:D140" si="121">B131/2</f>
        <v>231</v>
      </c>
      <c r="E131" s="60"/>
      <c r="F131" s="30">
        <f t="shared" si="111"/>
        <v>450</v>
      </c>
      <c r="G131" s="30">
        <f t="shared" si="112"/>
        <v>275</v>
      </c>
      <c r="H131" s="78">
        <f t="shared" ref="H131:H140" si="122">F131/2</f>
        <v>225</v>
      </c>
      <c r="I131" s="79"/>
      <c r="J131" s="77">
        <f t="shared" si="102"/>
        <v>462</v>
      </c>
      <c r="K131" s="77">
        <f t="shared" si="103"/>
        <v>280</v>
      </c>
      <c r="L131" s="78">
        <f t="shared" si="104"/>
        <v>231</v>
      </c>
      <c r="M131" s="60"/>
      <c r="N131" s="77">
        <f t="shared" si="105"/>
        <v>450</v>
      </c>
      <c r="O131" s="77">
        <f t="shared" si="106"/>
        <v>275</v>
      </c>
      <c r="P131" s="78">
        <f t="shared" si="107"/>
        <v>225</v>
      </c>
      <c r="Q131" s="76"/>
    </row>
    <row r="132" spans="1:20" x14ac:dyDescent="0.25">
      <c r="A132" s="4">
        <f t="shared" si="108"/>
        <v>1000</v>
      </c>
      <c r="B132" s="30">
        <f t="shared" si="120"/>
        <v>497</v>
      </c>
      <c r="C132" s="77">
        <f t="shared" si="109"/>
        <v>315</v>
      </c>
      <c r="D132" s="77">
        <f t="shared" si="121"/>
        <v>248.5</v>
      </c>
      <c r="E132" s="60"/>
      <c r="F132" s="30">
        <f t="shared" si="111"/>
        <v>455</v>
      </c>
      <c r="G132" s="30">
        <f t="shared" si="112"/>
        <v>280</v>
      </c>
      <c r="H132" s="78">
        <f t="shared" si="122"/>
        <v>227.5</v>
      </c>
      <c r="I132" s="60"/>
      <c r="J132" s="77">
        <f t="shared" si="102"/>
        <v>497</v>
      </c>
      <c r="K132" s="77">
        <f t="shared" si="103"/>
        <v>315</v>
      </c>
      <c r="L132" s="78">
        <f t="shared" si="104"/>
        <v>248.5</v>
      </c>
      <c r="M132" s="60"/>
      <c r="N132" s="77">
        <f t="shared" si="105"/>
        <v>455</v>
      </c>
      <c r="O132" s="77">
        <f t="shared" si="106"/>
        <v>280</v>
      </c>
      <c r="P132" s="78">
        <f t="shared" si="107"/>
        <v>227.5</v>
      </c>
      <c r="Q132" s="76"/>
    </row>
    <row r="133" spans="1:20" x14ac:dyDescent="0.25">
      <c r="A133" s="4">
        <f t="shared" si="108"/>
        <v>1250</v>
      </c>
      <c r="B133" s="30">
        <f t="shared" si="120"/>
        <v>527</v>
      </c>
      <c r="C133" s="77">
        <f t="shared" ref="C133:C134" si="123">(93+90)+((E17+3)*D17)+40*(D17-1)+11+3*(D17*2-2)+18</f>
        <v>345</v>
      </c>
      <c r="D133" s="77">
        <f t="shared" si="121"/>
        <v>263.5</v>
      </c>
      <c r="F133" s="30">
        <f t="shared" si="111"/>
        <v>470</v>
      </c>
      <c r="G133" s="30">
        <f t="shared" si="112"/>
        <v>295</v>
      </c>
      <c r="H133" s="78">
        <f t="shared" si="122"/>
        <v>235</v>
      </c>
      <c r="I133" s="60"/>
      <c r="J133" s="77">
        <f t="shared" si="102"/>
        <v>527</v>
      </c>
      <c r="K133" s="77">
        <f t="shared" si="103"/>
        <v>345</v>
      </c>
      <c r="L133" s="78">
        <f t="shared" si="104"/>
        <v>263.5</v>
      </c>
      <c r="M133" s="60"/>
      <c r="N133" s="77">
        <f t="shared" si="105"/>
        <v>470</v>
      </c>
      <c r="O133" s="77">
        <f t="shared" si="106"/>
        <v>295</v>
      </c>
      <c r="P133" s="78">
        <f t="shared" si="107"/>
        <v>235</v>
      </c>
      <c r="Q133" s="76"/>
    </row>
    <row r="134" spans="1:20" x14ac:dyDescent="0.25">
      <c r="A134" s="4">
        <f t="shared" si="108"/>
        <v>1600</v>
      </c>
      <c r="B134" s="30">
        <f t="shared" si="120"/>
        <v>557</v>
      </c>
      <c r="C134" s="77">
        <f t="shared" si="123"/>
        <v>375</v>
      </c>
      <c r="D134" s="77">
        <f t="shared" si="121"/>
        <v>278.5</v>
      </c>
      <c r="E134" s="4"/>
      <c r="F134" s="30">
        <f t="shared" si="111"/>
        <v>490</v>
      </c>
      <c r="G134" s="30">
        <f t="shared" si="112"/>
        <v>315</v>
      </c>
      <c r="H134" s="78">
        <f t="shared" si="122"/>
        <v>245</v>
      </c>
      <c r="I134" s="60"/>
      <c r="J134" s="77">
        <f t="shared" si="102"/>
        <v>557</v>
      </c>
      <c r="K134" s="77">
        <f t="shared" si="103"/>
        <v>375</v>
      </c>
      <c r="L134" s="78">
        <f t="shared" si="104"/>
        <v>278.5</v>
      </c>
      <c r="M134" s="60"/>
      <c r="N134" s="77">
        <f t="shared" si="105"/>
        <v>490</v>
      </c>
      <c r="O134" s="77">
        <f t="shared" si="106"/>
        <v>315</v>
      </c>
      <c r="P134" s="78">
        <f t="shared" si="107"/>
        <v>245</v>
      </c>
      <c r="Q134" s="76"/>
    </row>
    <row r="135" spans="1:20" x14ac:dyDescent="0.25">
      <c r="A135" s="4">
        <f t="shared" si="108"/>
        <v>2000</v>
      </c>
      <c r="B135" s="30">
        <f t="shared" si="120"/>
        <v>597</v>
      </c>
      <c r="C135" s="77">
        <f>(93+90)+((E19+3)*D19)+40*(D19-1)+11+3*(D19*2-2)+18</f>
        <v>415</v>
      </c>
      <c r="D135" s="77">
        <f t="shared" si="121"/>
        <v>298.5</v>
      </c>
      <c r="E135" s="60"/>
      <c r="F135" s="30">
        <f t="shared" si="111"/>
        <v>550</v>
      </c>
      <c r="G135" s="30">
        <f t="shared" si="112"/>
        <v>375</v>
      </c>
      <c r="H135" s="78">
        <f t="shared" si="122"/>
        <v>275</v>
      </c>
      <c r="I135" s="60"/>
      <c r="J135" s="77">
        <f t="shared" si="102"/>
        <v>597</v>
      </c>
      <c r="K135" s="77">
        <f t="shared" si="103"/>
        <v>415</v>
      </c>
      <c r="L135" s="78">
        <f t="shared" si="104"/>
        <v>298.5</v>
      </c>
      <c r="M135" s="60"/>
      <c r="N135" s="77">
        <f t="shared" si="105"/>
        <v>550</v>
      </c>
      <c r="O135" s="77">
        <f t="shared" si="106"/>
        <v>375</v>
      </c>
      <c r="P135" s="78">
        <f t="shared" si="107"/>
        <v>275</v>
      </c>
      <c r="Q135" s="76"/>
    </row>
    <row r="136" spans="1:20" x14ac:dyDescent="0.25">
      <c r="A136" s="4">
        <f t="shared" si="108"/>
        <v>2500</v>
      </c>
      <c r="B136" s="30">
        <f>((93+90)*2)+((E20+3)*D20)+40+(11*2)+(3*2)</f>
        <v>700</v>
      </c>
      <c r="C136" s="77">
        <f>(93+90)+((E20+3)*D20)+40*(D20-1)+11+3*(D20*2-2)+18</f>
        <v>524</v>
      </c>
      <c r="D136" s="77">
        <f t="shared" si="121"/>
        <v>350</v>
      </c>
      <c r="E136" s="60"/>
      <c r="F136" s="30">
        <f t="shared" si="111"/>
        <v>590</v>
      </c>
      <c r="G136" s="30">
        <f t="shared" si="112"/>
        <v>415</v>
      </c>
      <c r="H136" s="78">
        <f t="shared" si="122"/>
        <v>295</v>
      </c>
      <c r="I136" s="60"/>
      <c r="J136" s="77">
        <f t="shared" si="102"/>
        <v>700</v>
      </c>
      <c r="K136" s="77">
        <f t="shared" si="103"/>
        <v>524</v>
      </c>
      <c r="L136" s="78">
        <f t="shared" si="104"/>
        <v>350</v>
      </c>
      <c r="M136" s="60"/>
      <c r="N136" s="77">
        <f t="shared" si="105"/>
        <v>590</v>
      </c>
      <c r="O136" s="77">
        <f t="shared" si="106"/>
        <v>415</v>
      </c>
      <c r="P136" s="78">
        <f t="shared" si="107"/>
        <v>295</v>
      </c>
      <c r="Q136" s="76"/>
    </row>
    <row r="137" spans="1:20" x14ac:dyDescent="0.25">
      <c r="A137" s="4">
        <f t="shared" si="108"/>
        <v>3200</v>
      </c>
      <c r="B137" s="30">
        <f>((93+90)*2)+((E21+3)*D21)+40+(11*2)+(3*2)</f>
        <v>760</v>
      </c>
      <c r="C137" s="77">
        <f>(93+90)+((E21+3)*D21)+40*(D21-1)+11+3*(D21*2-2)+18</f>
        <v>584</v>
      </c>
      <c r="D137" s="77">
        <f t="shared" si="121"/>
        <v>380</v>
      </c>
      <c r="E137" s="60"/>
      <c r="F137" s="30">
        <f t="shared" si="111"/>
        <v>520</v>
      </c>
      <c r="G137" s="30">
        <f t="shared" si="112"/>
        <v>345</v>
      </c>
      <c r="H137" s="78">
        <f t="shared" si="122"/>
        <v>260</v>
      </c>
      <c r="I137" s="60"/>
      <c r="J137" s="77">
        <f t="shared" si="102"/>
        <v>760</v>
      </c>
      <c r="K137" s="77">
        <f t="shared" si="103"/>
        <v>584</v>
      </c>
      <c r="L137" s="78">
        <f t="shared" si="104"/>
        <v>380</v>
      </c>
      <c r="M137" s="60"/>
      <c r="N137" s="77">
        <f t="shared" si="105"/>
        <v>520</v>
      </c>
      <c r="O137" s="77">
        <f t="shared" si="106"/>
        <v>345</v>
      </c>
      <c r="P137" s="78">
        <f t="shared" si="107"/>
        <v>260</v>
      </c>
      <c r="Q137" s="76"/>
    </row>
    <row r="138" spans="1:20" x14ac:dyDescent="0.25">
      <c r="A138" s="4">
        <f t="shared" si="108"/>
        <v>4000</v>
      </c>
      <c r="B138" s="30">
        <f>((93+90)*2)+((E22+3)*D22)+40+(11*2)+(3*2)</f>
        <v>840</v>
      </c>
      <c r="C138" s="77">
        <f>(93+90)+((E22+3)*D22)+40*(D22-1)+11+3*(D22*2-2)+18</f>
        <v>664</v>
      </c>
      <c r="D138" s="77">
        <f t="shared" si="121"/>
        <v>420</v>
      </c>
      <c r="E138" s="60"/>
      <c r="F138" s="30">
        <f t="shared" si="111"/>
        <v>550</v>
      </c>
      <c r="G138" s="30">
        <f t="shared" si="112"/>
        <v>375</v>
      </c>
      <c r="H138" s="78">
        <f t="shared" si="122"/>
        <v>275</v>
      </c>
      <c r="I138" s="60"/>
      <c r="J138" s="77">
        <f t="shared" si="102"/>
        <v>840</v>
      </c>
      <c r="K138" s="77">
        <f t="shared" si="103"/>
        <v>664</v>
      </c>
      <c r="L138" s="78">
        <f t="shared" si="104"/>
        <v>420</v>
      </c>
      <c r="M138" s="60"/>
      <c r="N138" s="77">
        <f t="shared" si="105"/>
        <v>550</v>
      </c>
      <c r="O138" s="77">
        <f t="shared" si="106"/>
        <v>375</v>
      </c>
      <c r="P138" s="78">
        <f t="shared" si="107"/>
        <v>275</v>
      </c>
      <c r="Q138" s="76"/>
    </row>
    <row r="139" spans="1:20" x14ac:dyDescent="0.25">
      <c r="A139" s="4">
        <f t="shared" si="108"/>
        <v>5000</v>
      </c>
      <c r="B139" s="30">
        <f>((93+90)*2)+((E23+3)*D23)+(40*3)+(11*2)+(3*6)</f>
        <v>1058</v>
      </c>
      <c r="C139" s="77">
        <f>(93+90)+((E23+3)*D23)+(40*3)+11+3*(D23*2-2)+18</f>
        <v>882</v>
      </c>
      <c r="D139" s="77">
        <f t="shared" si="121"/>
        <v>529</v>
      </c>
      <c r="E139" s="60"/>
      <c r="F139" s="30">
        <f t="shared" si="111"/>
        <v>590</v>
      </c>
      <c r="G139" s="30">
        <f t="shared" si="112"/>
        <v>415</v>
      </c>
      <c r="H139" s="78">
        <f t="shared" si="122"/>
        <v>295</v>
      </c>
      <c r="I139" s="60"/>
      <c r="J139" s="77">
        <f t="shared" si="102"/>
        <v>1058</v>
      </c>
      <c r="K139" s="77">
        <f t="shared" si="103"/>
        <v>882</v>
      </c>
      <c r="L139" s="78">
        <f t="shared" si="104"/>
        <v>529</v>
      </c>
      <c r="M139" s="60"/>
      <c r="N139" s="77">
        <f t="shared" si="105"/>
        <v>590</v>
      </c>
      <c r="O139" s="77">
        <f t="shared" si="106"/>
        <v>415</v>
      </c>
      <c r="P139" s="78">
        <f t="shared" si="107"/>
        <v>295</v>
      </c>
      <c r="Q139" s="76"/>
    </row>
    <row r="140" spans="1:20" x14ac:dyDescent="0.25">
      <c r="A140" s="4">
        <f t="shared" si="108"/>
        <v>6300</v>
      </c>
      <c r="B140" s="30">
        <f>((93+90)*2)+((E24+3)*D24)+(40*3)+(11*2)+(3*6)</f>
        <v>1178</v>
      </c>
      <c r="C140" s="77">
        <f>(93+90)+((E24+3)*D24)+(40*3)+11+3*(D24*2-2)+18</f>
        <v>1002</v>
      </c>
      <c r="D140" s="77">
        <f t="shared" si="121"/>
        <v>589</v>
      </c>
      <c r="E140" s="60"/>
      <c r="F140" s="30">
        <f t="shared" si="111"/>
        <v>590</v>
      </c>
      <c r="G140" s="30">
        <f t="shared" si="112"/>
        <v>415</v>
      </c>
      <c r="H140" s="78">
        <f t="shared" si="122"/>
        <v>295</v>
      </c>
      <c r="I140" s="60"/>
      <c r="J140" s="77">
        <f t="shared" si="102"/>
        <v>1178</v>
      </c>
      <c r="K140" s="77">
        <f t="shared" si="103"/>
        <v>1002</v>
      </c>
      <c r="L140" s="78">
        <f t="shared" si="104"/>
        <v>589</v>
      </c>
      <c r="M140" s="60"/>
      <c r="N140" s="77">
        <f t="shared" si="105"/>
        <v>590</v>
      </c>
      <c r="O140" s="77">
        <f t="shared" si="106"/>
        <v>415</v>
      </c>
      <c r="P140" s="78">
        <f t="shared" si="107"/>
        <v>295</v>
      </c>
      <c r="Q140" s="76"/>
    </row>
    <row r="141" spans="1:20" x14ac:dyDescent="0.25">
      <c r="A141" s="155"/>
      <c r="B141" s="155"/>
      <c r="C141" s="155"/>
      <c r="D141" s="155"/>
    </row>
    <row r="142" spans="1:20" x14ac:dyDescent="0.25">
      <c r="A142" s="232" t="s">
        <v>37</v>
      </c>
      <c r="B142" s="232"/>
      <c r="C142" s="232"/>
      <c r="D142" s="232"/>
    </row>
    <row r="144" spans="1:20" x14ac:dyDescent="0.25">
      <c r="A144" s="229" t="s">
        <v>5</v>
      </c>
      <c r="B144" s="229" t="s">
        <v>6</v>
      </c>
      <c r="C144" s="230"/>
      <c r="D144" s="230"/>
      <c r="E144" s="230"/>
      <c r="F144" s="230"/>
      <c r="G144" s="230"/>
      <c r="H144" s="230"/>
      <c r="I144" s="230"/>
      <c r="J144" s="227" t="s">
        <v>7</v>
      </c>
      <c r="K144" s="227"/>
      <c r="L144" s="227"/>
      <c r="M144" s="227"/>
      <c r="N144" s="227"/>
      <c r="O144" s="227"/>
      <c r="P144" s="227"/>
      <c r="Q144" s="227"/>
      <c r="R144" s="32"/>
      <c r="S144" s="32"/>
      <c r="T144" s="32"/>
    </row>
    <row r="145" spans="1:20" x14ac:dyDescent="0.25">
      <c r="A145" s="227"/>
      <c r="B145" s="229" t="s">
        <v>8</v>
      </c>
      <c r="C145" s="230"/>
      <c r="D145" s="230"/>
      <c r="E145" s="231"/>
      <c r="F145" s="225" t="s">
        <v>9</v>
      </c>
      <c r="G145" s="225"/>
      <c r="H145" s="225"/>
      <c r="I145" s="225"/>
      <c r="J145" s="229" t="s">
        <v>8</v>
      </c>
      <c r="K145" s="230"/>
      <c r="L145" s="230"/>
      <c r="M145" s="230"/>
      <c r="N145" s="225" t="s">
        <v>9</v>
      </c>
      <c r="O145" s="225"/>
      <c r="P145" s="225"/>
      <c r="Q145" s="225"/>
      <c r="S145" s="1"/>
      <c r="T145" s="1"/>
    </row>
    <row r="146" spans="1:20" x14ac:dyDescent="0.25">
      <c r="A146" s="227"/>
      <c r="B146" s="30" t="s">
        <v>24</v>
      </c>
      <c r="C146" s="30" t="s">
        <v>27</v>
      </c>
      <c r="D146" s="73" t="s">
        <v>36</v>
      </c>
      <c r="E146" s="4" t="s">
        <v>26</v>
      </c>
      <c r="F146" s="30" t="s">
        <v>24</v>
      </c>
      <c r="G146" s="30" t="s">
        <v>27</v>
      </c>
      <c r="H146" s="30" t="s">
        <v>36</v>
      </c>
      <c r="I146" s="4" t="s">
        <v>26</v>
      </c>
      <c r="J146" s="30" t="s">
        <v>24</v>
      </c>
      <c r="K146" s="30" t="s">
        <v>27</v>
      </c>
      <c r="L146" s="30" t="s">
        <v>36</v>
      </c>
      <c r="M146" s="4" t="s">
        <v>26</v>
      </c>
      <c r="N146" s="30" t="s">
        <v>24</v>
      </c>
      <c r="O146" s="30" t="s">
        <v>27</v>
      </c>
      <c r="P146" s="30" t="s">
        <v>36</v>
      </c>
      <c r="Q146" s="4" t="s">
        <v>26</v>
      </c>
    </row>
    <row r="147" spans="1:20" s="1" customFormat="1" x14ac:dyDescent="0.25">
      <c r="A147" s="4">
        <f t="shared" ref="A147:A162" si="124">A9</f>
        <v>160</v>
      </c>
      <c r="B147" s="73">
        <f>B62</f>
        <v>250</v>
      </c>
      <c r="C147" s="80">
        <f t="shared" ref="C147:C157" si="125">18+1.5+E9+1.5+70+C9</f>
        <v>261</v>
      </c>
      <c r="D147" s="73">
        <f t="shared" ref="D147:D162" si="126">11+(93+90)+C9</f>
        <v>334</v>
      </c>
      <c r="E147" s="11"/>
      <c r="F147" s="73">
        <f t="shared" ref="F147:F158" si="127">11+(93+90)+(K9+3)+18</f>
        <v>245</v>
      </c>
      <c r="G147" s="80">
        <f t="shared" ref="G147:G158" si="128">18+1.5+K9+1.5+70+C9</f>
        <v>261</v>
      </c>
      <c r="H147" s="73">
        <f t="shared" ref="H147:H153" si="129">(93+90+K9)</f>
        <v>213</v>
      </c>
      <c r="I147" s="48"/>
      <c r="J147" s="30">
        <f t="shared" ref="J147:J152" si="130">B147</f>
        <v>250</v>
      </c>
      <c r="K147" s="77">
        <f t="shared" ref="K147:K152" si="131">C147</f>
        <v>261</v>
      </c>
      <c r="L147" s="73">
        <f t="shared" ref="L147:L152" si="132">D147</f>
        <v>334</v>
      </c>
      <c r="M147" s="60"/>
      <c r="N147" s="30">
        <f t="shared" ref="N147:N152" si="133">F147</f>
        <v>245</v>
      </c>
      <c r="O147" s="77">
        <f t="shared" ref="O147:O152" si="134">G147</f>
        <v>261</v>
      </c>
      <c r="P147" s="73">
        <f t="shared" ref="P147:P152" si="135">H147</f>
        <v>213</v>
      </c>
      <c r="Q147" s="4"/>
    </row>
    <row r="148" spans="1:20" s="1" customFormat="1" x14ac:dyDescent="0.25">
      <c r="A148" s="4">
        <f t="shared" si="124"/>
        <v>250</v>
      </c>
      <c r="B148" s="73">
        <f t="shared" ref="B148:B162" si="136">B63</f>
        <v>250</v>
      </c>
      <c r="C148" s="80">
        <f t="shared" si="125"/>
        <v>261</v>
      </c>
      <c r="D148" s="73">
        <f t="shared" si="126"/>
        <v>334</v>
      </c>
      <c r="E148" s="11"/>
      <c r="F148" s="73">
        <f t="shared" si="127"/>
        <v>245</v>
      </c>
      <c r="G148" s="80">
        <f t="shared" si="128"/>
        <v>261</v>
      </c>
      <c r="H148" s="73">
        <f t="shared" si="129"/>
        <v>213</v>
      </c>
      <c r="I148" s="48"/>
      <c r="J148" s="30">
        <f t="shared" si="130"/>
        <v>250</v>
      </c>
      <c r="K148" s="77">
        <f t="shared" si="131"/>
        <v>261</v>
      </c>
      <c r="L148" s="73">
        <f t="shared" si="132"/>
        <v>334</v>
      </c>
      <c r="M148" s="60"/>
      <c r="N148" s="30">
        <f t="shared" si="133"/>
        <v>245</v>
      </c>
      <c r="O148" s="77">
        <f t="shared" si="134"/>
        <v>261</v>
      </c>
      <c r="P148" s="73">
        <f t="shared" si="135"/>
        <v>213</v>
      </c>
      <c r="Q148" s="4"/>
    </row>
    <row r="149" spans="1:20" s="1" customFormat="1" x14ac:dyDescent="0.25">
      <c r="A149" s="4">
        <f t="shared" si="124"/>
        <v>315</v>
      </c>
      <c r="B149" s="73">
        <f t="shared" si="136"/>
        <v>250</v>
      </c>
      <c r="C149" s="80">
        <f t="shared" si="125"/>
        <v>261</v>
      </c>
      <c r="D149" s="73">
        <f t="shared" si="126"/>
        <v>334</v>
      </c>
      <c r="E149" s="11"/>
      <c r="F149" s="73">
        <f t="shared" si="127"/>
        <v>245</v>
      </c>
      <c r="G149" s="80">
        <f t="shared" si="128"/>
        <v>261</v>
      </c>
      <c r="H149" s="73">
        <f t="shared" si="129"/>
        <v>213</v>
      </c>
      <c r="I149" s="48"/>
      <c r="J149" s="30">
        <f t="shared" si="130"/>
        <v>250</v>
      </c>
      <c r="K149" s="77">
        <f t="shared" si="131"/>
        <v>261</v>
      </c>
      <c r="L149" s="73">
        <f t="shared" si="132"/>
        <v>334</v>
      </c>
      <c r="M149" s="60"/>
      <c r="N149" s="30">
        <f t="shared" si="133"/>
        <v>245</v>
      </c>
      <c r="O149" s="77">
        <f t="shared" si="134"/>
        <v>261</v>
      </c>
      <c r="P149" s="73">
        <f t="shared" si="135"/>
        <v>213</v>
      </c>
      <c r="Q149" s="4"/>
    </row>
    <row r="150" spans="1:20" s="1" customFormat="1" x14ac:dyDescent="0.25">
      <c r="A150" s="4">
        <f t="shared" si="124"/>
        <v>400</v>
      </c>
      <c r="B150" s="73">
        <f t="shared" si="136"/>
        <v>250</v>
      </c>
      <c r="C150" s="80">
        <f t="shared" si="125"/>
        <v>261</v>
      </c>
      <c r="D150" s="73">
        <f t="shared" si="126"/>
        <v>334</v>
      </c>
      <c r="E150" s="11"/>
      <c r="F150" s="73">
        <f t="shared" si="127"/>
        <v>245</v>
      </c>
      <c r="G150" s="80">
        <f t="shared" si="128"/>
        <v>261</v>
      </c>
      <c r="H150" s="73">
        <f t="shared" si="129"/>
        <v>213</v>
      </c>
      <c r="I150" s="48"/>
      <c r="J150" s="30">
        <f t="shared" si="130"/>
        <v>250</v>
      </c>
      <c r="K150" s="77">
        <f t="shared" si="131"/>
        <v>261</v>
      </c>
      <c r="L150" s="73">
        <f t="shared" si="132"/>
        <v>334</v>
      </c>
      <c r="M150" s="60"/>
      <c r="N150" s="30">
        <f t="shared" si="133"/>
        <v>245</v>
      </c>
      <c r="O150" s="77">
        <f t="shared" si="134"/>
        <v>261</v>
      </c>
      <c r="P150" s="73">
        <f t="shared" si="135"/>
        <v>213</v>
      </c>
      <c r="Q150" s="4"/>
    </row>
    <row r="151" spans="1:20" s="1" customFormat="1" x14ac:dyDescent="0.25">
      <c r="A151" s="4">
        <f t="shared" si="124"/>
        <v>500</v>
      </c>
      <c r="B151" s="73">
        <f t="shared" si="136"/>
        <v>260</v>
      </c>
      <c r="C151" s="80">
        <f t="shared" si="125"/>
        <v>271</v>
      </c>
      <c r="D151" s="73">
        <f t="shared" si="126"/>
        <v>334</v>
      </c>
      <c r="E151" s="11"/>
      <c r="F151" s="73">
        <f t="shared" si="127"/>
        <v>245</v>
      </c>
      <c r="G151" s="80">
        <f t="shared" si="128"/>
        <v>261</v>
      </c>
      <c r="H151" s="73">
        <f t="shared" si="129"/>
        <v>213</v>
      </c>
      <c r="I151" s="48"/>
      <c r="J151" s="30">
        <f t="shared" si="130"/>
        <v>260</v>
      </c>
      <c r="K151" s="77">
        <f t="shared" si="131"/>
        <v>271</v>
      </c>
      <c r="L151" s="73">
        <f t="shared" si="132"/>
        <v>334</v>
      </c>
      <c r="M151" s="60"/>
      <c r="N151" s="30">
        <f t="shared" si="133"/>
        <v>245</v>
      </c>
      <c r="O151" s="77">
        <f t="shared" si="134"/>
        <v>261</v>
      </c>
      <c r="P151" s="73">
        <f t="shared" si="135"/>
        <v>213</v>
      </c>
      <c r="Q151" s="4"/>
    </row>
    <row r="152" spans="1:20" s="1" customFormat="1" x14ac:dyDescent="0.25">
      <c r="A152" s="4">
        <f t="shared" si="124"/>
        <v>630</v>
      </c>
      <c r="B152" s="73">
        <f t="shared" si="136"/>
        <v>270</v>
      </c>
      <c r="C152" s="80">
        <f t="shared" si="125"/>
        <v>281</v>
      </c>
      <c r="D152" s="73">
        <f t="shared" si="126"/>
        <v>334</v>
      </c>
      <c r="E152" s="11"/>
      <c r="F152" s="73">
        <f t="shared" si="127"/>
        <v>255</v>
      </c>
      <c r="G152" s="80">
        <f t="shared" si="128"/>
        <v>271</v>
      </c>
      <c r="H152" s="73">
        <f t="shared" si="129"/>
        <v>223</v>
      </c>
      <c r="I152" s="48"/>
      <c r="J152" s="30">
        <f t="shared" si="130"/>
        <v>270</v>
      </c>
      <c r="K152" s="77">
        <f t="shared" si="131"/>
        <v>281</v>
      </c>
      <c r="L152" s="73">
        <f t="shared" si="132"/>
        <v>334</v>
      </c>
      <c r="M152" s="60"/>
      <c r="N152" s="30">
        <f t="shared" si="133"/>
        <v>255</v>
      </c>
      <c r="O152" s="77">
        <f t="shared" si="134"/>
        <v>271</v>
      </c>
      <c r="P152" s="73">
        <f t="shared" si="135"/>
        <v>223</v>
      </c>
      <c r="Q152" s="4"/>
    </row>
    <row r="153" spans="1:20" x14ac:dyDescent="0.25">
      <c r="A153" s="4">
        <f t="shared" si="124"/>
        <v>800</v>
      </c>
      <c r="B153" s="73">
        <f t="shared" si="136"/>
        <v>285</v>
      </c>
      <c r="C153" s="80">
        <f t="shared" si="125"/>
        <v>296</v>
      </c>
      <c r="D153" s="73">
        <f t="shared" si="126"/>
        <v>334</v>
      </c>
      <c r="E153" s="11"/>
      <c r="F153" s="73">
        <f t="shared" si="127"/>
        <v>275</v>
      </c>
      <c r="G153" s="80">
        <f t="shared" si="128"/>
        <v>291</v>
      </c>
      <c r="H153" s="73">
        <f t="shared" si="129"/>
        <v>243</v>
      </c>
      <c r="I153" s="48"/>
      <c r="J153" s="30">
        <f t="shared" si="102"/>
        <v>285</v>
      </c>
      <c r="K153" s="77">
        <f t="shared" si="103"/>
        <v>296</v>
      </c>
      <c r="L153" s="73">
        <f t="shared" si="104"/>
        <v>334</v>
      </c>
      <c r="M153" s="60"/>
      <c r="N153" s="30">
        <f t="shared" si="105"/>
        <v>275</v>
      </c>
      <c r="O153" s="77">
        <f t="shared" si="106"/>
        <v>291</v>
      </c>
      <c r="P153" s="73">
        <f t="shared" si="107"/>
        <v>243</v>
      </c>
      <c r="Q153" s="76"/>
      <c r="S153" s="1"/>
      <c r="T153" s="1"/>
    </row>
    <row r="154" spans="1:20" x14ac:dyDescent="0.25">
      <c r="A154" s="4">
        <f t="shared" si="124"/>
        <v>1000</v>
      </c>
      <c r="B154" s="73">
        <f t="shared" si="136"/>
        <v>320</v>
      </c>
      <c r="C154" s="80">
        <f t="shared" si="125"/>
        <v>331</v>
      </c>
      <c r="D154" s="73">
        <f t="shared" si="126"/>
        <v>334</v>
      </c>
      <c r="E154" s="11"/>
      <c r="F154" s="73">
        <f t="shared" si="127"/>
        <v>280</v>
      </c>
      <c r="G154" s="80">
        <f t="shared" si="128"/>
        <v>296</v>
      </c>
      <c r="H154" s="73">
        <f t="shared" ref="H154:H161" si="137">11+(93+90)+(K16+3)+18</f>
        <v>280</v>
      </c>
      <c r="I154" s="48"/>
      <c r="J154" s="30">
        <f t="shared" si="102"/>
        <v>320</v>
      </c>
      <c r="K154" s="77">
        <f t="shared" si="103"/>
        <v>331</v>
      </c>
      <c r="L154" s="73">
        <f t="shared" si="104"/>
        <v>334</v>
      </c>
      <c r="M154" s="60"/>
      <c r="N154" s="30">
        <f t="shared" si="105"/>
        <v>280</v>
      </c>
      <c r="O154" s="77">
        <f t="shared" si="106"/>
        <v>296</v>
      </c>
      <c r="P154" s="73">
        <f t="shared" si="107"/>
        <v>280</v>
      </c>
      <c r="Q154" s="76"/>
      <c r="S154" s="1"/>
      <c r="T154" s="1"/>
    </row>
    <row r="155" spans="1:20" x14ac:dyDescent="0.25">
      <c r="A155" s="4">
        <f t="shared" si="124"/>
        <v>1250</v>
      </c>
      <c r="B155" s="73">
        <f t="shared" si="136"/>
        <v>350</v>
      </c>
      <c r="C155" s="80">
        <f t="shared" si="125"/>
        <v>361</v>
      </c>
      <c r="D155" s="73">
        <f t="shared" si="126"/>
        <v>334</v>
      </c>
      <c r="E155" s="11"/>
      <c r="F155" s="73">
        <f t="shared" si="127"/>
        <v>295</v>
      </c>
      <c r="G155" s="80">
        <f t="shared" si="128"/>
        <v>311</v>
      </c>
      <c r="H155" s="73">
        <f t="shared" si="137"/>
        <v>295</v>
      </c>
      <c r="I155" s="48"/>
      <c r="J155" s="30">
        <f t="shared" si="102"/>
        <v>350</v>
      </c>
      <c r="K155" s="77">
        <f t="shared" si="103"/>
        <v>361</v>
      </c>
      <c r="L155" s="73">
        <f t="shared" si="104"/>
        <v>334</v>
      </c>
      <c r="M155" s="60"/>
      <c r="N155" s="30">
        <f t="shared" si="105"/>
        <v>295</v>
      </c>
      <c r="O155" s="77">
        <f t="shared" si="106"/>
        <v>311</v>
      </c>
      <c r="P155" s="73">
        <f t="shared" si="107"/>
        <v>295</v>
      </c>
      <c r="Q155" s="76"/>
      <c r="S155" s="1"/>
      <c r="T155" s="1"/>
    </row>
    <row r="156" spans="1:20" x14ac:dyDescent="0.25">
      <c r="A156" s="4">
        <f t="shared" si="124"/>
        <v>1600</v>
      </c>
      <c r="B156" s="73">
        <f t="shared" si="136"/>
        <v>380</v>
      </c>
      <c r="C156" s="80">
        <f t="shared" si="125"/>
        <v>391</v>
      </c>
      <c r="D156" s="73">
        <f t="shared" si="126"/>
        <v>334</v>
      </c>
      <c r="E156" s="11"/>
      <c r="F156" s="73">
        <f t="shared" si="127"/>
        <v>315</v>
      </c>
      <c r="G156" s="80">
        <f t="shared" si="128"/>
        <v>331</v>
      </c>
      <c r="H156" s="73">
        <f t="shared" si="137"/>
        <v>315</v>
      </c>
      <c r="I156" s="48"/>
      <c r="J156" s="30">
        <f t="shared" ref="J156:J162" si="138">B156</f>
        <v>380</v>
      </c>
      <c r="K156" s="77">
        <f t="shared" ref="K156:K162" si="139">C156</f>
        <v>391</v>
      </c>
      <c r="L156" s="73">
        <f t="shared" ref="L156:L162" si="140">D156</f>
        <v>334</v>
      </c>
      <c r="M156" s="60"/>
      <c r="N156" s="30">
        <f t="shared" si="105"/>
        <v>315</v>
      </c>
      <c r="O156" s="77">
        <f t="shared" si="106"/>
        <v>331</v>
      </c>
      <c r="P156" s="73">
        <f t="shared" ref="P156:P162" si="141">H156</f>
        <v>315</v>
      </c>
      <c r="Q156" s="76"/>
      <c r="S156" s="1"/>
      <c r="T156" s="1"/>
    </row>
    <row r="157" spans="1:20" x14ac:dyDescent="0.25">
      <c r="A157" s="4">
        <f t="shared" si="124"/>
        <v>2000</v>
      </c>
      <c r="B157" s="73">
        <f t="shared" si="136"/>
        <v>420</v>
      </c>
      <c r="C157" s="80">
        <f t="shared" si="125"/>
        <v>431</v>
      </c>
      <c r="D157" s="73">
        <f t="shared" si="126"/>
        <v>334</v>
      </c>
      <c r="E157" s="11"/>
      <c r="F157" s="73">
        <f t="shared" si="127"/>
        <v>375</v>
      </c>
      <c r="G157" s="80">
        <f t="shared" si="128"/>
        <v>391</v>
      </c>
      <c r="H157" s="73">
        <f t="shared" si="137"/>
        <v>375</v>
      </c>
      <c r="I157" s="48"/>
      <c r="J157" s="30">
        <f t="shared" si="138"/>
        <v>420</v>
      </c>
      <c r="K157" s="77">
        <f t="shared" si="139"/>
        <v>431</v>
      </c>
      <c r="L157" s="73">
        <f t="shared" si="140"/>
        <v>334</v>
      </c>
      <c r="M157" s="60"/>
      <c r="N157" s="30">
        <f t="shared" ref="N157:N162" si="142">F157</f>
        <v>375</v>
      </c>
      <c r="O157" s="77">
        <f t="shared" ref="O157:O162" si="143">G157</f>
        <v>391</v>
      </c>
      <c r="P157" s="73">
        <f t="shared" si="141"/>
        <v>375</v>
      </c>
      <c r="Q157" s="76"/>
      <c r="S157" s="1"/>
      <c r="T157" s="1"/>
    </row>
    <row r="158" spans="1:20" x14ac:dyDescent="0.25">
      <c r="A158" s="4">
        <f t="shared" si="124"/>
        <v>2500</v>
      </c>
      <c r="B158" s="73">
        <f t="shared" si="136"/>
        <v>527</v>
      </c>
      <c r="C158" s="80">
        <f>18+1.5+(E20*D20)+1.5+70+C20+(40*(D20-1))</f>
        <v>531</v>
      </c>
      <c r="D158" s="73">
        <f t="shared" si="126"/>
        <v>334</v>
      </c>
      <c r="E158" s="11"/>
      <c r="F158" s="73">
        <f t="shared" si="127"/>
        <v>415</v>
      </c>
      <c r="G158" s="80">
        <f t="shared" si="128"/>
        <v>431</v>
      </c>
      <c r="H158" s="73">
        <f t="shared" si="137"/>
        <v>415</v>
      </c>
      <c r="I158" s="48"/>
      <c r="J158" s="30">
        <f t="shared" si="138"/>
        <v>527</v>
      </c>
      <c r="K158" s="77">
        <f t="shared" si="139"/>
        <v>531</v>
      </c>
      <c r="L158" s="73">
        <f t="shared" si="140"/>
        <v>334</v>
      </c>
      <c r="M158" s="60"/>
      <c r="N158" s="30">
        <f t="shared" si="142"/>
        <v>415</v>
      </c>
      <c r="O158" s="77">
        <f t="shared" si="143"/>
        <v>431</v>
      </c>
      <c r="P158" s="73">
        <f t="shared" si="141"/>
        <v>415</v>
      </c>
      <c r="Q158" s="76"/>
      <c r="S158" s="1"/>
      <c r="T158" s="1"/>
    </row>
    <row r="159" spans="1:20" x14ac:dyDescent="0.25">
      <c r="A159" s="4">
        <f t="shared" si="124"/>
        <v>3200</v>
      </c>
      <c r="B159" s="73">
        <f t="shared" si="136"/>
        <v>587</v>
      </c>
      <c r="C159" s="80">
        <f>18+1.5+(E21*D21)+1.5+70+C21+(40*(D21-1))</f>
        <v>591</v>
      </c>
      <c r="D159" s="73">
        <f t="shared" si="126"/>
        <v>334</v>
      </c>
      <c r="E159" s="11"/>
      <c r="F159" s="73">
        <f>11+(93+90)+(K21*J21)+40*(J21-1)</f>
        <v>494</v>
      </c>
      <c r="G159" s="80">
        <f>18+1.5+(K21*J21)+1.5+70+C21+(40*(J21-1))</f>
        <v>531</v>
      </c>
      <c r="H159" s="73">
        <f t="shared" si="137"/>
        <v>345</v>
      </c>
      <c r="I159" s="48"/>
      <c r="J159" s="30">
        <f t="shared" si="138"/>
        <v>587</v>
      </c>
      <c r="K159" s="77">
        <f t="shared" si="139"/>
        <v>591</v>
      </c>
      <c r="L159" s="73">
        <f t="shared" si="140"/>
        <v>334</v>
      </c>
      <c r="M159" s="60"/>
      <c r="N159" s="30">
        <f t="shared" si="142"/>
        <v>494</v>
      </c>
      <c r="O159" s="77">
        <f t="shared" si="143"/>
        <v>531</v>
      </c>
      <c r="P159" s="73">
        <f t="shared" si="141"/>
        <v>345</v>
      </c>
      <c r="Q159" s="76"/>
      <c r="S159" s="1"/>
      <c r="T159" s="1"/>
    </row>
    <row r="160" spans="1:20" x14ac:dyDescent="0.25">
      <c r="A160" s="4">
        <f t="shared" si="124"/>
        <v>4000</v>
      </c>
      <c r="B160" s="73">
        <f t="shared" si="136"/>
        <v>667</v>
      </c>
      <c r="C160" s="80">
        <f>18+1.5+(E22*D22)+1.5+70+C22+(40*(D22-1))</f>
        <v>671</v>
      </c>
      <c r="D160" s="73">
        <f t="shared" si="126"/>
        <v>334</v>
      </c>
      <c r="E160" s="11"/>
      <c r="F160" s="73">
        <f>11+(93+90)+(K22*J22)+40*(J22-1)</f>
        <v>554</v>
      </c>
      <c r="G160" s="80">
        <f>18+1.5+(K22*J22)+1.5+70+C22+(40*(J22-1))</f>
        <v>591</v>
      </c>
      <c r="H160" s="73">
        <f t="shared" si="137"/>
        <v>375</v>
      </c>
      <c r="I160" s="48"/>
      <c r="J160" s="30">
        <f t="shared" si="138"/>
        <v>667</v>
      </c>
      <c r="K160" s="77">
        <f t="shared" si="139"/>
        <v>671</v>
      </c>
      <c r="L160" s="73">
        <f t="shared" si="140"/>
        <v>334</v>
      </c>
      <c r="M160" s="60"/>
      <c r="N160" s="30">
        <f t="shared" si="142"/>
        <v>554</v>
      </c>
      <c r="O160" s="77">
        <f t="shared" si="143"/>
        <v>591</v>
      </c>
      <c r="P160" s="73">
        <f t="shared" si="141"/>
        <v>375</v>
      </c>
      <c r="Q160" s="76"/>
      <c r="S160" s="1"/>
      <c r="T160" s="1"/>
    </row>
    <row r="161" spans="1:38" x14ac:dyDescent="0.25">
      <c r="A161" s="4">
        <f t="shared" si="124"/>
        <v>5000</v>
      </c>
      <c r="B161" s="73">
        <f t="shared" si="136"/>
        <v>885</v>
      </c>
      <c r="C161" s="80">
        <f>18+1.5+(E23*D23)+1.5+70+C23+(40*(D23-1))</f>
        <v>871</v>
      </c>
      <c r="D161" s="73">
        <f t="shared" si="126"/>
        <v>334</v>
      </c>
      <c r="E161" s="11"/>
      <c r="F161" s="73">
        <f>11+(93+90)+(K23*J23)+40*(J23-1)</f>
        <v>634</v>
      </c>
      <c r="G161" s="80">
        <f>18+1.5+(K23*J23)+1.5+70+C23+(40*(J23-1))</f>
        <v>671</v>
      </c>
      <c r="H161" s="73">
        <f t="shared" si="137"/>
        <v>415</v>
      </c>
      <c r="I161" s="48"/>
      <c r="J161" s="30">
        <f t="shared" si="138"/>
        <v>885</v>
      </c>
      <c r="K161" s="77">
        <f t="shared" si="139"/>
        <v>871</v>
      </c>
      <c r="L161" s="73">
        <f t="shared" si="140"/>
        <v>334</v>
      </c>
      <c r="M161" s="60"/>
      <c r="N161" s="30">
        <f t="shared" si="142"/>
        <v>634</v>
      </c>
      <c r="O161" s="77">
        <f t="shared" si="143"/>
        <v>671</v>
      </c>
      <c r="P161" s="73">
        <f t="shared" si="141"/>
        <v>415</v>
      </c>
      <c r="Q161" s="76"/>
      <c r="S161" s="1"/>
      <c r="T161" s="1"/>
    </row>
    <row r="162" spans="1:38" x14ac:dyDescent="0.25">
      <c r="A162" s="4">
        <f t="shared" si="124"/>
        <v>6300</v>
      </c>
      <c r="B162" s="73">
        <f t="shared" si="136"/>
        <v>1005</v>
      </c>
      <c r="C162" s="80">
        <f>18+1.5+(E24*D24)+1.5+70+C24+(40*(D24-1))</f>
        <v>991</v>
      </c>
      <c r="D162" s="73">
        <f t="shared" si="126"/>
        <v>334</v>
      </c>
      <c r="E162" s="11"/>
      <c r="F162" s="73">
        <f>11+(93+90)+(K24*J24)+40*(J24-1)</f>
        <v>874</v>
      </c>
      <c r="G162" s="80">
        <f>18+1.5+(K24*J24)+1.5+70+C24+(40*(J24-1))</f>
        <v>911</v>
      </c>
      <c r="H162" s="73">
        <f>11+(93+90)+(L24+3)+18</f>
        <v>221</v>
      </c>
      <c r="I162" s="48"/>
      <c r="J162" s="30">
        <f t="shared" si="138"/>
        <v>1005</v>
      </c>
      <c r="K162" s="77">
        <f t="shared" si="139"/>
        <v>991</v>
      </c>
      <c r="L162" s="73">
        <f t="shared" si="140"/>
        <v>334</v>
      </c>
      <c r="M162" s="60"/>
      <c r="N162" s="30">
        <f t="shared" si="142"/>
        <v>874</v>
      </c>
      <c r="O162" s="77">
        <f t="shared" si="143"/>
        <v>911</v>
      </c>
      <c r="P162" s="73">
        <f t="shared" si="141"/>
        <v>221</v>
      </c>
      <c r="Q162" s="76"/>
      <c r="S162" s="1"/>
      <c r="T162" s="1"/>
    </row>
    <row r="163" spans="1:38" x14ac:dyDescent="0.25">
      <c r="AE163" s="1"/>
      <c r="AF163" s="1"/>
      <c r="AG163" s="1"/>
      <c r="AH163" s="1"/>
      <c r="AI163" s="1"/>
    </row>
    <row r="164" spans="1:38" s="1" customFormat="1" x14ac:dyDescent="0.25">
      <c r="A164" s="235" t="s">
        <v>38</v>
      </c>
      <c r="B164" s="235"/>
      <c r="C164" s="235"/>
      <c r="D164" s="235"/>
    </row>
    <row r="165" spans="1:38" x14ac:dyDescent="0.25">
      <c r="A165" s="1"/>
      <c r="B165" s="1"/>
      <c r="G165" s="1"/>
      <c r="H165" s="1"/>
      <c r="M165" s="1"/>
      <c r="N165" s="1"/>
      <c r="S165" s="1"/>
      <c r="T165" s="1"/>
      <c r="Y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x14ac:dyDescent="0.25">
      <c r="A166" s="229" t="s">
        <v>5</v>
      </c>
      <c r="B166" s="227" t="s">
        <v>6</v>
      </c>
      <c r="C166" s="227"/>
      <c r="D166" s="227"/>
      <c r="E166" s="227"/>
      <c r="F166" s="227"/>
      <c r="G166" s="227"/>
      <c r="H166" s="227"/>
      <c r="I166" s="227"/>
      <c r="J166" s="229" t="s">
        <v>7</v>
      </c>
      <c r="K166" s="230"/>
      <c r="L166" s="230"/>
      <c r="M166" s="230"/>
      <c r="N166" s="230"/>
      <c r="O166" s="230"/>
      <c r="P166" s="230"/>
      <c r="Q166" s="231"/>
      <c r="S166" s="1"/>
      <c r="T166" s="1"/>
      <c r="Y166" s="1"/>
    </row>
    <row r="167" spans="1:38" x14ac:dyDescent="0.25">
      <c r="A167" s="227"/>
      <c r="B167" s="229" t="s">
        <v>8</v>
      </c>
      <c r="C167" s="230"/>
      <c r="D167" s="230"/>
      <c r="E167" s="230"/>
      <c r="F167" s="225" t="s">
        <v>9</v>
      </c>
      <c r="G167" s="225"/>
      <c r="H167" s="225"/>
      <c r="I167" s="225"/>
      <c r="J167" s="229" t="s">
        <v>8</v>
      </c>
      <c r="K167" s="230"/>
      <c r="L167" s="230"/>
      <c r="M167" s="230"/>
      <c r="N167" s="225" t="s">
        <v>9</v>
      </c>
      <c r="O167" s="225"/>
      <c r="P167" s="225"/>
      <c r="Q167" s="226"/>
      <c r="S167" s="1"/>
      <c r="T167" s="1"/>
      <c r="Y167" s="1"/>
    </row>
    <row r="168" spans="1:38" x14ac:dyDescent="0.25">
      <c r="A168" s="227"/>
      <c r="B168" s="30" t="s">
        <v>24</v>
      </c>
      <c r="C168" s="30" t="s">
        <v>27</v>
      </c>
      <c r="D168" s="73" t="s">
        <v>36</v>
      </c>
      <c r="E168" s="4" t="s">
        <v>26</v>
      </c>
      <c r="F168" s="30" t="s">
        <v>24</v>
      </c>
      <c r="G168" s="30" t="s">
        <v>27</v>
      </c>
      <c r="H168" s="30" t="s">
        <v>36</v>
      </c>
      <c r="I168" s="4" t="s">
        <v>26</v>
      </c>
      <c r="J168" s="30" t="s">
        <v>24</v>
      </c>
      <c r="K168" s="30" t="s">
        <v>27</v>
      </c>
      <c r="L168" s="30" t="s">
        <v>36</v>
      </c>
      <c r="M168" s="4" t="s">
        <v>26</v>
      </c>
      <c r="N168" s="30" t="s">
        <v>24</v>
      </c>
      <c r="O168" s="30" t="s">
        <v>27</v>
      </c>
      <c r="P168" s="30" t="s">
        <v>36</v>
      </c>
      <c r="Q168" s="4" t="s">
        <v>26</v>
      </c>
    </row>
    <row r="169" spans="1:38" s="1" customFormat="1" x14ac:dyDescent="0.25">
      <c r="A169" s="4">
        <f t="shared" ref="A169:A184" si="144">A9</f>
        <v>160</v>
      </c>
      <c r="B169" s="73">
        <f>(11+93+130+10)*2+E9+E9+33</f>
        <v>581</v>
      </c>
      <c r="C169" s="80">
        <f t="shared" ref="C169:C184" si="145">11+93+90+52+140</f>
        <v>386</v>
      </c>
      <c r="D169" s="78">
        <f t="shared" ref="D169" si="146">B169/2</f>
        <v>290.5</v>
      </c>
      <c r="E169" s="4"/>
      <c r="F169" s="73">
        <f>(11+93+130+10)*2+K9+K9+33</f>
        <v>581</v>
      </c>
      <c r="G169" s="80">
        <f t="shared" ref="G169:G184" si="147">11+93+90+52+140</f>
        <v>386</v>
      </c>
      <c r="H169" s="78">
        <f t="shared" ref="H169" si="148">F169/2</f>
        <v>290.5</v>
      </c>
      <c r="I169" s="4"/>
      <c r="J169" s="73">
        <f>(11+93+130+10)*2+(Q9*3)+15+33</f>
        <v>626</v>
      </c>
      <c r="K169" s="80">
        <f t="shared" ref="K169:K184" si="149">11+93+90+52+140</f>
        <v>386</v>
      </c>
      <c r="L169" s="78">
        <f>J169/2+Q9+(15/2)</f>
        <v>350.5</v>
      </c>
      <c r="M169" s="4"/>
      <c r="N169" s="73">
        <f>(11+93+130+10)*2+(W9*3)+15+33</f>
        <v>626</v>
      </c>
      <c r="O169" s="80">
        <f t="shared" ref="O169:O174" si="150">11+93+90+52+140</f>
        <v>386</v>
      </c>
      <c r="P169" s="78">
        <f t="shared" ref="P169" si="151">N169/2+X7+(15/2)</f>
        <v>320.5</v>
      </c>
      <c r="Q169" s="4"/>
    </row>
    <row r="170" spans="1:38" s="1" customFormat="1" x14ac:dyDescent="0.25">
      <c r="A170" s="4">
        <f t="shared" si="144"/>
        <v>250</v>
      </c>
      <c r="B170" s="73">
        <f>(11+93+130+10)*2+E10+E10+33</f>
        <v>581</v>
      </c>
      <c r="C170" s="80">
        <f t="shared" si="145"/>
        <v>386</v>
      </c>
      <c r="D170" s="78">
        <f t="shared" ref="D170:D172" si="152">B170/2</f>
        <v>290.5</v>
      </c>
      <c r="E170" s="4"/>
      <c r="F170" s="73">
        <f>(11+93+130+10)*2+K10+K10+33</f>
        <v>581</v>
      </c>
      <c r="G170" s="80">
        <f t="shared" si="147"/>
        <v>386</v>
      </c>
      <c r="H170" s="78">
        <f t="shared" ref="H170:H172" si="153">F170/2</f>
        <v>290.5</v>
      </c>
      <c r="I170" s="4"/>
      <c r="J170" s="73">
        <f>(11+93+130+10)*2+(Q10*3)+15+33</f>
        <v>626</v>
      </c>
      <c r="K170" s="80">
        <f t="shared" si="149"/>
        <v>386</v>
      </c>
      <c r="L170" s="78">
        <f>J170/2+Q10+(15/2)</f>
        <v>350.5</v>
      </c>
      <c r="M170" s="4"/>
      <c r="N170" s="73">
        <f>(11+93+130+10)*2+(W10*3)+15+33</f>
        <v>626</v>
      </c>
      <c r="O170" s="80">
        <f t="shared" si="150"/>
        <v>386</v>
      </c>
      <c r="P170" s="78">
        <f>N170/2+X10+(15/2)</f>
        <v>326.5</v>
      </c>
      <c r="Q170" s="4"/>
    </row>
    <row r="171" spans="1:38" s="1" customFormat="1" x14ac:dyDescent="0.25">
      <c r="A171" s="4">
        <f t="shared" si="144"/>
        <v>315</v>
      </c>
      <c r="B171" s="73">
        <f>(11+93+130+10)*2+E11+E11+33</f>
        <v>581</v>
      </c>
      <c r="C171" s="80">
        <f t="shared" si="145"/>
        <v>386</v>
      </c>
      <c r="D171" s="78">
        <f t="shared" si="152"/>
        <v>290.5</v>
      </c>
      <c r="E171" s="4"/>
      <c r="F171" s="73">
        <f>(11+93+130+10)*2+K11+K11+33</f>
        <v>581</v>
      </c>
      <c r="G171" s="80">
        <f t="shared" si="147"/>
        <v>386</v>
      </c>
      <c r="H171" s="78">
        <f t="shared" si="153"/>
        <v>290.5</v>
      </c>
      <c r="I171" s="4"/>
      <c r="J171" s="73">
        <f>(11+93+130+10)*2+(Q11*3)+15+33</f>
        <v>626</v>
      </c>
      <c r="K171" s="80">
        <f t="shared" si="149"/>
        <v>386</v>
      </c>
      <c r="L171" s="78">
        <f>J171/2+Q11+(15/2)</f>
        <v>350.5</v>
      </c>
      <c r="M171" s="4"/>
      <c r="N171" s="73">
        <f>(11+93+130+10)*2+(W11*3)+15+33</f>
        <v>626</v>
      </c>
      <c r="O171" s="80">
        <f t="shared" si="150"/>
        <v>386</v>
      </c>
      <c r="P171" s="78">
        <f>N171/2+X9+(15/2)</f>
        <v>326.5</v>
      </c>
      <c r="Q171" s="4"/>
    </row>
    <row r="172" spans="1:38" s="1" customFormat="1" x14ac:dyDescent="0.25">
      <c r="A172" s="4">
        <f t="shared" si="144"/>
        <v>400</v>
      </c>
      <c r="B172" s="73">
        <f>(11+93+130+10)*2+E12+E12+33</f>
        <v>581</v>
      </c>
      <c r="C172" s="80">
        <f t="shared" si="145"/>
        <v>386</v>
      </c>
      <c r="D172" s="78">
        <f t="shared" si="152"/>
        <v>290.5</v>
      </c>
      <c r="E172" s="4"/>
      <c r="F172" s="73">
        <f>(11+93+130+10)*2+K12+K12+33</f>
        <v>581</v>
      </c>
      <c r="G172" s="80">
        <f t="shared" si="147"/>
        <v>386</v>
      </c>
      <c r="H172" s="78">
        <f t="shared" si="153"/>
        <v>290.5</v>
      </c>
      <c r="I172" s="4"/>
      <c r="J172" s="73">
        <f>(11+93+130+10)*2+(Q12*3)+15+33</f>
        <v>626</v>
      </c>
      <c r="K172" s="80">
        <f t="shared" si="149"/>
        <v>386</v>
      </c>
      <c r="L172" s="78">
        <f>J172/2+Q12+(15/2)</f>
        <v>350.5</v>
      </c>
      <c r="M172" s="4"/>
      <c r="N172" s="73">
        <f>(11+93+130+10)*2+(W12*3)+15+33</f>
        <v>626</v>
      </c>
      <c r="O172" s="80">
        <f t="shared" si="150"/>
        <v>386</v>
      </c>
      <c r="P172" s="78">
        <f>N172/2+X10+(15/2)</f>
        <v>326.5</v>
      </c>
      <c r="Q172" s="4"/>
    </row>
    <row r="173" spans="1:38" s="1" customFormat="1" x14ac:dyDescent="0.25">
      <c r="A173" s="4">
        <f t="shared" si="144"/>
        <v>500</v>
      </c>
      <c r="B173" s="73">
        <f>(11+93+130+10)*2+E12+E12+33</f>
        <v>581</v>
      </c>
      <c r="C173" s="80">
        <f t="shared" si="145"/>
        <v>386</v>
      </c>
      <c r="D173" s="78">
        <f t="shared" ref="D173:D184" si="154">B173/2</f>
        <v>290.5</v>
      </c>
      <c r="E173" s="4"/>
      <c r="F173" s="73">
        <f>(11+93+130+10)*2+K12+K12+33</f>
        <v>581</v>
      </c>
      <c r="G173" s="80">
        <f t="shared" si="147"/>
        <v>386</v>
      </c>
      <c r="H173" s="78">
        <f t="shared" ref="H173:H184" si="155">F173/2</f>
        <v>290.5</v>
      </c>
      <c r="I173" s="4"/>
      <c r="J173" s="73">
        <f>(11+93+130+10)*2+(Q12*3)+15+33</f>
        <v>626</v>
      </c>
      <c r="K173" s="80">
        <f t="shared" si="149"/>
        <v>386</v>
      </c>
      <c r="L173" s="78">
        <f>J173/2+Q12+(15/2)</f>
        <v>350.5</v>
      </c>
      <c r="M173" s="4"/>
      <c r="N173" s="73">
        <f>(11+93+130+10)*2+(W12*3)+15+33</f>
        <v>626</v>
      </c>
      <c r="O173" s="80">
        <f t="shared" si="150"/>
        <v>386</v>
      </c>
      <c r="P173" s="78">
        <f>N173/2+X12+(15/2)</f>
        <v>326.5</v>
      </c>
      <c r="Q173" s="4"/>
    </row>
    <row r="174" spans="1:38" x14ac:dyDescent="0.25">
      <c r="A174" s="4">
        <f t="shared" si="144"/>
        <v>630</v>
      </c>
      <c r="B174" s="73">
        <f>(11+93+130+10)*2+E14+E14+33</f>
        <v>621</v>
      </c>
      <c r="C174" s="80">
        <f t="shared" si="145"/>
        <v>386</v>
      </c>
      <c r="D174" s="78">
        <f t="shared" si="154"/>
        <v>310.5</v>
      </c>
      <c r="E174" s="4"/>
      <c r="F174" s="73">
        <f t="shared" ref="F174:F179" si="156">(11+93+130+10)*2+K14+K14+33</f>
        <v>601</v>
      </c>
      <c r="G174" s="80">
        <f t="shared" si="147"/>
        <v>386</v>
      </c>
      <c r="H174" s="78">
        <f t="shared" si="155"/>
        <v>300.5</v>
      </c>
      <c r="I174" s="4"/>
      <c r="J174" s="73">
        <f t="shared" ref="J174:J179" si="157">(11+93+130+10)*2+(Q14*3)+15+33</f>
        <v>686</v>
      </c>
      <c r="K174" s="80">
        <f t="shared" si="149"/>
        <v>386</v>
      </c>
      <c r="L174" s="78">
        <f t="shared" ref="L174:L184" si="158">J174/2+Q14+(15/2)</f>
        <v>400.5</v>
      </c>
      <c r="M174" s="4"/>
      <c r="N174" s="73">
        <f t="shared" ref="N174:N180" si="159">(11+93+130+10)*2+(W14*3)+15+33</f>
        <v>656</v>
      </c>
      <c r="O174" s="80">
        <f t="shared" si="150"/>
        <v>386</v>
      </c>
      <c r="P174" s="78">
        <f>N174/2+X14+(15/2)</f>
        <v>341.5</v>
      </c>
      <c r="Q174" s="4"/>
      <c r="S174" s="1"/>
      <c r="T174" s="1"/>
      <c r="Y174" s="1"/>
    </row>
    <row r="175" spans="1:38" x14ac:dyDescent="0.25">
      <c r="A175" s="4">
        <f t="shared" si="144"/>
        <v>800</v>
      </c>
      <c r="B175" s="73">
        <f>(11+93+130+10)*2+E15+E15+33</f>
        <v>651</v>
      </c>
      <c r="C175" s="80">
        <f t="shared" si="145"/>
        <v>386</v>
      </c>
      <c r="D175" s="78">
        <f t="shared" si="154"/>
        <v>325.5</v>
      </c>
      <c r="E175" s="11"/>
      <c r="F175" s="73">
        <f t="shared" si="156"/>
        <v>641</v>
      </c>
      <c r="G175" s="80">
        <f t="shared" si="147"/>
        <v>386</v>
      </c>
      <c r="H175" s="78">
        <f t="shared" si="155"/>
        <v>320.5</v>
      </c>
      <c r="I175" s="48"/>
      <c r="J175" s="73">
        <f t="shared" si="157"/>
        <v>731</v>
      </c>
      <c r="K175" s="80">
        <f t="shared" si="149"/>
        <v>386</v>
      </c>
      <c r="L175" s="78">
        <f t="shared" si="158"/>
        <v>438</v>
      </c>
      <c r="M175" s="60"/>
      <c r="N175" s="73">
        <f t="shared" si="159"/>
        <v>716</v>
      </c>
      <c r="O175" s="77">
        <f t="shared" ref="O175:O184" si="160">G175</f>
        <v>386</v>
      </c>
      <c r="P175" s="73">
        <f t="shared" ref="P175:P184" si="161">H175</f>
        <v>320.5</v>
      </c>
      <c r="Q175" s="76"/>
      <c r="S175" s="1"/>
      <c r="T175" s="1"/>
      <c r="Y175" s="1"/>
    </row>
    <row r="176" spans="1:38" x14ac:dyDescent="0.25">
      <c r="A176" s="4">
        <f t="shared" si="144"/>
        <v>1000</v>
      </c>
      <c r="B176" s="73">
        <f>(11+93+130+10)*2+E16+E16+33</f>
        <v>721</v>
      </c>
      <c r="C176" s="80">
        <f t="shared" si="145"/>
        <v>386</v>
      </c>
      <c r="D176" s="78">
        <f t="shared" si="154"/>
        <v>360.5</v>
      </c>
      <c r="E176" s="11"/>
      <c r="F176" s="73">
        <f t="shared" si="156"/>
        <v>651</v>
      </c>
      <c r="G176" s="80">
        <f t="shared" si="147"/>
        <v>386</v>
      </c>
      <c r="H176" s="78">
        <f t="shared" si="155"/>
        <v>325.5</v>
      </c>
      <c r="I176" s="48"/>
      <c r="J176" s="73">
        <f t="shared" si="157"/>
        <v>836</v>
      </c>
      <c r="K176" s="80">
        <f t="shared" si="149"/>
        <v>386</v>
      </c>
      <c r="L176" s="78">
        <f t="shared" si="158"/>
        <v>525.5</v>
      </c>
      <c r="M176" s="60"/>
      <c r="N176" s="73">
        <f t="shared" si="159"/>
        <v>731</v>
      </c>
      <c r="O176" s="77">
        <f t="shared" si="160"/>
        <v>386</v>
      </c>
      <c r="P176" s="73">
        <f t="shared" si="161"/>
        <v>325.5</v>
      </c>
      <c r="Q176" s="76"/>
    </row>
    <row r="177" spans="1:20" x14ac:dyDescent="0.25">
      <c r="A177" s="4">
        <f t="shared" si="144"/>
        <v>1250</v>
      </c>
      <c r="B177" s="73">
        <f>(11+93+130+10)*2+E17+E17+33</f>
        <v>781</v>
      </c>
      <c r="C177" s="80">
        <f t="shared" si="145"/>
        <v>386</v>
      </c>
      <c r="D177" s="78">
        <f t="shared" si="154"/>
        <v>390.5</v>
      </c>
      <c r="E177" s="11"/>
      <c r="F177" s="73">
        <f t="shared" si="156"/>
        <v>681</v>
      </c>
      <c r="G177" s="80">
        <f t="shared" si="147"/>
        <v>386</v>
      </c>
      <c r="H177" s="78">
        <f t="shared" si="155"/>
        <v>340.5</v>
      </c>
      <c r="I177" s="48"/>
      <c r="J177" s="73">
        <f t="shared" si="157"/>
        <v>926</v>
      </c>
      <c r="K177" s="80">
        <f t="shared" si="149"/>
        <v>386</v>
      </c>
      <c r="L177" s="78">
        <f t="shared" si="158"/>
        <v>600.5</v>
      </c>
      <c r="M177" s="60"/>
      <c r="N177" s="73">
        <f t="shared" si="159"/>
        <v>776</v>
      </c>
      <c r="O177" s="77">
        <f t="shared" si="160"/>
        <v>386</v>
      </c>
      <c r="P177" s="73">
        <f t="shared" si="161"/>
        <v>340.5</v>
      </c>
      <c r="Q177" s="76"/>
    </row>
    <row r="178" spans="1:20" x14ac:dyDescent="0.25">
      <c r="A178" s="4">
        <f t="shared" si="144"/>
        <v>1600</v>
      </c>
      <c r="B178" s="73">
        <f>(11+93+130+10)*2+E18+E18+33</f>
        <v>841</v>
      </c>
      <c r="C178" s="80">
        <f t="shared" si="145"/>
        <v>386</v>
      </c>
      <c r="D178" s="78">
        <f t="shared" si="154"/>
        <v>420.5</v>
      </c>
      <c r="E178" s="11"/>
      <c r="F178" s="73">
        <f t="shared" si="156"/>
        <v>721</v>
      </c>
      <c r="G178" s="80">
        <f t="shared" si="147"/>
        <v>386</v>
      </c>
      <c r="H178" s="78">
        <f t="shared" si="155"/>
        <v>360.5</v>
      </c>
      <c r="I178" s="48"/>
      <c r="J178" s="73">
        <f t="shared" si="157"/>
        <v>1016</v>
      </c>
      <c r="K178" s="80">
        <f t="shared" si="149"/>
        <v>386</v>
      </c>
      <c r="L178" s="78">
        <f t="shared" si="158"/>
        <v>675.5</v>
      </c>
      <c r="M178" s="60"/>
      <c r="N178" s="73">
        <f t="shared" si="159"/>
        <v>836</v>
      </c>
      <c r="O178" s="77">
        <f t="shared" si="160"/>
        <v>386</v>
      </c>
      <c r="P178" s="73">
        <f t="shared" si="161"/>
        <v>360.5</v>
      </c>
      <c r="Q178" s="76"/>
    </row>
    <row r="179" spans="1:20" x14ac:dyDescent="0.25">
      <c r="A179" s="4">
        <f t="shared" si="144"/>
        <v>2000</v>
      </c>
      <c r="B179" s="73">
        <f>(11+93+130+10)*2+(E19+E19)+33</f>
        <v>921</v>
      </c>
      <c r="C179" s="80">
        <f t="shared" si="145"/>
        <v>386</v>
      </c>
      <c r="D179" s="78">
        <f t="shared" si="154"/>
        <v>460.5</v>
      </c>
      <c r="E179" s="11"/>
      <c r="F179" s="73">
        <f t="shared" si="156"/>
        <v>841</v>
      </c>
      <c r="G179" s="80">
        <f t="shared" si="147"/>
        <v>386</v>
      </c>
      <c r="H179" s="78">
        <f t="shared" si="155"/>
        <v>420.5</v>
      </c>
      <c r="I179" s="48"/>
      <c r="J179" s="73">
        <f t="shared" si="157"/>
        <v>1136</v>
      </c>
      <c r="K179" s="80">
        <f t="shared" si="149"/>
        <v>386</v>
      </c>
      <c r="L179" s="78">
        <f t="shared" si="158"/>
        <v>775.5</v>
      </c>
      <c r="M179" s="60"/>
      <c r="N179" s="73">
        <f t="shared" si="159"/>
        <v>1016</v>
      </c>
      <c r="O179" s="77">
        <f t="shared" si="160"/>
        <v>386</v>
      </c>
      <c r="P179" s="73">
        <f t="shared" si="161"/>
        <v>420.5</v>
      </c>
      <c r="Q179" s="76"/>
    </row>
    <row r="180" spans="1:20" x14ac:dyDescent="0.25">
      <c r="A180" s="4">
        <f t="shared" si="144"/>
        <v>2500</v>
      </c>
      <c r="B180" s="73">
        <f>(11+93+130+10)*2+(E20+E20)*D20+33</f>
        <v>1041</v>
      </c>
      <c r="C180" s="80">
        <f t="shared" si="145"/>
        <v>386</v>
      </c>
      <c r="D180" s="78">
        <f t="shared" si="154"/>
        <v>520.5</v>
      </c>
      <c r="E180" s="11"/>
      <c r="F180" s="73">
        <f>(11+93+130+10)*2+(K20+K20)+33</f>
        <v>921</v>
      </c>
      <c r="G180" s="80">
        <f t="shared" si="147"/>
        <v>386</v>
      </c>
      <c r="H180" s="78">
        <f t="shared" si="155"/>
        <v>460.5</v>
      </c>
      <c r="I180" s="48"/>
      <c r="J180" s="73">
        <f>(11+93+130+10)*2+(Q20*3)*P20+15+33</f>
        <v>1316</v>
      </c>
      <c r="K180" s="80">
        <f t="shared" si="149"/>
        <v>386</v>
      </c>
      <c r="L180" s="78">
        <f t="shared" si="158"/>
        <v>795.5</v>
      </c>
      <c r="M180" s="60"/>
      <c r="N180" s="73">
        <f t="shared" si="159"/>
        <v>1136</v>
      </c>
      <c r="O180" s="77">
        <f t="shared" si="160"/>
        <v>386</v>
      </c>
      <c r="P180" s="73">
        <f t="shared" si="161"/>
        <v>460.5</v>
      </c>
      <c r="Q180" s="76"/>
    </row>
    <row r="181" spans="1:20" x14ac:dyDescent="0.25">
      <c r="A181" s="4">
        <f t="shared" si="144"/>
        <v>3200</v>
      </c>
      <c r="B181" s="73">
        <f>(11+93+130+10)*2+(E21+E21)*D21+33</f>
        <v>1161</v>
      </c>
      <c r="C181" s="80">
        <f t="shared" si="145"/>
        <v>386</v>
      </c>
      <c r="D181" s="78">
        <f t="shared" si="154"/>
        <v>580.5</v>
      </c>
      <c r="E181" s="11"/>
      <c r="F181" s="73">
        <f>(11+93+130+10)*2+(K21+K21)*J21+33</f>
        <v>1041</v>
      </c>
      <c r="G181" s="80">
        <f t="shared" si="147"/>
        <v>386</v>
      </c>
      <c r="H181" s="78">
        <f t="shared" si="155"/>
        <v>520.5</v>
      </c>
      <c r="I181" s="48"/>
      <c r="J181" s="73">
        <f>(11+93+130+10)*2+(Q21*3)*P21+15+33</f>
        <v>1496</v>
      </c>
      <c r="K181" s="80">
        <f t="shared" si="149"/>
        <v>386</v>
      </c>
      <c r="L181" s="78">
        <f t="shared" si="158"/>
        <v>915.5</v>
      </c>
      <c r="M181" s="60"/>
      <c r="N181" s="73">
        <f>(11+93+130+10)*2+(W21*3)*V21+15+33</f>
        <v>1316</v>
      </c>
      <c r="O181" s="77">
        <f t="shared" si="160"/>
        <v>386</v>
      </c>
      <c r="P181" s="73">
        <f t="shared" si="161"/>
        <v>520.5</v>
      </c>
      <c r="Q181" s="76"/>
    </row>
    <row r="182" spans="1:20" x14ac:dyDescent="0.25">
      <c r="A182" s="4">
        <f t="shared" si="144"/>
        <v>4000</v>
      </c>
      <c r="B182" s="73">
        <f>(11+93+130+10)*2+(E22+E22)*D22+33</f>
        <v>1321</v>
      </c>
      <c r="C182" s="80">
        <f t="shared" si="145"/>
        <v>386</v>
      </c>
      <c r="D182" s="78">
        <f t="shared" si="154"/>
        <v>660.5</v>
      </c>
      <c r="E182" s="11"/>
      <c r="F182" s="73">
        <f>(11+93+130+10)*2+(K22+K22)*J22+33</f>
        <v>1161</v>
      </c>
      <c r="G182" s="80">
        <f t="shared" si="147"/>
        <v>386</v>
      </c>
      <c r="H182" s="78">
        <f t="shared" si="155"/>
        <v>580.5</v>
      </c>
      <c r="I182" s="48"/>
      <c r="J182" s="73">
        <f>(11+93+130+10)*2+(Q22*3)*P22+15+33</f>
        <v>1736</v>
      </c>
      <c r="K182" s="80">
        <f t="shared" si="149"/>
        <v>386</v>
      </c>
      <c r="L182" s="78">
        <f t="shared" si="158"/>
        <v>1075.5</v>
      </c>
      <c r="M182" s="60"/>
      <c r="N182" s="73">
        <f>(11+93+130+10)*2+(W22*3)*V22+15+33</f>
        <v>1496</v>
      </c>
      <c r="O182" s="77">
        <f t="shared" si="160"/>
        <v>386</v>
      </c>
      <c r="P182" s="73">
        <f t="shared" si="161"/>
        <v>580.5</v>
      </c>
      <c r="Q182" s="76"/>
    </row>
    <row r="183" spans="1:20" x14ac:dyDescent="0.25">
      <c r="A183" s="4">
        <f t="shared" si="144"/>
        <v>5000</v>
      </c>
      <c r="B183" s="73">
        <f>(11+93+130+10)*2+(E23+E23)*D23+33</f>
        <v>1561</v>
      </c>
      <c r="C183" s="80">
        <f t="shared" si="145"/>
        <v>386</v>
      </c>
      <c r="D183" s="78">
        <f t="shared" si="154"/>
        <v>780.5</v>
      </c>
      <c r="E183" s="11"/>
      <c r="F183" s="73">
        <f>(11+93+130+10)*2+(K23+K23)*J23+33</f>
        <v>1321</v>
      </c>
      <c r="G183" s="80">
        <f t="shared" si="147"/>
        <v>386</v>
      </c>
      <c r="H183" s="78">
        <f t="shared" si="155"/>
        <v>660.5</v>
      </c>
      <c r="I183" s="48"/>
      <c r="J183" s="73">
        <f>(11+93+130+10)*2+(Q23*3)*P23+15+33</f>
        <v>2096</v>
      </c>
      <c r="K183" s="80">
        <f t="shared" si="149"/>
        <v>386</v>
      </c>
      <c r="L183" s="78">
        <f t="shared" si="158"/>
        <v>1185.5</v>
      </c>
      <c r="M183" s="60"/>
      <c r="N183" s="73">
        <f>(11+93+130+10)*2+(W23*3)*V23+15+33</f>
        <v>1736</v>
      </c>
      <c r="O183" s="77">
        <f t="shared" si="160"/>
        <v>386</v>
      </c>
      <c r="P183" s="73">
        <f t="shared" si="161"/>
        <v>660.5</v>
      </c>
      <c r="Q183" s="76"/>
    </row>
    <row r="184" spans="1:20" x14ac:dyDescent="0.25">
      <c r="A184" s="4">
        <f t="shared" si="144"/>
        <v>6300</v>
      </c>
      <c r="B184" s="73">
        <f>(11+93+130+10)*2+(E24+E24)*D24+33</f>
        <v>1801</v>
      </c>
      <c r="C184" s="80">
        <f t="shared" si="145"/>
        <v>386</v>
      </c>
      <c r="D184" s="78">
        <f t="shared" si="154"/>
        <v>900.5</v>
      </c>
      <c r="E184" s="11"/>
      <c r="F184" s="73">
        <f>(11+93+130+10)*2+(K24+K24)*J24+33</f>
        <v>1721</v>
      </c>
      <c r="G184" s="80">
        <f t="shared" si="147"/>
        <v>386</v>
      </c>
      <c r="H184" s="78">
        <f t="shared" si="155"/>
        <v>860.5</v>
      </c>
      <c r="I184" s="48"/>
      <c r="J184" s="73">
        <f>(11+93+130+10)*2+(Q24*3)*P24+15+33</f>
        <v>2456</v>
      </c>
      <c r="K184" s="80">
        <f t="shared" si="149"/>
        <v>386</v>
      </c>
      <c r="L184" s="78">
        <f t="shared" si="158"/>
        <v>1395.5</v>
      </c>
      <c r="M184" s="60"/>
      <c r="N184" s="73">
        <f>(11+93+130+10)*2+(W24*3)*V24+15+33</f>
        <v>2336</v>
      </c>
      <c r="O184" s="77">
        <f t="shared" si="160"/>
        <v>386</v>
      </c>
      <c r="P184" s="73">
        <f t="shared" si="161"/>
        <v>860.5</v>
      </c>
      <c r="Q184" s="76"/>
    </row>
    <row r="185" spans="1:20" x14ac:dyDescent="0.25">
      <c r="A185" s="1"/>
      <c r="B185" s="1"/>
      <c r="G185" s="1"/>
      <c r="H185" s="1"/>
      <c r="M185" s="1"/>
      <c r="N185" s="1"/>
      <c r="S185" s="1"/>
      <c r="T185" s="1"/>
    </row>
    <row r="186" spans="1:20" x14ac:dyDescent="0.25">
      <c r="A186" s="1"/>
      <c r="B186" s="1"/>
      <c r="G186" s="1"/>
      <c r="H186" s="1"/>
      <c r="M186" s="1"/>
      <c r="N186" s="1"/>
      <c r="S186" s="1"/>
      <c r="T186" s="1"/>
    </row>
    <row r="187" spans="1:20" x14ac:dyDescent="0.25">
      <c r="A187" s="235" t="s">
        <v>52</v>
      </c>
      <c r="B187" s="235"/>
      <c r="C187" s="235"/>
      <c r="D187" s="235"/>
      <c r="G187" s="1"/>
      <c r="H187" s="1"/>
      <c r="M187" s="1"/>
      <c r="N187" s="1"/>
      <c r="S187" s="1"/>
      <c r="T187" s="1"/>
    </row>
    <row r="189" spans="1:20" x14ac:dyDescent="0.25">
      <c r="A189" s="229" t="s">
        <v>5</v>
      </c>
      <c r="B189" s="229" t="s">
        <v>6</v>
      </c>
      <c r="C189" s="230"/>
      <c r="D189" s="230"/>
      <c r="E189" s="230"/>
      <c r="F189" s="230"/>
      <c r="G189" s="230"/>
      <c r="H189" s="230"/>
      <c r="I189" s="230"/>
      <c r="J189" s="227" t="s">
        <v>7</v>
      </c>
      <c r="K189" s="227"/>
      <c r="L189" s="227"/>
      <c r="M189" s="227"/>
      <c r="N189" s="227"/>
      <c r="O189" s="227"/>
      <c r="P189" s="227"/>
      <c r="Q189" s="227"/>
    </row>
    <row r="190" spans="1:20" s="1" customFormat="1" x14ac:dyDescent="0.25">
      <c r="A190" s="227"/>
      <c r="B190" s="229" t="s">
        <v>8</v>
      </c>
      <c r="C190" s="230"/>
      <c r="D190" s="230"/>
      <c r="E190" s="231"/>
      <c r="F190" s="228" t="s">
        <v>9</v>
      </c>
      <c r="G190" s="225"/>
      <c r="H190" s="225"/>
      <c r="I190" s="225"/>
      <c r="J190" s="229" t="s">
        <v>8</v>
      </c>
      <c r="K190" s="230"/>
      <c r="L190" s="230"/>
      <c r="M190" s="231"/>
      <c r="N190" s="228" t="s">
        <v>9</v>
      </c>
      <c r="O190" s="225"/>
      <c r="P190" s="225"/>
      <c r="Q190" s="225"/>
    </row>
    <row r="191" spans="1:20" s="1" customFormat="1" x14ac:dyDescent="0.25">
      <c r="A191" s="227"/>
      <c r="B191" s="30" t="s">
        <v>24</v>
      </c>
      <c r="C191" s="30" t="s">
        <v>27</v>
      </c>
      <c r="D191" s="73"/>
      <c r="E191" s="4" t="s">
        <v>26</v>
      </c>
      <c r="F191" s="30" t="s">
        <v>24</v>
      </c>
      <c r="G191" s="30" t="s">
        <v>27</v>
      </c>
      <c r="H191" s="30"/>
      <c r="I191" s="4" t="s">
        <v>26</v>
      </c>
      <c r="J191" s="30" t="s">
        <v>24</v>
      </c>
      <c r="K191" s="30" t="s">
        <v>27</v>
      </c>
      <c r="L191" s="30"/>
      <c r="M191" s="4" t="s">
        <v>26</v>
      </c>
      <c r="N191" s="30" t="s">
        <v>24</v>
      </c>
      <c r="O191" s="30" t="s">
        <v>27</v>
      </c>
      <c r="P191" s="30"/>
      <c r="Q191" s="4" t="s">
        <v>26</v>
      </c>
    </row>
    <row r="192" spans="1:20" s="1" customFormat="1" x14ac:dyDescent="0.25">
      <c r="A192" s="4">
        <f t="shared" ref="A192:A207" si="162">A9</f>
        <v>160</v>
      </c>
      <c r="B192" s="73">
        <f t="shared" ref="B192:B196" si="163">93+137</f>
        <v>230</v>
      </c>
      <c r="C192" s="80">
        <f t="shared" ref="C192:C196" si="164">B192+210</f>
        <v>440</v>
      </c>
      <c r="D192" s="78"/>
      <c r="E192" s="4"/>
      <c r="F192" s="73">
        <f t="shared" ref="F192:F196" si="165">93+137</f>
        <v>230</v>
      </c>
      <c r="G192" s="80">
        <f t="shared" ref="G192:G196" si="166">F192+210</f>
        <v>440</v>
      </c>
      <c r="H192" s="78"/>
      <c r="I192" s="4"/>
      <c r="J192" s="73">
        <f t="shared" ref="J192:J196" si="167">93+137</f>
        <v>230</v>
      </c>
      <c r="K192" s="80">
        <f t="shared" ref="K192:K196" si="168">J192+210</f>
        <v>440</v>
      </c>
      <c r="L192" s="78"/>
      <c r="M192" s="4"/>
      <c r="N192" s="73">
        <f t="shared" ref="N192:N196" si="169">93+137</f>
        <v>230</v>
      </c>
      <c r="O192" s="80">
        <f t="shared" ref="O192:O196" si="170">N192+210</f>
        <v>440</v>
      </c>
      <c r="P192" s="30"/>
      <c r="Q192" s="4"/>
    </row>
    <row r="193" spans="1:17" s="1" customFormat="1" x14ac:dyDescent="0.25">
      <c r="A193" s="4">
        <f t="shared" si="162"/>
        <v>250</v>
      </c>
      <c r="B193" s="73">
        <f t="shared" si="163"/>
        <v>230</v>
      </c>
      <c r="C193" s="80">
        <f t="shared" si="164"/>
        <v>440</v>
      </c>
      <c r="D193" s="78"/>
      <c r="E193" s="4"/>
      <c r="F193" s="73">
        <f t="shared" si="165"/>
        <v>230</v>
      </c>
      <c r="G193" s="80">
        <f t="shared" si="166"/>
        <v>440</v>
      </c>
      <c r="H193" s="78"/>
      <c r="I193" s="4"/>
      <c r="J193" s="73">
        <f t="shared" si="167"/>
        <v>230</v>
      </c>
      <c r="K193" s="80">
        <f t="shared" si="168"/>
        <v>440</v>
      </c>
      <c r="L193" s="78"/>
      <c r="M193" s="4"/>
      <c r="N193" s="73">
        <f t="shared" si="169"/>
        <v>230</v>
      </c>
      <c r="O193" s="80">
        <f t="shared" si="170"/>
        <v>440</v>
      </c>
      <c r="P193" s="30"/>
      <c r="Q193" s="4"/>
    </row>
    <row r="194" spans="1:17" s="1" customFormat="1" x14ac:dyDescent="0.25">
      <c r="A194" s="4">
        <f t="shared" si="162"/>
        <v>315</v>
      </c>
      <c r="B194" s="73">
        <f t="shared" si="163"/>
        <v>230</v>
      </c>
      <c r="C194" s="80">
        <f t="shared" si="164"/>
        <v>440</v>
      </c>
      <c r="D194" s="78"/>
      <c r="E194" s="4"/>
      <c r="F194" s="73">
        <f t="shared" si="165"/>
        <v>230</v>
      </c>
      <c r="G194" s="80">
        <f t="shared" si="166"/>
        <v>440</v>
      </c>
      <c r="H194" s="78"/>
      <c r="I194" s="4"/>
      <c r="J194" s="73">
        <f t="shared" si="167"/>
        <v>230</v>
      </c>
      <c r="K194" s="80">
        <f t="shared" si="168"/>
        <v>440</v>
      </c>
      <c r="L194" s="78"/>
      <c r="M194" s="4"/>
      <c r="N194" s="73">
        <f t="shared" si="169"/>
        <v>230</v>
      </c>
      <c r="O194" s="80">
        <f t="shared" si="170"/>
        <v>440</v>
      </c>
      <c r="P194" s="30"/>
      <c r="Q194" s="4"/>
    </row>
    <row r="195" spans="1:17" s="1" customFormat="1" x14ac:dyDescent="0.25">
      <c r="A195" s="4">
        <f t="shared" si="162"/>
        <v>400</v>
      </c>
      <c r="B195" s="73">
        <f t="shared" si="163"/>
        <v>230</v>
      </c>
      <c r="C195" s="80">
        <f t="shared" si="164"/>
        <v>440</v>
      </c>
      <c r="D195" s="78"/>
      <c r="E195" s="4"/>
      <c r="F195" s="73">
        <f t="shared" si="165"/>
        <v>230</v>
      </c>
      <c r="G195" s="80">
        <f t="shared" si="166"/>
        <v>440</v>
      </c>
      <c r="H195" s="78"/>
      <c r="I195" s="4"/>
      <c r="J195" s="73">
        <f t="shared" si="167"/>
        <v>230</v>
      </c>
      <c r="K195" s="80">
        <f t="shared" si="168"/>
        <v>440</v>
      </c>
      <c r="L195" s="78"/>
      <c r="M195" s="4"/>
      <c r="N195" s="73">
        <f t="shared" si="169"/>
        <v>230</v>
      </c>
      <c r="O195" s="80">
        <f t="shared" si="170"/>
        <v>440</v>
      </c>
      <c r="P195" s="30"/>
      <c r="Q195" s="4"/>
    </row>
    <row r="196" spans="1:17" s="1" customFormat="1" x14ac:dyDescent="0.25">
      <c r="A196" s="4">
        <f t="shared" si="162"/>
        <v>500</v>
      </c>
      <c r="B196" s="73">
        <f t="shared" si="163"/>
        <v>230</v>
      </c>
      <c r="C196" s="80">
        <f t="shared" si="164"/>
        <v>440</v>
      </c>
      <c r="D196" s="78"/>
      <c r="E196" s="4"/>
      <c r="F196" s="73">
        <f t="shared" si="165"/>
        <v>230</v>
      </c>
      <c r="G196" s="80">
        <f t="shared" si="166"/>
        <v>440</v>
      </c>
      <c r="H196" s="78"/>
      <c r="I196" s="4"/>
      <c r="J196" s="73">
        <f t="shared" si="167"/>
        <v>230</v>
      </c>
      <c r="K196" s="80">
        <f t="shared" si="168"/>
        <v>440</v>
      </c>
      <c r="L196" s="78"/>
      <c r="M196" s="4"/>
      <c r="N196" s="73">
        <f t="shared" si="169"/>
        <v>230</v>
      </c>
      <c r="O196" s="80">
        <f t="shared" si="170"/>
        <v>440</v>
      </c>
      <c r="P196" s="30"/>
      <c r="Q196" s="4"/>
    </row>
    <row r="197" spans="1:17" s="1" customFormat="1" x14ac:dyDescent="0.25">
      <c r="A197" s="4">
        <f t="shared" si="162"/>
        <v>630</v>
      </c>
      <c r="B197" s="73">
        <f t="shared" ref="B197:B207" si="171">93+137</f>
        <v>230</v>
      </c>
      <c r="C197" s="80">
        <f t="shared" ref="C197:C207" si="172">B197+210</f>
        <v>440</v>
      </c>
      <c r="D197" s="78"/>
      <c r="E197" s="4"/>
      <c r="F197" s="73">
        <f t="shared" ref="F197:F207" si="173">93+137</f>
        <v>230</v>
      </c>
      <c r="G197" s="80">
        <f t="shared" ref="G197:G207" si="174">F197+210</f>
        <v>440</v>
      </c>
      <c r="H197" s="78"/>
      <c r="I197" s="4"/>
      <c r="J197" s="73">
        <f t="shared" ref="J197:J207" si="175">93+137</f>
        <v>230</v>
      </c>
      <c r="K197" s="80">
        <f t="shared" ref="K197:K207" si="176">J197+210</f>
        <v>440</v>
      </c>
      <c r="L197" s="78"/>
      <c r="M197" s="4"/>
      <c r="N197" s="73">
        <f t="shared" ref="N197:N207" si="177">93+137</f>
        <v>230</v>
      </c>
      <c r="O197" s="80">
        <f t="shared" ref="O197:O207" si="178">N197+210</f>
        <v>440</v>
      </c>
      <c r="P197" s="78"/>
      <c r="Q197" s="4"/>
    </row>
    <row r="198" spans="1:17" s="1" customFormat="1" x14ac:dyDescent="0.25">
      <c r="A198" s="4">
        <f t="shared" si="162"/>
        <v>800</v>
      </c>
      <c r="B198" s="73">
        <f t="shared" si="171"/>
        <v>230</v>
      </c>
      <c r="C198" s="80">
        <f t="shared" si="172"/>
        <v>440</v>
      </c>
      <c r="D198" s="78"/>
      <c r="E198" s="11"/>
      <c r="F198" s="73">
        <f t="shared" si="173"/>
        <v>230</v>
      </c>
      <c r="G198" s="80">
        <f t="shared" si="174"/>
        <v>440</v>
      </c>
      <c r="H198" s="78"/>
      <c r="I198" s="48"/>
      <c r="J198" s="73">
        <f t="shared" si="175"/>
        <v>230</v>
      </c>
      <c r="K198" s="80">
        <f t="shared" si="176"/>
        <v>440</v>
      </c>
      <c r="L198" s="78"/>
      <c r="M198" s="60"/>
      <c r="N198" s="73">
        <f t="shared" si="177"/>
        <v>230</v>
      </c>
      <c r="O198" s="80">
        <f t="shared" si="178"/>
        <v>440</v>
      </c>
      <c r="P198" s="73"/>
      <c r="Q198" s="76"/>
    </row>
    <row r="199" spans="1:17" s="1" customFormat="1" x14ac:dyDescent="0.25">
      <c r="A199" s="4">
        <f t="shared" si="162"/>
        <v>1000</v>
      </c>
      <c r="B199" s="73">
        <f t="shared" si="171"/>
        <v>230</v>
      </c>
      <c r="C199" s="80">
        <f t="shared" si="172"/>
        <v>440</v>
      </c>
      <c r="D199" s="78"/>
      <c r="E199" s="11"/>
      <c r="F199" s="73">
        <f t="shared" si="173"/>
        <v>230</v>
      </c>
      <c r="G199" s="80">
        <f t="shared" si="174"/>
        <v>440</v>
      </c>
      <c r="H199" s="78"/>
      <c r="I199" s="48"/>
      <c r="J199" s="73">
        <f t="shared" si="175"/>
        <v>230</v>
      </c>
      <c r="K199" s="80">
        <f t="shared" si="176"/>
        <v>440</v>
      </c>
      <c r="L199" s="78"/>
      <c r="M199" s="60"/>
      <c r="N199" s="73">
        <f t="shared" si="177"/>
        <v>230</v>
      </c>
      <c r="O199" s="80">
        <f t="shared" si="178"/>
        <v>440</v>
      </c>
      <c r="P199" s="73"/>
      <c r="Q199" s="76"/>
    </row>
    <row r="200" spans="1:17" s="1" customFormat="1" x14ac:dyDescent="0.25">
      <c r="A200" s="4">
        <f t="shared" si="162"/>
        <v>1250</v>
      </c>
      <c r="B200" s="73">
        <f t="shared" si="171"/>
        <v>230</v>
      </c>
      <c r="C200" s="80">
        <f t="shared" si="172"/>
        <v>440</v>
      </c>
      <c r="D200" s="78"/>
      <c r="E200" s="11"/>
      <c r="F200" s="73">
        <f t="shared" si="173"/>
        <v>230</v>
      </c>
      <c r="G200" s="80">
        <f t="shared" si="174"/>
        <v>440</v>
      </c>
      <c r="H200" s="78"/>
      <c r="I200" s="48"/>
      <c r="J200" s="73">
        <f t="shared" si="175"/>
        <v>230</v>
      </c>
      <c r="K200" s="80">
        <f t="shared" si="176"/>
        <v>440</v>
      </c>
      <c r="L200" s="78"/>
      <c r="M200" s="60"/>
      <c r="N200" s="73">
        <f t="shared" si="177"/>
        <v>230</v>
      </c>
      <c r="O200" s="80">
        <f t="shared" si="178"/>
        <v>440</v>
      </c>
      <c r="P200" s="73"/>
      <c r="Q200" s="76"/>
    </row>
    <row r="201" spans="1:17" s="1" customFormat="1" x14ac:dyDescent="0.25">
      <c r="A201" s="4">
        <f t="shared" si="162"/>
        <v>1600</v>
      </c>
      <c r="B201" s="73">
        <f t="shared" si="171"/>
        <v>230</v>
      </c>
      <c r="C201" s="80">
        <f t="shared" si="172"/>
        <v>440</v>
      </c>
      <c r="D201" s="78"/>
      <c r="E201" s="11"/>
      <c r="F201" s="73">
        <f t="shared" si="173"/>
        <v>230</v>
      </c>
      <c r="G201" s="80">
        <f t="shared" si="174"/>
        <v>440</v>
      </c>
      <c r="H201" s="78"/>
      <c r="I201" s="48"/>
      <c r="J201" s="73">
        <f t="shared" si="175"/>
        <v>230</v>
      </c>
      <c r="K201" s="80">
        <f t="shared" si="176"/>
        <v>440</v>
      </c>
      <c r="L201" s="78"/>
      <c r="M201" s="60"/>
      <c r="N201" s="73">
        <f t="shared" si="177"/>
        <v>230</v>
      </c>
      <c r="O201" s="80">
        <f t="shared" si="178"/>
        <v>440</v>
      </c>
      <c r="P201" s="73"/>
      <c r="Q201" s="76"/>
    </row>
    <row r="202" spans="1:17" s="1" customFormat="1" x14ac:dyDescent="0.25">
      <c r="A202" s="4">
        <f t="shared" si="162"/>
        <v>2000</v>
      </c>
      <c r="B202" s="73">
        <f t="shared" si="171"/>
        <v>230</v>
      </c>
      <c r="C202" s="80">
        <f t="shared" si="172"/>
        <v>440</v>
      </c>
      <c r="D202" s="78"/>
      <c r="E202" s="11"/>
      <c r="F202" s="73">
        <f t="shared" si="173"/>
        <v>230</v>
      </c>
      <c r="G202" s="80">
        <f t="shared" si="174"/>
        <v>440</v>
      </c>
      <c r="H202" s="78"/>
      <c r="I202" s="48"/>
      <c r="J202" s="73">
        <f t="shared" si="175"/>
        <v>230</v>
      </c>
      <c r="K202" s="80">
        <f t="shared" si="176"/>
        <v>440</v>
      </c>
      <c r="L202" s="78"/>
      <c r="M202" s="60"/>
      <c r="N202" s="73">
        <f t="shared" si="177"/>
        <v>230</v>
      </c>
      <c r="O202" s="80">
        <f t="shared" si="178"/>
        <v>440</v>
      </c>
      <c r="P202" s="73"/>
      <c r="Q202" s="76"/>
    </row>
    <row r="203" spans="1:17" s="1" customFormat="1" x14ac:dyDescent="0.25">
      <c r="A203" s="4">
        <f t="shared" si="162"/>
        <v>2500</v>
      </c>
      <c r="B203" s="73">
        <f t="shared" si="171"/>
        <v>230</v>
      </c>
      <c r="C203" s="80">
        <f t="shared" si="172"/>
        <v>440</v>
      </c>
      <c r="D203" s="78"/>
      <c r="E203" s="11"/>
      <c r="F203" s="73">
        <f t="shared" si="173"/>
        <v>230</v>
      </c>
      <c r="G203" s="80">
        <f t="shared" si="174"/>
        <v>440</v>
      </c>
      <c r="H203" s="78"/>
      <c r="I203" s="48"/>
      <c r="J203" s="73">
        <f t="shared" si="175"/>
        <v>230</v>
      </c>
      <c r="K203" s="80">
        <f t="shared" si="176"/>
        <v>440</v>
      </c>
      <c r="L203" s="78"/>
      <c r="M203" s="60"/>
      <c r="N203" s="73">
        <f t="shared" si="177"/>
        <v>230</v>
      </c>
      <c r="O203" s="80">
        <f t="shared" si="178"/>
        <v>440</v>
      </c>
      <c r="P203" s="73"/>
      <c r="Q203" s="76"/>
    </row>
    <row r="204" spans="1:17" s="1" customFormat="1" x14ac:dyDescent="0.25">
      <c r="A204" s="4">
        <f t="shared" si="162"/>
        <v>3200</v>
      </c>
      <c r="B204" s="73">
        <f t="shared" si="171"/>
        <v>230</v>
      </c>
      <c r="C204" s="80">
        <f t="shared" si="172"/>
        <v>440</v>
      </c>
      <c r="D204" s="78"/>
      <c r="E204" s="11"/>
      <c r="F204" s="73">
        <f t="shared" si="173"/>
        <v>230</v>
      </c>
      <c r="G204" s="80">
        <f t="shared" si="174"/>
        <v>440</v>
      </c>
      <c r="H204" s="78"/>
      <c r="I204" s="48"/>
      <c r="J204" s="73">
        <f t="shared" si="175"/>
        <v>230</v>
      </c>
      <c r="K204" s="80">
        <f t="shared" si="176"/>
        <v>440</v>
      </c>
      <c r="L204" s="78"/>
      <c r="M204" s="60"/>
      <c r="N204" s="73">
        <f t="shared" si="177"/>
        <v>230</v>
      </c>
      <c r="O204" s="80">
        <f t="shared" si="178"/>
        <v>440</v>
      </c>
      <c r="P204" s="73"/>
      <c r="Q204" s="76"/>
    </row>
    <row r="205" spans="1:17" s="1" customFormat="1" x14ac:dyDescent="0.25">
      <c r="A205" s="4">
        <f t="shared" si="162"/>
        <v>4000</v>
      </c>
      <c r="B205" s="73">
        <f t="shared" si="171"/>
        <v>230</v>
      </c>
      <c r="C205" s="80">
        <f t="shared" si="172"/>
        <v>440</v>
      </c>
      <c r="D205" s="78"/>
      <c r="E205" s="11"/>
      <c r="F205" s="73">
        <f t="shared" si="173"/>
        <v>230</v>
      </c>
      <c r="G205" s="80">
        <f t="shared" si="174"/>
        <v>440</v>
      </c>
      <c r="H205" s="78"/>
      <c r="I205" s="48"/>
      <c r="J205" s="73">
        <f t="shared" si="175"/>
        <v>230</v>
      </c>
      <c r="K205" s="80">
        <f t="shared" si="176"/>
        <v>440</v>
      </c>
      <c r="L205" s="78"/>
      <c r="M205" s="60"/>
      <c r="N205" s="73">
        <f t="shared" si="177"/>
        <v>230</v>
      </c>
      <c r="O205" s="80">
        <f t="shared" si="178"/>
        <v>440</v>
      </c>
      <c r="P205" s="73"/>
      <c r="Q205" s="76"/>
    </row>
    <row r="206" spans="1:17" s="1" customFormat="1" x14ac:dyDescent="0.25">
      <c r="A206" s="4">
        <f t="shared" si="162"/>
        <v>5000</v>
      </c>
      <c r="B206" s="73">
        <f t="shared" si="171"/>
        <v>230</v>
      </c>
      <c r="C206" s="80">
        <f t="shared" si="172"/>
        <v>440</v>
      </c>
      <c r="D206" s="78"/>
      <c r="E206" s="11"/>
      <c r="F206" s="73">
        <f t="shared" si="173"/>
        <v>230</v>
      </c>
      <c r="G206" s="80">
        <f t="shared" si="174"/>
        <v>440</v>
      </c>
      <c r="H206" s="78"/>
      <c r="I206" s="48"/>
      <c r="J206" s="73">
        <f t="shared" si="175"/>
        <v>230</v>
      </c>
      <c r="K206" s="80">
        <f t="shared" si="176"/>
        <v>440</v>
      </c>
      <c r="L206" s="78"/>
      <c r="M206" s="60"/>
      <c r="N206" s="73">
        <f t="shared" si="177"/>
        <v>230</v>
      </c>
      <c r="O206" s="80">
        <f t="shared" si="178"/>
        <v>440</v>
      </c>
      <c r="P206" s="73"/>
      <c r="Q206" s="76"/>
    </row>
    <row r="207" spans="1:17" s="1" customFormat="1" x14ac:dyDescent="0.25">
      <c r="A207" s="4">
        <f t="shared" si="162"/>
        <v>6300</v>
      </c>
      <c r="B207" s="73">
        <f t="shared" si="171"/>
        <v>230</v>
      </c>
      <c r="C207" s="80">
        <f t="shared" si="172"/>
        <v>440</v>
      </c>
      <c r="D207" s="78"/>
      <c r="E207" s="11"/>
      <c r="F207" s="73">
        <f t="shared" si="173"/>
        <v>230</v>
      </c>
      <c r="G207" s="80">
        <f t="shared" si="174"/>
        <v>440</v>
      </c>
      <c r="H207" s="78"/>
      <c r="I207" s="48"/>
      <c r="J207" s="73">
        <f t="shared" si="175"/>
        <v>230</v>
      </c>
      <c r="K207" s="80">
        <f t="shared" si="176"/>
        <v>440</v>
      </c>
      <c r="L207" s="78"/>
      <c r="M207" s="60"/>
      <c r="N207" s="73">
        <f t="shared" si="177"/>
        <v>230</v>
      </c>
      <c r="O207" s="80">
        <f t="shared" si="178"/>
        <v>440</v>
      </c>
      <c r="P207" s="73"/>
      <c r="Q207" s="76"/>
    </row>
    <row r="208" spans="1:17" s="1" customFormat="1" x14ac:dyDescent="0.25"/>
    <row r="209" spans="1:17" x14ac:dyDescent="0.25">
      <c r="A209" s="234" t="s">
        <v>55</v>
      </c>
      <c r="B209" s="235"/>
      <c r="C209" s="235"/>
      <c r="D209" s="235"/>
    </row>
    <row r="211" spans="1:17" x14ac:dyDescent="0.25">
      <c r="A211" s="229" t="s">
        <v>5</v>
      </c>
      <c r="B211" s="229" t="s">
        <v>6</v>
      </c>
      <c r="C211" s="230"/>
      <c r="D211" s="230"/>
      <c r="E211" s="230"/>
      <c r="F211" s="230"/>
      <c r="G211" s="230"/>
      <c r="H211" s="230"/>
      <c r="I211" s="230"/>
      <c r="J211" s="230" t="s">
        <v>7</v>
      </c>
      <c r="K211" s="230"/>
      <c r="L211" s="230"/>
      <c r="M211" s="230"/>
      <c r="N211" s="230"/>
      <c r="O211" s="230"/>
      <c r="P211" s="230"/>
      <c r="Q211" s="231"/>
    </row>
    <row r="212" spans="1:17" x14ac:dyDescent="0.25">
      <c r="A212" s="227"/>
      <c r="B212" s="229" t="s">
        <v>8</v>
      </c>
      <c r="C212" s="230"/>
      <c r="D212" s="230"/>
      <c r="E212" s="231"/>
      <c r="F212" s="228" t="s">
        <v>9</v>
      </c>
      <c r="G212" s="225"/>
      <c r="H212" s="225"/>
      <c r="I212" s="226"/>
      <c r="J212" s="229" t="s">
        <v>8</v>
      </c>
      <c r="K212" s="230"/>
      <c r="L212" s="230"/>
      <c r="M212" s="230"/>
      <c r="N212" s="225" t="s">
        <v>9</v>
      </c>
      <c r="O212" s="225"/>
      <c r="P212" s="225"/>
      <c r="Q212" s="225"/>
    </row>
    <row r="213" spans="1:17" x14ac:dyDescent="0.25">
      <c r="A213" s="227"/>
      <c r="B213" s="30" t="s">
        <v>24</v>
      </c>
      <c r="C213" s="30" t="s">
        <v>27</v>
      </c>
      <c r="D213" s="30" t="s">
        <v>36</v>
      </c>
      <c r="E213" s="4" t="s">
        <v>26</v>
      </c>
      <c r="F213" s="30" t="s">
        <v>24</v>
      </c>
      <c r="G213" s="30" t="s">
        <v>27</v>
      </c>
      <c r="H213" s="30" t="s">
        <v>36</v>
      </c>
      <c r="I213" s="4" t="s">
        <v>26</v>
      </c>
      <c r="J213" s="30" t="s">
        <v>24</v>
      </c>
      <c r="K213" s="30" t="s">
        <v>27</v>
      </c>
      <c r="L213" s="30" t="s">
        <v>36</v>
      </c>
      <c r="M213" s="4" t="s">
        <v>26</v>
      </c>
      <c r="N213" s="30" t="s">
        <v>24</v>
      </c>
      <c r="O213" s="30" t="s">
        <v>27</v>
      </c>
      <c r="P213" s="30" t="s">
        <v>36</v>
      </c>
      <c r="Q213" s="4" t="s">
        <v>26</v>
      </c>
    </row>
    <row r="214" spans="1:17" s="1" customFormat="1" x14ac:dyDescent="0.25">
      <c r="A214" s="4">
        <f t="shared" ref="A214:A229" si="179">A9</f>
        <v>160</v>
      </c>
      <c r="B214" s="81">
        <v>40</v>
      </c>
      <c r="C214" s="82">
        <f t="shared" ref="C214:C218" si="180">140+B214+210</f>
        <v>390</v>
      </c>
      <c r="D214" s="82">
        <f t="shared" ref="D214:D218" si="181">11+93+90+140</f>
        <v>334</v>
      </c>
      <c r="E214" s="11"/>
      <c r="F214" s="81">
        <v>40</v>
      </c>
      <c r="G214" s="82">
        <f t="shared" ref="G214:G218" si="182">140+F214+210</f>
        <v>390</v>
      </c>
      <c r="H214" s="82">
        <f t="shared" ref="H214:H218" si="183">11+93+90+140</f>
        <v>334</v>
      </c>
      <c r="I214" s="48"/>
      <c r="J214" s="81">
        <v>40</v>
      </c>
      <c r="K214" s="82">
        <f t="shared" ref="K214:K218" si="184">140+J214+210</f>
        <v>390</v>
      </c>
      <c r="L214" s="82">
        <f t="shared" ref="L214:L218" si="185">11+93+90+140</f>
        <v>334</v>
      </c>
      <c r="M214" s="60"/>
      <c r="N214" s="81">
        <v>40</v>
      </c>
      <c r="O214" s="82">
        <f t="shared" ref="O214:O218" si="186">140+N214+210</f>
        <v>390</v>
      </c>
      <c r="P214" s="82">
        <f t="shared" ref="P214:P218" si="187">11+93+90+140</f>
        <v>334</v>
      </c>
      <c r="Q214" s="4"/>
    </row>
    <row r="215" spans="1:17" s="1" customFormat="1" x14ac:dyDescent="0.25">
      <c r="A215" s="4">
        <f t="shared" si="179"/>
        <v>250</v>
      </c>
      <c r="B215" s="81">
        <v>40</v>
      </c>
      <c r="C215" s="82">
        <f t="shared" si="180"/>
        <v>390</v>
      </c>
      <c r="D215" s="82">
        <f t="shared" si="181"/>
        <v>334</v>
      </c>
      <c r="E215" s="4"/>
      <c r="F215" s="81">
        <v>40</v>
      </c>
      <c r="G215" s="82">
        <f t="shared" si="182"/>
        <v>390</v>
      </c>
      <c r="H215" s="82">
        <f t="shared" si="183"/>
        <v>334</v>
      </c>
      <c r="I215" s="4"/>
      <c r="J215" s="81">
        <v>40</v>
      </c>
      <c r="K215" s="82">
        <f t="shared" si="184"/>
        <v>390</v>
      </c>
      <c r="L215" s="82">
        <f t="shared" si="185"/>
        <v>334</v>
      </c>
      <c r="M215" s="4"/>
      <c r="N215" s="81">
        <v>40</v>
      </c>
      <c r="O215" s="82">
        <f t="shared" si="186"/>
        <v>390</v>
      </c>
      <c r="P215" s="82">
        <f t="shared" si="187"/>
        <v>334</v>
      </c>
      <c r="Q215" s="4"/>
    </row>
    <row r="216" spans="1:17" s="1" customFormat="1" x14ac:dyDescent="0.25">
      <c r="A216" s="4">
        <f t="shared" si="179"/>
        <v>315</v>
      </c>
      <c r="B216" s="81">
        <v>40</v>
      </c>
      <c r="C216" s="82">
        <f t="shared" si="180"/>
        <v>390</v>
      </c>
      <c r="D216" s="82">
        <f t="shared" si="181"/>
        <v>334</v>
      </c>
      <c r="E216" s="11"/>
      <c r="F216" s="81">
        <v>40</v>
      </c>
      <c r="G216" s="82">
        <f t="shared" si="182"/>
        <v>390</v>
      </c>
      <c r="H216" s="82">
        <f t="shared" si="183"/>
        <v>334</v>
      </c>
      <c r="I216" s="48"/>
      <c r="J216" s="81">
        <v>40</v>
      </c>
      <c r="K216" s="82">
        <f t="shared" si="184"/>
        <v>390</v>
      </c>
      <c r="L216" s="82">
        <f t="shared" si="185"/>
        <v>334</v>
      </c>
      <c r="M216" s="60"/>
      <c r="N216" s="81">
        <v>40</v>
      </c>
      <c r="O216" s="82">
        <f t="shared" si="186"/>
        <v>390</v>
      </c>
      <c r="P216" s="82">
        <f t="shared" si="187"/>
        <v>334</v>
      </c>
      <c r="Q216" s="4"/>
    </row>
    <row r="217" spans="1:17" s="1" customFormat="1" x14ac:dyDescent="0.25">
      <c r="A217" s="4">
        <f t="shared" si="179"/>
        <v>400</v>
      </c>
      <c r="B217" s="81">
        <v>40</v>
      </c>
      <c r="C217" s="82">
        <f t="shared" si="180"/>
        <v>390</v>
      </c>
      <c r="D217" s="82">
        <f t="shared" si="181"/>
        <v>334</v>
      </c>
      <c r="E217" s="4"/>
      <c r="F217" s="81">
        <v>40</v>
      </c>
      <c r="G217" s="82">
        <f t="shared" si="182"/>
        <v>390</v>
      </c>
      <c r="H217" s="82">
        <f t="shared" si="183"/>
        <v>334</v>
      </c>
      <c r="I217" s="4"/>
      <c r="J217" s="81">
        <v>40</v>
      </c>
      <c r="K217" s="82">
        <f t="shared" si="184"/>
        <v>390</v>
      </c>
      <c r="L217" s="82">
        <f t="shared" si="185"/>
        <v>334</v>
      </c>
      <c r="M217" s="4"/>
      <c r="N217" s="81">
        <v>40</v>
      </c>
      <c r="O217" s="82">
        <f t="shared" si="186"/>
        <v>390</v>
      </c>
      <c r="P217" s="82">
        <f t="shared" si="187"/>
        <v>334</v>
      </c>
      <c r="Q217" s="4"/>
    </row>
    <row r="218" spans="1:17" s="1" customFormat="1" x14ac:dyDescent="0.25">
      <c r="A218" s="4">
        <f t="shared" si="179"/>
        <v>500</v>
      </c>
      <c r="B218" s="81">
        <v>40</v>
      </c>
      <c r="C218" s="82">
        <f t="shared" si="180"/>
        <v>390</v>
      </c>
      <c r="D218" s="82">
        <f t="shared" si="181"/>
        <v>334</v>
      </c>
      <c r="E218" s="11"/>
      <c r="F218" s="81">
        <v>40</v>
      </c>
      <c r="G218" s="82">
        <f t="shared" si="182"/>
        <v>390</v>
      </c>
      <c r="H218" s="82">
        <f t="shared" si="183"/>
        <v>334</v>
      </c>
      <c r="I218" s="48"/>
      <c r="J218" s="81">
        <v>40</v>
      </c>
      <c r="K218" s="82">
        <f t="shared" si="184"/>
        <v>390</v>
      </c>
      <c r="L218" s="82">
        <f t="shared" si="185"/>
        <v>334</v>
      </c>
      <c r="M218" s="60"/>
      <c r="N218" s="81">
        <v>40</v>
      </c>
      <c r="O218" s="82">
        <f t="shared" si="186"/>
        <v>390</v>
      </c>
      <c r="P218" s="82">
        <f t="shared" si="187"/>
        <v>334</v>
      </c>
      <c r="Q218" s="4"/>
    </row>
    <row r="219" spans="1:17" x14ac:dyDescent="0.25">
      <c r="A219" s="4">
        <f t="shared" si="179"/>
        <v>630</v>
      </c>
      <c r="B219" s="81">
        <v>40</v>
      </c>
      <c r="C219" s="82">
        <f t="shared" ref="C219:C229" si="188">140+B219+210</f>
        <v>390</v>
      </c>
      <c r="D219" s="82">
        <f t="shared" ref="D219:D229" si="189">11+93+90+140</f>
        <v>334</v>
      </c>
      <c r="E219" s="4"/>
      <c r="F219" s="81">
        <v>40</v>
      </c>
      <c r="G219" s="82">
        <f t="shared" ref="G219:G229" si="190">140+F219+210</f>
        <v>390</v>
      </c>
      <c r="H219" s="82">
        <f t="shared" ref="H219:H229" si="191">11+93+90+140</f>
        <v>334</v>
      </c>
      <c r="I219" s="4"/>
      <c r="J219" s="81">
        <v>40</v>
      </c>
      <c r="K219" s="82">
        <f t="shared" ref="K219:K229" si="192">140+J219+210</f>
        <v>390</v>
      </c>
      <c r="L219" s="82">
        <f t="shared" ref="L219:L229" si="193">11+93+90+140</f>
        <v>334</v>
      </c>
      <c r="M219" s="4"/>
      <c r="N219" s="81">
        <v>40</v>
      </c>
      <c r="O219" s="82">
        <f t="shared" ref="O219:O229" si="194">140+N219+210</f>
        <v>390</v>
      </c>
      <c r="P219" s="82">
        <f t="shared" ref="P219:P229" si="195">11+93+90+140</f>
        <v>334</v>
      </c>
      <c r="Q219" s="4"/>
    </row>
    <row r="220" spans="1:17" x14ac:dyDescent="0.25">
      <c r="A220" s="4">
        <f t="shared" si="179"/>
        <v>800</v>
      </c>
      <c r="B220" s="81">
        <v>40</v>
      </c>
      <c r="C220" s="82">
        <f t="shared" si="188"/>
        <v>390</v>
      </c>
      <c r="D220" s="82">
        <f t="shared" si="189"/>
        <v>334</v>
      </c>
      <c r="E220" s="11"/>
      <c r="F220" s="81">
        <v>40</v>
      </c>
      <c r="G220" s="82">
        <f t="shared" si="190"/>
        <v>390</v>
      </c>
      <c r="H220" s="82">
        <f t="shared" si="191"/>
        <v>334</v>
      </c>
      <c r="I220" s="48"/>
      <c r="J220" s="81">
        <v>40</v>
      </c>
      <c r="K220" s="82">
        <f t="shared" si="192"/>
        <v>390</v>
      </c>
      <c r="L220" s="82">
        <f t="shared" si="193"/>
        <v>334</v>
      </c>
      <c r="M220" s="60"/>
      <c r="N220" s="81">
        <v>40</v>
      </c>
      <c r="O220" s="82">
        <f t="shared" si="194"/>
        <v>390</v>
      </c>
      <c r="P220" s="82">
        <f t="shared" si="195"/>
        <v>334</v>
      </c>
      <c r="Q220" s="76"/>
    </row>
    <row r="221" spans="1:17" x14ac:dyDescent="0.25">
      <c r="A221" s="4">
        <f t="shared" si="179"/>
        <v>1000</v>
      </c>
      <c r="B221" s="81">
        <v>40</v>
      </c>
      <c r="C221" s="82">
        <f t="shared" si="188"/>
        <v>390</v>
      </c>
      <c r="D221" s="82">
        <f t="shared" si="189"/>
        <v>334</v>
      </c>
      <c r="E221" s="11"/>
      <c r="F221" s="81">
        <v>40</v>
      </c>
      <c r="G221" s="82">
        <f t="shared" si="190"/>
        <v>390</v>
      </c>
      <c r="H221" s="82">
        <f t="shared" si="191"/>
        <v>334</v>
      </c>
      <c r="I221" s="48"/>
      <c r="J221" s="81">
        <v>40</v>
      </c>
      <c r="K221" s="82">
        <f t="shared" si="192"/>
        <v>390</v>
      </c>
      <c r="L221" s="82">
        <f t="shared" si="193"/>
        <v>334</v>
      </c>
      <c r="M221" s="60"/>
      <c r="N221" s="81">
        <v>40</v>
      </c>
      <c r="O221" s="82">
        <f t="shared" si="194"/>
        <v>390</v>
      </c>
      <c r="P221" s="82">
        <f t="shared" si="195"/>
        <v>334</v>
      </c>
      <c r="Q221" s="76"/>
    </row>
    <row r="222" spans="1:17" x14ac:dyDescent="0.25">
      <c r="A222" s="4">
        <f t="shared" si="179"/>
        <v>1250</v>
      </c>
      <c r="B222" s="81">
        <v>40</v>
      </c>
      <c r="C222" s="82">
        <f t="shared" si="188"/>
        <v>390</v>
      </c>
      <c r="D222" s="82">
        <f t="shared" si="189"/>
        <v>334</v>
      </c>
      <c r="E222" s="11"/>
      <c r="F222" s="81">
        <v>40</v>
      </c>
      <c r="G222" s="82">
        <f t="shared" si="190"/>
        <v>390</v>
      </c>
      <c r="H222" s="82">
        <f t="shared" si="191"/>
        <v>334</v>
      </c>
      <c r="I222" s="48"/>
      <c r="J222" s="81">
        <v>40</v>
      </c>
      <c r="K222" s="82">
        <f t="shared" si="192"/>
        <v>390</v>
      </c>
      <c r="L222" s="82">
        <f t="shared" si="193"/>
        <v>334</v>
      </c>
      <c r="M222" s="60"/>
      <c r="N222" s="81">
        <v>40</v>
      </c>
      <c r="O222" s="82">
        <f t="shared" si="194"/>
        <v>390</v>
      </c>
      <c r="P222" s="82">
        <f t="shared" si="195"/>
        <v>334</v>
      </c>
      <c r="Q222" s="76"/>
    </row>
    <row r="223" spans="1:17" x14ac:dyDescent="0.25">
      <c r="A223" s="4">
        <f t="shared" si="179"/>
        <v>1600</v>
      </c>
      <c r="B223" s="81">
        <v>40</v>
      </c>
      <c r="C223" s="82">
        <f t="shared" si="188"/>
        <v>390</v>
      </c>
      <c r="D223" s="82">
        <f t="shared" si="189"/>
        <v>334</v>
      </c>
      <c r="E223" s="11"/>
      <c r="F223" s="81">
        <v>40</v>
      </c>
      <c r="G223" s="82">
        <f t="shared" si="190"/>
        <v>390</v>
      </c>
      <c r="H223" s="82">
        <f t="shared" si="191"/>
        <v>334</v>
      </c>
      <c r="I223" s="48"/>
      <c r="J223" s="81">
        <v>40</v>
      </c>
      <c r="K223" s="82">
        <f t="shared" si="192"/>
        <v>390</v>
      </c>
      <c r="L223" s="82">
        <f t="shared" si="193"/>
        <v>334</v>
      </c>
      <c r="M223" s="60"/>
      <c r="N223" s="81">
        <v>40</v>
      </c>
      <c r="O223" s="82">
        <f t="shared" si="194"/>
        <v>390</v>
      </c>
      <c r="P223" s="82">
        <f t="shared" si="195"/>
        <v>334</v>
      </c>
      <c r="Q223" s="76"/>
    </row>
    <row r="224" spans="1:17" x14ac:dyDescent="0.25">
      <c r="A224" s="4">
        <f t="shared" si="179"/>
        <v>2000</v>
      </c>
      <c r="B224" s="81">
        <v>40</v>
      </c>
      <c r="C224" s="82">
        <f t="shared" si="188"/>
        <v>390</v>
      </c>
      <c r="D224" s="82">
        <f t="shared" si="189"/>
        <v>334</v>
      </c>
      <c r="E224" s="11"/>
      <c r="F224" s="81">
        <v>40</v>
      </c>
      <c r="G224" s="82">
        <f t="shared" si="190"/>
        <v>390</v>
      </c>
      <c r="H224" s="82">
        <f t="shared" si="191"/>
        <v>334</v>
      </c>
      <c r="I224" s="48"/>
      <c r="J224" s="81">
        <v>40</v>
      </c>
      <c r="K224" s="82">
        <f t="shared" si="192"/>
        <v>390</v>
      </c>
      <c r="L224" s="82">
        <f t="shared" si="193"/>
        <v>334</v>
      </c>
      <c r="M224" s="60"/>
      <c r="N224" s="81">
        <v>40</v>
      </c>
      <c r="O224" s="82">
        <f t="shared" si="194"/>
        <v>390</v>
      </c>
      <c r="P224" s="82">
        <f t="shared" si="195"/>
        <v>334</v>
      </c>
      <c r="Q224" s="76"/>
    </row>
    <row r="225" spans="1:17" x14ac:dyDescent="0.25">
      <c r="A225" s="4">
        <f t="shared" si="179"/>
        <v>2500</v>
      </c>
      <c r="B225" s="81">
        <v>40</v>
      </c>
      <c r="C225" s="82">
        <f t="shared" si="188"/>
        <v>390</v>
      </c>
      <c r="D225" s="82">
        <f t="shared" si="189"/>
        <v>334</v>
      </c>
      <c r="E225" s="11"/>
      <c r="F225" s="81">
        <v>40</v>
      </c>
      <c r="G225" s="82">
        <f t="shared" si="190"/>
        <v>390</v>
      </c>
      <c r="H225" s="82">
        <f t="shared" si="191"/>
        <v>334</v>
      </c>
      <c r="I225" s="48"/>
      <c r="J225" s="81">
        <v>40</v>
      </c>
      <c r="K225" s="82">
        <f t="shared" si="192"/>
        <v>390</v>
      </c>
      <c r="L225" s="82">
        <f t="shared" si="193"/>
        <v>334</v>
      </c>
      <c r="M225" s="60"/>
      <c r="N225" s="81">
        <v>40</v>
      </c>
      <c r="O225" s="82">
        <f t="shared" si="194"/>
        <v>390</v>
      </c>
      <c r="P225" s="82">
        <f t="shared" si="195"/>
        <v>334</v>
      </c>
      <c r="Q225" s="76"/>
    </row>
    <row r="226" spans="1:17" x14ac:dyDescent="0.25">
      <c r="A226" s="4">
        <f t="shared" si="179"/>
        <v>3200</v>
      </c>
      <c r="B226" s="81">
        <v>40</v>
      </c>
      <c r="C226" s="82">
        <f t="shared" si="188"/>
        <v>390</v>
      </c>
      <c r="D226" s="82">
        <f t="shared" si="189"/>
        <v>334</v>
      </c>
      <c r="E226" s="11"/>
      <c r="F226" s="81">
        <v>40</v>
      </c>
      <c r="G226" s="82">
        <f t="shared" si="190"/>
        <v>390</v>
      </c>
      <c r="H226" s="82">
        <f t="shared" si="191"/>
        <v>334</v>
      </c>
      <c r="I226" s="48"/>
      <c r="J226" s="81">
        <v>40</v>
      </c>
      <c r="K226" s="82">
        <f t="shared" si="192"/>
        <v>390</v>
      </c>
      <c r="L226" s="82">
        <f t="shared" si="193"/>
        <v>334</v>
      </c>
      <c r="M226" s="60"/>
      <c r="N226" s="81">
        <v>40</v>
      </c>
      <c r="O226" s="82">
        <f t="shared" si="194"/>
        <v>390</v>
      </c>
      <c r="P226" s="82">
        <f t="shared" si="195"/>
        <v>334</v>
      </c>
      <c r="Q226" s="76"/>
    </row>
    <row r="227" spans="1:17" x14ac:dyDescent="0.25">
      <c r="A227" s="4">
        <f t="shared" si="179"/>
        <v>4000</v>
      </c>
      <c r="B227" s="81">
        <v>40</v>
      </c>
      <c r="C227" s="82">
        <f t="shared" si="188"/>
        <v>390</v>
      </c>
      <c r="D227" s="82">
        <f t="shared" si="189"/>
        <v>334</v>
      </c>
      <c r="E227" s="11"/>
      <c r="F227" s="81">
        <v>40</v>
      </c>
      <c r="G227" s="82">
        <f t="shared" si="190"/>
        <v>390</v>
      </c>
      <c r="H227" s="82">
        <f t="shared" si="191"/>
        <v>334</v>
      </c>
      <c r="I227" s="48"/>
      <c r="J227" s="81">
        <v>40</v>
      </c>
      <c r="K227" s="82">
        <f t="shared" si="192"/>
        <v>390</v>
      </c>
      <c r="L227" s="82">
        <f t="shared" si="193"/>
        <v>334</v>
      </c>
      <c r="M227" s="60"/>
      <c r="N227" s="81">
        <v>40</v>
      </c>
      <c r="O227" s="82">
        <f t="shared" si="194"/>
        <v>390</v>
      </c>
      <c r="P227" s="82">
        <f t="shared" si="195"/>
        <v>334</v>
      </c>
      <c r="Q227" s="76"/>
    </row>
    <row r="228" spans="1:17" x14ac:dyDescent="0.25">
      <c r="A228" s="4">
        <f t="shared" si="179"/>
        <v>5000</v>
      </c>
      <c r="B228" s="81">
        <v>40</v>
      </c>
      <c r="C228" s="82">
        <f t="shared" si="188"/>
        <v>390</v>
      </c>
      <c r="D228" s="82">
        <f t="shared" si="189"/>
        <v>334</v>
      </c>
      <c r="E228" s="11"/>
      <c r="F228" s="81">
        <v>40</v>
      </c>
      <c r="G228" s="82">
        <f t="shared" si="190"/>
        <v>390</v>
      </c>
      <c r="H228" s="82">
        <f t="shared" si="191"/>
        <v>334</v>
      </c>
      <c r="I228" s="48"/>
      <c r="J228" s="81">
        <v>40</v>
      </c>
      <c r="K228" s="82">
        <f t="shared" si="192"/>
        <v>390</v>
      </c>
      <c r="L228" s="82">
        <f t="shared" si="193"/>
        <v>334</v>
      </c>
      <c r="M228" s="60"/>
      <c r="N228" s="81">
        <v>40</v>
      </c>
      <c r="O228" s="82">
        <f t="shared" si="194"/>
        <v>390</v>
      </c>
      <c r="P228" s="82">
        <f t="shared" si="195"/>
        <v>334</v>
      </c>
      <c r="Q228" s="76"/>
    </row>
    <row r="229" spans="1:17" x14ac:dyDescent="0.25">
      <c r="A229" s="4">
        <f t="shared" si="179"/>
        <v>6300</v>
      </c>
      <c r="B229" s="81">
        <v>40</v>
      </c>
      <c r="C229" s="82">
        <f t="shared" si="188"/>
        <v>390</v>
      </c>
      <c r="D229" s="82">
        <f t="shared" si="189"/>
        <v>334</v>
      </c>
      <c r="E229" s="11"/>
      <c r="F229" s="81">
        <v>40</v>
      </c>
      <c r="G229" s="82">
        <f t="shared" si="190"/>
        <v>390</v>
      </c>
      <c r="H229" s="82">
        <f t="shared" si="191"/>
        <v>334</v>
      </c>
      <c r="I229" s="48"/>
      <c r="J229" s="81">
        <v>40</v>
      </c>
      <c r="K229" s="82">
        <f t="shared" si="192"/>
        <v>390</v>
      </c>
      <c r="L229" s="82">
        <f t="shared" si="193"/>
        <v>334</v>
      </c>
      <c r="M229" s="60"/>
      <c r="N229" s="81">
        <v>40</v>
      </c>
      <c r="O229" s="82">
        <f t="shared" si="194"/>
        <v>390</v>
      </c>
      <c r="P229" s="82">
        <f t="shared" si="195"/>
        <v>334</v>
      </c>
      <c r="Q229" s="76"/>
    </row>
    <row r="231" spans="1:17" x14ac:dyDescent="0.25">
      <c r="A231" s="234" t="s">
        <v>56</v>
      </c>
      <c r="B231" s="235"/>
      <c r="C231" s="235"/>
      <c r="D231" s="235"/>
    </row>
    <row r="233" spans="1:17" x14ac:dyDescent="0.25">
      <c r="A233" s="229" t="s">
        <v>5</v>
      </c>
      <c r="B233" s="227" t="s">
        <v>6</v>
      </c>
      <c r="C233" s="227"/>
      <c r="D233" s="227"/>
      <c r="E233" s="227"/>
      <c r="F233" s="227"/>
      <c r="G233" s="227"/>
      <c r="H233" s="227"/>
      <c r="I233" s="227"/>
      <c r="J233" s="230" t="s">
        <v>7</v>
      </c>
      <c r="K233" s="230"/>
      <c r="L233" s="230"/>
      <c r="M233" s="230"/>
      <c r="N233" s="230"/>
      <c r="O233" s="230"/>
      <c r="P233" s="230"/>
      <c r="Q233" s="231"/>
    </row>
    <row r="234" spans="1:17" x14ac:dyDescent="0.25">
      <c r="A234" s="227"/>
      <c r="B234" s="229" t="s">
        <v>8</v>
      </c>
      <c r="C234" s="230"/>
      <c r="D234" s="230"/>
      <c r="E234" s="231"/>
      <c r="F234" s="228" t="s">
        <v>9</v>
      </c>
      <c r="G234" s="225"/>
      <c r="H234" s="225"/>
      <c r="I234" s="226"/>
      <c r="J234" s="227" t="s">
        <v>8</v>
      </c>
      <c r="K234" s="227"/>
      <c r="L234" s="227"/>
      <c r="M234" s="227"/>
      <c r="N234" s="225" t="s">
        <v>9</v>
      </c>
      <c r="O234" s="225"/>
      <c r="P234" s="225"/>
      <c r="Q234" s="226"/>
    </row>
    <row r="235" spans="1:17" x14ac:dyDescent="0.25">
      <c r="A235" s="227"/>
      <c r="B235" s="30" t="s">
        <v>24</v>
      </c>
      <c r="C235" s="30" t="s">
        <v>27</v>
      </c>
      <c r="D235" s="30" t="s">
        <v>36</v>
      </c>
      <c r="E235" s="4" t="s">
        <v>26</v>
      </c>
      <c r="F235" s="30" t="s">
        <v>24</v>
      </c>
      <c r="G235" s="30" t="s">
        <v>27</v>
      </c>
      <c r="H235" s="30" t="s">
        <v>36</v>
      </c>
      <c r="I235" s="4" t="s">
        <v>26</v>
      </c>
      <c r="J235" s="30" t="s">
        <v>24</v>
      </c>
      <c r="K235" s="30" t="s">
        <v>27</v>
      </c>
      <c r="L235" s="30" t="s">
        <v>36</v>
      </c>
      <c r="M235" s="4" t="s">
        <v>26</v>
      </c>
      <c r="N235" s="30" t="s">
        <v>24</v>
      </c>
      <c r="O235" s="30" t="s">
        <v>27</v>
      </c>
      <c r="P235" s="30" t="s">
        <v>36</v>
      </c>
      <c r="Q235" s="4" t="s">
        <v>26</v>
      </c>
    </row>
    <row r="236" spans="1:17" s="1" customFormat="1" x14ac:dyDescent="0.25">
      <c r="A236" s="4">
        <f t="shared" ref="A236:A251" si="196">A9</f>
        <v>160</v>
      </c>
      <c r="B236" s="81">
        <v>40</v>
      </c>
      <c r="C236" s="82">
        <f t="shared" ref="C236:C246" si="197">18+1.5+E9+1.5+18+B236+210</f>
        <v>319</v>
      </c>
      <c r="D236" s="82">
        <f t="shared" ref="D236:D246" si="198">11+93+90+E9+18+1.5</f>
        <v>243.5</v>
      </c>
      <c r="E236" s="11"/>
      <c r="F236" s="81">
        <v>40</v>
      </c>
      <c r="G236" s="82">
        <f t="shared" ref="G236:G247" si="199">18+1.5+K9+1.5+18+F236+210</f>
        <v>319</v>
      </c>
      <c r="H236" s="82">
        <f t="shared" ref="H236:H247" si="200">11+93+90+K9+18+1.5</f>
        <v>243.5</v>
      </c>
      <c r="I236" s="48"/>
      <c r="J236" s="81">
        <f t="shared" ref="J236:J240" si="201">B236</f>
        <v>40</v>
      </c>
      <c r="K236" s="82">
        <f t="shared" ref="K236:K240" si="202">C236</f>
        <v>319</v>
      </c>
      <c r="L236" s="82">
        <f t="shared" ref="L236:L240" si="203">D236</f>
        <v>243.5</v>
      </c>
      <c r="M236" s="60"/>
      <c r="N236" s="81">
        <f t="shared" ref="N236:N240" si="204">F236</f>
        <v>40</v>
      </c>
      <c r="O236" s="82">
        <f t="shared" ref="O236:O240" si="205">G236</f>
        <v>319</v>
      </c>
      <c r="P236" s="82">
        <f t="shared" ref="P236:P240" si="206">H236</f>
        <v>243.5</v>
      </c>
      <c r="Q236" s="4"/>
    </row>
    <row r="237" spans="1:17" s="1" customFormat="1" x14ac:dyDescent="0.25">
      <c r="A237" s="4">
        <f t="shared" si="196"/>
        <v>250</v>
      </c>
      <c r="B237" s="81">
        <v>40</v>
      </c>
      <c r="C237" s="82">
        <f t="shared" si="197"/>
        <v>319</v>
      </c>
      <c r="D237" s="82">
        <f t="shared" si="198"/>
        <v>243.5</v>
      </c>
      <c r="E237" s="4"/>
      <c r="F237" s="81">
        <v>40</v>
      </c>
      <c r="G237" s="82">
        <f t="shared" si="199"/>
        <v>319</v>
      </c>
      <c r="H237" s="82">
        <f t="shared" si="200"/>
        <v>243.5</v>
      </c>
      <c r="I237" s="4"/>
      <c r="J237" s="81">
        <f t="shared" si="201"/>
        <v>40</v>
      </c>
      <c r="K237" s="82">
        <f t="shared" si="202"/>
        <v>319</v>
      </c>
      <c r="L237" s="82">
        <f t="shared" si="203"/>
        <v>243.5</v>
      </c>
      <c r="M237" s="4"/>
      <c r="N237" s="81">
        <f t="shared" si="204"/>
        <v>40</v>
      </c>
      <c r="O237" s="82">
        <f t="shared" si="205"/>
        <v>319</v>
      </c>
      <c r="P237" s="82">
        <f t="shared" si="206"/>
        <v>243.5</v>
      </c>
      <c r="Q237" s="4"/>
    </row>
    <row r="238" spans="1:17" s="1" customFormat="1" x14ac:dyDescent="0.25">
      <c r="A238" s="4">
        <f t="shared" si="196"/>
        <v>315</v>
      </c>
      <c r="B238" s="81">
        <v>40</v>
      </c>
      <c r="C238" s="82">
        <f t="shared" si="197"/>
        <v>319</v>
      </c>
      <c r="D238" s="82">
        <f t="shared" si="198"/>
        <v>243.5</v>
      </c>
      <c r="E238" s="11"/>
      <c r="F238" s="81">
        <v>40</v>
      </c>
      <c r="G238" s="82">
        <f t="shared" si="199"/>
        <v>319</v>
      </c>
      <c r="H238" s="82">
        <f t="shared" si="200"/>
        <v>243.5</v>
      </c>
      <c r="I238" s="48"/>
      <c r="J238" s="81">
        <f t="shared" si="201"/>
        <v>40</v>
      </c>
      <c r="K238" s="82">
        <f t="shared" si="202"/>
        <v>319</v>
      </c>
      <c r="L238" s="82">
        <f t="shared" si="203"/>
        <v>243.5</v>
      </c>
      <c r="M238" s="60"/>
      <c r="N238" s="81">
        <f t="shared" si="204"/>
        <v>40</v>
      </c>
      <c r="O238" s="82">
        <f t="shared" si="205"/>
        <v>319</v>
      </c>
      <c r="P238" s="82">
        <f t="shared" si="206"/>
        <v>243.5</v>
      </c>
      <c r="Q238" s="4"/>
    </row>
    <row r="239" spans="1:17" s="1" customFormat="1" x14ac:dyDescent="0.25">
      <c r="A239" s="4">
        <f t="shared" si="196"/>
        <v>400</v>
      </c>
      <c r="B239" s="81">
        <v>40</v>
      </c>
      <c r="C239" s="82">
        <f t="shared" si="197"/>
        <v>319</v>
      </c>
      <c r="D239" s="82">
        <f t="shared" si="198"/>
        <v>243.5</v>
      </c>
      <c r="E239" s="4"/>
      <c r="F239" s="81">
        <v>40</v>
      </c>
      <c r="G239" s="82">
        <f t="shared" si="199"/>
        <v>319</v>
      </c>
      <c r="H239" s="82">
        <f t="shared" si="200"/>
        <v>243.5</v>
      </c>
      <c r="I239" s="4"/>
      <c r="J239" s="81">
        <f t="shared" si="201"/>
        <v>40</v>
      </c>
      <c r="K239" s="82">
        <f t="shared" si="202"/>
        <v>319</v>
      </c>
      <c r="L239" s="82">
        <f t="shared" si="203"/>
        <v>243.5</v>
      </c>
      <c r="M239" s="4"/>
      <c r="N239" s="81">
        <f t="shared" si="204"/>
        <v>40</v>
      </c>
      <c r="O239" s="82">
        <f t="shared" si="205"/>
        <v>319</v>
      </c>
      <c r="P239" s="82">
        <f t="shared" si="206"/>
        <v>243.5</v>
      </c>
      <c r="Q239" s="4"/>
    </row>
    <row r="240" spans="1:17" s="1" customFormat="1" x14ac:dyDescent="0.25">
      <c r="A240" s="4">
        <f t="shared" si="196"/>
        <v>500</v>
      </c>
      <c r="B240" s="81">
        <v>40</v>
      </c>
      <c r="C240" s="82">
        <f t="shared" si="197"/>
        <v>329</v>
      </c>
      <c r="D240" s="82">
        <f t="shared" si="198"/>
        <v>253.5</v>
      </c>
      <c r="E240" s="11"/>
      <c r="F240" s="81">
        <v>40</v>
      </c>
      <c r="G240" s="82">
        <f t="shared" si="199"/>
        <v>319</v>
      </c>
      <c r="H240" s="82">
        <f t="shared" si="200"/>
        <v>243.5</v>
      </c>
      <c r="I240" s="48"/>
      <c r="J240" s="81">
        <f t="shared" si="201"/>
        <v>40</v>
      </c>
      <c r="K240" s="82">
        <f t="shared" si="202"/>
        <v>329</v>
      </c>
      <c r="L240" s="82">
        <f t="shared" si="203"/>
        <v>253.5</v>
      </c>
      <c r="M240" s="60"/>
      <c r="N240" s="81">
        <f t="shared" si="204"/>
        <v>40</v>
      </c>
      <c r="O240" s="82">
        <f t="shared" si="205"/>
        <v>319</v>
      </c>
      <c r="P240" s="82">
        <f t="shared" si="206"/>
        <v>243.5</v>
      </c>
      <c r="Q240" s="4"/>
    </row>
    <row r="241" spans="1:17" x14ac:dyDescent="0.25">
      <c r="A241" s="4">
        <f t="shared" si="196"/>
        <v>630</v>
      </c>
      <c r="B241" s="81">
        <v>40</v>
      </c>
      <c r="C241" s="82">
        <f t="shared" si="197"/>
        <v>339</v>
      </c>
      <c r="D241" s="82">
        <f t="shared" si="198"/>
        <v>263.5</v>
      </c>
      <c r="E241" s="4"/>
      <c r="F241" s="81">
        <v>40</v>
      </c>
      <c r="G241" s="82">
        <f t="shared" si="199"/>
        <v>329</v>
      </c>
      <c r="H241" s="82">
        <f t="shared" si="200"/>
        <v>253.5</v>
      </c>
      <c r="I241" s="4"/>
      <c r="J241" s="81">
        <f t="shared" ref="J241:J251" si="207">B241</f>
        <v>40</v>
      </c>
      <c r="K241" s="82">
        <f t="shared" ref="K241:K251" si="208">C241</f>
        <v>339</v>
      </c>
      <c r="L241" s="82">
        <f t="shared" ref="L241:L251" si="209">D241</f>
        <v>263.5</v>
      </c>
      <c r="M241" s="4"/>
      <c r="N241" s="81">
        <f t="shared" ref="N241:N251" si="210">F241</f>
        <v>40</v>
      </c>
      <c r="O241" s="82">
        <f t="shared" ref="O241:O251" si="211">G241</f>
        <v>329</v>
      </c>
      <c r="P241" s="82">
        <f t="shared" ref="P241:P251" si="212">H241</f>
        <v>253.5</v>
      </c>
      <c r="Q241" s="4"/>
    </row>
    <row r="242" spans="1:17" x14ac:dyDescent="0.25">
      <c r="A242" s="4">
        <f t="shared" si="196"/>
        <v>800</v>
      </c>
      <c r="B242" s="81">
        <v>40</v>
      </c>
      <c r="C242" s="82">
        <f t="shared" si="197"/>
        <v>354</v>
      </c>
      <c r="D242" s="82">
        <f t="shared" si="198"/>
        <v>278.5</v>
      </c>
      <c r="E242" s="11"/>
      <c r="F242" s="81">
        <v>40</v>
      </c>
      <c r="G242" s="82">
        <f t="shared" si="199"/>
        <v>349</v>
      </c>
      <c r="H242" s="82">
        <f t="shared" si="200"/>
        <v>273.5</v>
      </c>
      <c r="I242" s="48"/>
      <c r="J242" s="81">
        <f t="shared" si="207"/>
        <v>40</v>
      </c>
      <c r="K242" s="82">
        <f t="shared" si="208"/>
        <v>354</v>
      </c>
      <c r="L242" s="82">
        <f t="shared" si="209"/>
        <v>278.5</v>
      </c>
      <c r="M242" s="60"/>
      <c r="N242" s="81">
        <f t="shared" si="210"/>
        <v>40</v>
      </c>
      <c r="O242" s="82">
        <f t="shared" si="211"/>
        <v>349</v>
      </c>
      <c r="P242" s="82">
        <f t="shared" si="212"/>
        <v>273.5</v>
      </c>
      <c r="Q242" s="76"/>
    </row>
    <row r="243" spans="1:17" x14ac:dyDescent="0.25">
      <c r="A243" s="4">
        <f t="shared" si="196"/>
        <v>1000</v>
      </c>
      <c r="B243" s="81">
        <v>40</v>
      </c>
      <c r="C243" s="82">
        <f t="shared" si="197"/>
        <v>389</v>
      </c>
      <c r="D243" s="82">
        <f t="shared" si="198"/>
        <v>313.5</v>
      </c>
      <c r="E243" s="11"/>
      <c r="F243" s="81">
        <v>40</v>
      </c>
      <c r="G243" s="82">
        <f t="shared" si="199"/>
        <v>354</v>
      </c>
      <c r="H243" s="82">
        <f t="shared" si="200"/>
        <v>278.5</v>
      </c>
      <c r="I243" s="48"/>
      <c r="J243" s="81">
        <f t="shared" si="207"/>
        <v>40</v>
      </c>
      <c r="K243" s="82">
        <f t="shared" si="208"/>
        <v>389</v>
      </c>
      <c r="L243" s="82">
        <f t="shared" si="209"/>
        <v>313.5</v>
      </c>
      <c r="M243" s="60"/>
      <c r="N243" s="81">
        <f t="shared" si="210"/>
        <v>40</v>
      </c>
      <c r="O243" s="82">
        <f t="shared" si="211"/>
        <v>354</v>
      </c>
      <c r="P243" s="82">
        <f t="shared" si="212"/>
        <v>278.5</v>
      </c>
      <c r="Q243" s="76"/>
    </row>
    <row r="244" spans="1:17" x14ac:dyDescent="0.25">
      <c r="A244" s="4">
        <f t="shared" si="196"/>
        <v>1250</v>
      </c>
      <c r="B244" s="81">
        <v>40</v>
      </c>
      <c r="C244" s="82">
        <f t="shared" si="197"/>
        <v>419</v>
      </c>
      <c r="D244" s="82">
        <f t="shared" si="198"/>
        <v>343.5</v>
      </c>
      <c r="E244" s="11"/>
      <c r="F244" s="81">
        <v>40</v>
      </c>
      <c r="G244" s="82">
        <f t="shared" si="199"/>
        <v>369</v>
      </c>
      <c r="H244" s="82">
        <f t="shared" si="200"/>
        <v>293.5</v>
      </c>
      <c r="I244" s="48"/>
      <c r="J244" s="81">
        <f t="shared" si="207"/>
        <v>40</v>
      </c>
      <c r="K244" s="82">
        <f t="shared" si="208"/>
        <v>419</v>
      </c>
      <c r="L244" s="82">
        <f t="shared" si="209"/>
        <v>343.5</v>
      </c>
      <c r="M244" s="60"/>
      <c r="N244" s="81">
        <f t="shared" si="210"/>
        <v>40</v>
      </c>
      <c r="O244" s="82">
        <f t="shared" si="211"/>
        <v>369</v>
      </c>
      <c r="P244" s="82">
        <f t="shared" si="212"/>
        <v>293.5</v>
      </c>
      <c r="Q244" s="76"/>
    </row>
    <row r="245" spans="1:17" x14ac:dyDescent="0.25">
      <c r="A245" s="4">
        <f t="shared" si="196"/>
        <v>1600</v>
      </c>
      <c r="B245" s="81">
        <v>40</v>
      </c>
      <c r="C245" s="82">
        <f t="shared" si="197"/>
        <v>449</v>
      </c>
      <c r="D245" s="82">
        <f t="shared" si="198"/>
        <v>373.5</v>
      </c>
      <c r="E245" s="11"/>
      <c r="F245" s="81">
        <v>40</v>
      </c>
      <c r="G245" s="82">
        <f t="shared" si="199"/>
        <v>389</v>
      </c>
      <c r="H245" s="82">
        <f t="shared" si="200"/>
        <v>313.5</v>
      </c>
      <c r="I245" s="48"/>
      <c r="J245" s="81">
        <f t="shared" si="207"/>
        <v>40</v>
      </c>
      <c r="K245" s="82">
        <f t="shared" si="208"/>
        <v>449</v>
      </c>
      <c r="L245" s="82">
        <f t="shared" si="209"/>
        <v>373.5</v>
      </c>
      <c r="M245" s="60"/>
      <c r="N245" s="81">
        <f t="shared" si="210"/>
        <v>40</v>
      </c>
      <c r="O245" s="82">
        <f t="shared" si="211"/>
        <v>389</v>
      </c>
      <c r="P245" s="82">
        <f t="shared" si="212"/>
        <v>313.5</v>
      </c>
      <c r="Q245" s="76"/>
    </row>
    <row r="246" spans="1:17" x14ac:dyDescent="0.25">
      <c r="A246" s="4">
        <f t="shared" si="196"/>
        <v>2000</v>
      </c>
      <c r="B246" s="81">
        <v>40</v>
      </c>
      <c r="C246" s="82">
        <f t="shared" si="197"/>
        <v>489</v>
      </c>
      <c r="D246" s="82">
        <f t="shared" si="198"/>
        <v>413.5</v>
      </c>
      <c r="E246" s="11"/>
      <c r="F246" s="81">
        <v>40</v>
      </c>
      <c r="G246" s="82">
        <f t="shared" si="199"/>
        <v>449</v>
      </c>
      <c r="H246" s="82">
        <f t="shared" si="200"/>
        <v>373.5</v>
      </c>
      <c r="I246" s="48"/>
      <c r="J246" s="81">
        <f t="shared" si="207"/>
        <v>40</v>
      </c>
      <c r="K246" s="82">
        <f t="shared" si="208"/>
        <v>489</v>
      </c>
      <c r="L246" s="82">
        <f t="shared" si="209"/>
        <v>413.5</v>
      </c>
      <c r="M246" s="60"/>
      <c r="N246" s="81">
        <f t="shared" si="210"/>
        <v>40</v>
      </c>
      <c r="O246" s="82">
        <f t="shared" si="211"/>
        <v>449</v>
      </c>
      <c r="P246" s="82">
        <f t="shared" si="212"/>
        <v>373.5</v>
      </c>
      <c r="Q246" s="76"/>
    </row>
    <row r="247" spans="1:17" x14ac:dyDescent="0.25">
      <c r="A247" s="4">
        <f t="shared" si="196"/>
        <v>2500</v>
      </c>
      <c r="B247" s="81">
        <v>40</v>
      </c>
      <c r="C247" s="82">
        <f>18+1.5+(D20*E20)+1.5+18+B247+210</f>
        <v>549</v>
      </c>
      <c r="D247" s="82">
        <f>11+93+90+(D20*E20)+18+1.5</f>
        <v>473.5</v>
      </c>
      <c r="E247" s="11"/>
      <c r="F247" s="81">
        <v>40</v>
      </c>
      <c r="G247" s="82">
        <f t="shared" si="199"/>
        <v>489</v>
      </c>
      <c r="H247" s="82">
        <f t="shared" si="200"/>
        <v>413.5</v>
      </c>
      <c r="I247" s="48"/>
      <c r="J247" s="81">
        <f t="shared" si="207"/>
        <v>40</v>
      </c>
      <c r="K247" s="82">
        <f t="shared" si="208"/>
        <v>549</v>
      </c>
      <c r="L247" s="82">
        <f t="shared" si="209"/>
        <v>473.5</v>
      </c>
      <c r="M247" s="60"/>
      <c r="N247" s="81">
        <f t="shared" si="210"/>
        <v>40</v>
      </c>
      <c r="O247" s="82">
        <f t="shared" si="211"/>
        <v>489</v>
      </c>
      <c r="P247" s="82">
        <f t="shared" si="212"/>
        <v>413.5</v>
      </c>
      <c r="Q247" s="76"/>
    </row>
    <row r="248" spans="1:17" x14ac:dyDescent="0.25">
      <c r="A248" s="4">
        <f t="shared" si="196"/>
        <v>3200</v>
      </c>
      <c r="B248" s="81">
        <v>40</v>
      </c>
      <c r="C248" s="82">
        <f>18+1.5+(D21*E21)+1.5+18+B248+210</f>
        <v>609</v>
      </c>
      <c r="D248" s="82">
        <f>11+93+90+(D21*E21)+18+1.5</f>
        <v>533.5</v>
      </c>
      <c r="E248" s="11"/>
      <c r="F248" s="81">
        <v>40</v>
      </c>
      <c r="G248" s="82">
        <f>18+1.5+(J21*K21)+1.5+18+F248+210</f>
        <v>549</v>
      </c>
      <c r="H248" s="82">
        <f t="shared" ref="H248:H251" si="213">11+93+90+(J21*K21)+18+1.5</f>
        <v>473.5</v>
      </c>
      <c r="I248" s="48"/>
      <c r="J248" s="81">
        <f t="shared" si="207"/>
        <v>40</v>
      </c>
      <c r="K248" s="82">
        <f t="shared" si="208"/>
        <v>609</v>
      </c>
      <c r="L248" s="82">
        <f t="shared" si="209"/>
        <v>533.5</v>
      </c>
      <c r="M248" s="60"/>
      <c r="N248" s="81">
        <f t="shared" si="210"/>
        <v>40</v>
      </c>
      <c r="O248" s="82">
        <f t="shared" si="211"/>
        <v>549</v>
      </c>
      <c r="P248" s="82">
        <f t="shared" si="212"/>
        <v>473.5</v>
      </c>
      <c r="Q248" s="76"/>
    </row>
    <row r="249" spans="1:17" x14ac:dyDescent="0.25">
      <c r="A249" s="4">
        <f t="shared" si="196"/>
        <v>4000</v>
      </c>
      <c r="B249" s="81">
        <v>40</v>
      </c>
      <c r="C249" s="82">
        <f>18+1.5+(D22*E22)+1.5+18+B249+210</f>
        <v>689</v>
      </c>
      <c r="D249" s="82">
        <f>11+93+90+(D22*E22)+18+1.5</f>
        <v>613.5</v>
      </c>
      <c r="E249" s="11"/>
      <c r="F249" s="81">
        <v>40</v>
      </c>
      <c r="G249" s="82">
        <f>18+1.5+(J22*K22)+1.5+18+F249+210</f>
        <v>609</v>
      </c>
      <c r="H249" s="82">
        <f t="shared" si="213"/>
        <v>533.5</v>
      </c>
      <c r="I249" s="48"/>
      <c r="J249" s="81">
        <f t="shared" si="207"/>
        <v>40</v>
      </c>
      <c r="K249" s="82">
        <f t="shared" si="208"/>
        <v>689</v>
      </c>
      <c r="L249" s="82">
        <f t="shared" si="209"/>
        <v>613.5</v>
      </c>
      <c r="M249" s="60"/>
      <c r="N249" s="81">
        <f t="shared" si="210"/>
        <v>40</v>
      </c>
      <c r="O249" s="82">
        <f t="shared" si="211"/>
        <v>609</v>
      </c>
      <c r="P249" s="82">
        <f t="shared" si="212"/>
        <v>533.5</v>
      </c>
      <c r="Q249" s="76"/>
    </row>
    <row r="250" spans="1:17" x14ac:dyDescent="0.25">
      <c r="A250" s="4">
        <f t="shared" si="196"/>
        <v>5000</v>
      </c>
      <c r="B250" s="81">
        <v>40</v>
      </c>
      <c r="C250" s="82">
        <f>18+1.5+(D23*E23)+1.5+18+B250+210</f>
        <v>809</v>
      </c>
      <c r="D250" s="82">
        <f>11+93+90+(D23*E23)+18+1.5</f>
        <v>733.5</v>
      </c>
      <c r="E250" s="11"/>
      <c r="F250" s="81">
        <v>40</v>
      </c>
      <c r="G250" s="82">
        <f>18+1.5+(J23*K23)+1.5+18+F250+210</f>
        <v>689</v>
      </c>
      <c r="H250" s="82">
        <f t="shared" si="213"/>
        <v>613.5</v>
      </c>
      <c r="I250" s="48"/>
      <c r="J250" s="81">
        <f t="shared" si="207"/>
        <v>40</v>
      </c>
      <c r="K250" s="82">
        <f t="shared" si="208"/>
        <v>809</v>
      </c>
      <c r="L250" s="82">
        <f t="shared" si="209"/>
        <v>733.5</v>
      </c>
      <c r="M250" s="60"/>
      <c r="N250" s="81">
        <f t="shared" si="210"/>
        <v>40</v>
      </c>
      <c r="O250" s="82">
        <f t="shared" si="211"/>
        <v>689</v>
      </c>
      <c r="P250" s="82">
        <f t="shared" si="212"/>
        <v>613.5</v>
      </c>
      <c r="Q250" s="76"/>
    </row>
    <row r="251" spans="1:17" x14ac:dyDescent="0.25">
      <c r="A251" s="4">
        <f t="shared" si="196"/>
        <v>6300</v>
      </c>
      <c r="B251" s="81">
        <v>40</v>
      </c>
      <c r="C251" s="82">
        <f>18+1.5+(D24*E24)+1.5+18+B251+210</f>
        <v>929</v>
      </c>
      <c r="D251" s="82">
        <f>11+93+90+(D24*E24)+18+1.5</f>
        <v>853.5</v>
      </c>
      <c r="E251" s="11"/>
      <c r="F251" s="81">
        <v>40</v>
      </c>
      <c r="G251" s="82">
        <f>18+1.5+(J24*K24)+1.5+18+F251+210</f>
        <v>889</v>
      </c>
      <c r="H251" s="82">
        <f t="shared" si="213"/>
        <v>813.5</v>
      </c>
      <c r="I251" s="48"/>
      <c r="J251" s="81">
        <f t="shared" si="207"/>
        <v>40</v>
      </c>
      <c r="K251" s="82">
        <f t="shared" si="208"/>
        <v>929</v>
      </c>
      <c r="L251" s="82">
        <f t="shared" si="209"/>
        <v>853.5</v>
      </c>
      <c r="M251" s="60"/>
      <c r="N251" s="81">
        <f t="shared" si="210"/>
        <v>40</v>
      </c>
      <c r="O251" s="82">
        <f t="shared" si="211"/>
        <v>889</v>
      </c>
      <c r="P251" s="82">
        <f t="shared" si="212"/>
        <v>813.5</v>
      </c>
      <c r="Q251" s="76"/>
    </row>
  </sheetData>
  <mergeCells count="95">
    <mergeCell ref="B32:F32"/>
    <mergeCell ref="P7:R7"/>
    <mergeCell ref="A187:D187"/>
    <mergeCell ref="A189:A191"/>
    <mergeCell ref="B190:E190"/>
    <mergeCell ref="B189:I189"/>
    <mergeCell ref="F190:I190"/>
    <mergeCell ref="J189:Q189"/>
    <mergeCell ref="J190:M190"/>
    <mergeCell ref="N190:Q190"/>
    <mergeCell ref="A101:A103"/>
    <mergeCell ref="A59:A61"/>
    <mergeCell ref="A81:A83"/>
    <mergeCell ref="B82:E82"/>
    <mergeCell ref="F82:I82"/>
    <mergeCell ref="J82:M82"/>
    <mergeCell ref="B81:I81"/>
    <mergeCell ref="A1:Y1"/>
    <mergeCell ref="A25:A28"/>
    <mergeCell ref="B28:N28"/>
    <mergeCell ref="B27:N27"/>
    <mergeCell ref="B26:N26"/>
    <mergeCell ref="B25:N25"/>
    <mergeCell ref="A5:A7"/>
    <mergeCell ref="B5:M5"/>
    <mergeCell ref="N5:Y5"/>
    <mergeCell ref="B6:G6"/>
    <mergeCell ref="H6:M6"/>
    <mergeCell ref="N6:S6"/>
    <mergeCell ref="T6:Y6"/>
    <mergeCell ref="D7:F7"/>
    <mergeCell ref="J7:L7"/>
    <mergeCell ref="V7:X7"/>
    <mergeCell ref="B36:K36"/>
    <mergeCell ref="A36:A38"/>
    <mergeCell ref="N82:Q82"/>
    <mergeCell ref="G60:K60"/>
    <mergeCell ref="B60:F60"/>
    <mergeCell ref="L59:U59"/>
    <mergeCell ref="B59:K59"/>
    <mergeCell ref="L36:U36"/>
    <mergeCell ref="Q37:U37"/>
    <mergeCell ref="Q60:U60"/>
    <mergeCell ref="L60:P60"/>
    <mergeCell ref="B37:F37"/>
    <mergeCell ref="G37:K37"/>
    <mergeCell ref="L37:P37"/>
    <mergeCell ref="J81:Q81"/>
    <mergeCell ref="A100:C100"/>
    <mergeCell ref="A164:D164"/>
    <mergeCell ref="J145:M145"/>
    <mergeCell ref="J144:Q144"/>
    <mergeCell ref="N145:Q145"/>
    <mergeCell ref="B101:I101"/>
    <mergeCell ref="B102:E102"/>
    <mergeCell ref="F102:I102"/>
    <mergeCell ref="J101:Q101"/>
    <mergeCell ref="J102:M102"/>
    <mergeCell ref="N102:Q102"/>
    <mergeCell ref="J122:Q122"/>
    <mergeCell ref="A122:A124"/>
    <mergeCell ref="F123:I123"/>
    <mergeCell ref="B123:E123"/>
    <mergeCell ref="J123:M123"/>
    <mergeCell ref="N123:Q123"/>
    <mergeCell ref="A120:C120"/>
    <mergeCell ref="B122:I122"/>
    <mergeCell ref="A144:A146"/>
    <mergeCell ref="J233:Q233"/>
    <mergeCell ref="A209:D209"/>
    <mergeCell ref="A211:A213"/>
    <mergeCell ref="B211:I211"/>
    <mergeCell ref="J211:Q211"/>
    <mergeCell ref="B212:E212"/>
    <mergeCell ref="F212:I212"/>
    <mergeCell ref="J212:M212"/>
    <mergeCell ref="N212:Q212"/>
    <mergeCell ref="A231:D231"/>
    <mergeCell ref="A233:A235"/>
    <mergeCell ref="B233:I233"/>
    <mergeCell ref="N234:Q234"/>
    <mergeCell ref="J234:M234"/>
    <mergeCell ref="F234:I234"/>
    <mergeCell ref="B234:E234"/>
    <mergeCell ref="A142:D142"/>
    <mergeCell ref="J167:M167"/>
    <mergeCell ref="N167:Q167"/>
    <mergeCell ref="B166:I166"/>
    <mergeCell ref="J166:Q166"/>
    <mergeCell ref="A166:A168"/>
    <mergeCell ref="F167:I167"/>
    <mergeCell ref="B167:E167"/>
    <mergeCell ref="B144:I144"/>
    <mergeCell ref="F145:I145"/>
    <mergeCell ref="B145:E145"/>
  </mergeCells>
  <hyperlinks>
    <hyperlink ref="AA27" r:id="rId1"/>
  </hyperlinks>
  <pageMargins left="0.23622047244094491" right="0.23622047244094491" top="0.74803149606299213" bottom="0.74803149606299213" header="0.31496062992125984" footer="0.31496062992125984"/>
  <pageSetup paperSize="9" scale="45" fitToHeight="0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2:D39"/>
  <sheetViews>
    <sheetView workbookViewId="0">
      <selection activeCell="C4" sqref="C4"/>
    </sheetView>
  </sheetViews>
  <sheetFormatPr defaultRowHeight="15" x14ac:dyDescent="0.25"/>
  <cols>
    <col min="3" max="3" width="18.5703125" customWidth="1"/>
    <col min="4" max="4" width="74.42578125" customWidth="1"/>
  </cols>
  <sheetData>
    <row r="2" spans="2:4" x14ac:dyDescent="0.25">
      <c r="B2" t="s">
        <v>62</v>
      </c>
      <c r="C2" t="s">
        <v>63</v>
      </c>
      <c r="D2" t="s">
        <v>64</v>
      </c>
    </row>
    <row r="3" spans="2:4" ht="30" x14ac:dyDescent="0.25">
      <c r="B3" s="179" t="s">
        <v>65</v>
      </c>
      <c r="C3" s="180">
        <v>46146</v>
      </c>
      <c r="D3" s="181" t="s">
        <v>66</v>
      </c>
    </row>
    <row r="4" spans="2:4" ht="30" x14ac:dyDescent="0.25">
      <c r="B4" s="184" t="s">
        <v>68</v>
      </c>
      <c r="C4" s="184" t="s">
        <v>69</v>
      </c>
      <c r="D4" s="183" t="s">
        <v>70</v>
      </c>
    </row>
    <row r="5" spans="2:4" x14ac:dyDescent="0.25">
      <c r="B5" s="178"/>
      <c r="C5" s="178"/>
      <c r="D5" s="178"/>
    </row>
    <row r="6" spans="2:4" x14ac:dyDescent="0.25">
      <c r="B6" s="178"/>
      <c r="C6" s="178"/>
      <c r="D6" s="178"/>
    </row>
    <row r="7" spans="2:4" x14ac:dyDescent="0.25">
      <c r="B7" s="178"/>
      <c r="C7" s="178"/>
      <c r="D7" s="178"/>
    </row>
    <row r="8" spans="2:4" x14ac:dyDescent="0.25">
      <c r="B8" s="178"/>
      <c r="C8" s="178"/>
      <c r="D8" s="178"/>
    </row>
    <row r="9" spans="2:4" x14ac:dyDescent="0.25">
      <c r="B9" s="178"/>
      <c r="C9" s="178"/>
      <c r="D9" s="178"/>
    </row>
    <row r="10" spans="2:4" x14ac:dyDescent="0.25">
      <c r="B10" s="178"/>
      <c r="C10" s="178"/>
      <c r="D10" s="178"/>
    </row>
    <row r="11" spans="2:4" x14ac:dyDescent="0.25">
      <c r="B11" s="178"/>
      <c r="C11" s="178"/>
      <c r="D11" s="178"/>
    </row>
    <row r="12" spans="2:4" x14ac:dyDescent="0.25">
      <c r="B12" s="178"/>
      <c r="C12" s="178"/>
      <c r="D12" s="178"/>
    </row>
    <row r="13" spans="2:4" x14ac:dyDescent="0.25">
      <c r="B13" s="178"/>
      <c r="C13" s="178"/>
      <c r="D13" s="178"/>
    </row>
    <row r="14" spans="2:4" x14ac:dyDescent="0.25">
      <c r="B14" s="178"/>
      <c r="C14" s="178"/>
      <c r="D14" s="178"/>
    </row>
    <row r="15" spans="2:4" x14ac:dyDescent="0.25">
      <c r="B15" s="178"/>
      <c r="C15" s="178"/>
      <c r="D15" s="178"/>
    </row>
    <row r="16" spans="2:4" x14ac:dyDescent="0.25">
      <c r="B16" s="178"/>
      <c r="C16" s="178"/>
      <c r="D16" s="178"/>
    </row>
    <row r="17" spans="2:4" x14ac:dyDescent="0.25">
      <c r="B17" s="178"/>
      <c r="C17" s="178"/>
      <c r="D17" s="178"/>
    </row>
    <row r="18" spans="2:4" x14ac:dyDescent="0.25">
      <c r="B18" s="178"/>
      <c r="C18" s="178"/>
      <c r="D18" s="178"/>
    </row>
    <row r="19" spans="2:4" x14ac:dyDescent="0.25">
      <c r="B19" s="178"/>
      <c r="C19" s="178"/>
      <c r="D19" s="178"/>
    </row>
    <row r="20" spans="2:4" x14ac:dyDescent="0.25">
      <c r="B20" s="178"/>
      <c r="C20" s="178"/>
      <c r="D20" s="178"/>
    </row>
    <row r="21" spans="2:4" x14ac:dyDescent="0.25">
      <c r="B21" s="178"/>
      <c r="C21" s="178"/>
      <c r="D21" s="178"/>
    </row>
    <row r="22" spans="2:4" x14ac:dyDescent="0.25">
      <c r="B22" s="178"/>
      <c r="C22" s="178"/>
      <c r="D22" s="178"/>
    </row>
    <row r="23" spans="2:4" x14ac:dyDescent="0.25">
      <c r="B23" s="178"/>
      <c r="C23" s="178"/>
      <c r="D23" s="178"/>
    </row>
    <row r="24" spans="2:4" x14ac:dyDescent="0.25">
      <c r="B24" s="178"/>
      <c r="C24" s="178"/>
      <c r="D24" s="178"/>
    </row>
    <row r="25" spans="2:4" x14ac:dyDescent="0.25">
      <c r="B25" s="178"/>
      <c r="C25" s="178"/>
      <c r="D25" s="178"/>
    </row>
    <row r="26" spans="2:4" x14ac:dyDescent="0.25">
      <c r="B26" s="178"/>
      <c r="C26" s="178"/>
      <c r="D26" s="178"/>
    </row>
    <row r="27" spans="2:4" x14ac:dyDescent="0.25">
      <c r="B27" s="178"/>
      <c r="C27" s="178"/>
      <c r="D27" s="178"/>
    </row>
    <row r="28" spans="2:4" x14ac:dyDescent="0.25">
      <c r="B28" s="178"/>
      <c r="C28" s="178"/>
      <c r="D28" s="178"/>
    </row>
    <row r="29" spans="2:4" x14ac:dyDescent="0.25">
      <c r="B29" s="178"/>
      <c r="C29" s="178"/>
      <c r="D29" s="178"/>
    </row>
    <row r="30" spans="2:4" x14ac:dyDescent="0.25">
      <c r="B30" s="178"/>
      <c r="C30" s="178"/>
      <c r="D30" s="178"/>
    </row>
    <row r="31" spans="2:4" x14ac:dyDescent="0.25">
      <c r="B31" s="178"/>
      <c r="C31" s="178"/>
      <c r="D31" s="178"/>
    </row>
    <row r="32" spans="2:4" x14ac:dyDescent="0.25">
      <c r="B32" s="178"/>
      <c r="C32" s="178"/>
      <c r="D32" s="178"/>
    </row>
    <row r="33" spans="2:4" x14ac:dyDescent="0.25">
      <c r="B33" s="178"/>
      <c r="C33" s="178"/>
      <c r="D33" s="178"/>
    </row>
    <row r="34" spans="2:4" x14ac:dyDescent="0.25">
      <c r="B34" s="178"/>
      <c r="C34" s="178"/>
      <c r="D34" s="178"/>
    </row>
    <row r="35" spans="2:4" x14ac:dyDescent="0.25">
      <c r="B35" s="178"/>
      <c r="C35" s="178"/>
      <c r="D35" s="178"/>
    </row>
    <row r="36" spans="2:4" x14ac:dyDescent="0.25">
      <c r="B36" s="178"/>
      <c r="C36" s="178"/>
      <c r="D36" s="178"/>
    </row>
    <row r="37" spans="2:4" x14ac:dyDescent="0.25">
      <c r="B37" s="178"/>
      <c r="C37" s="178"/>
      <c r="D37" s="178"/>
    </row>
    <row r="38" spans="2:4" x14ac:dyDescent="0.25">
      <c r="B38" s="178"/>
      <c r="C38" s="178"/>
      <c r="D38" s="178"/>
    </row>
    <row r="39" spans="2:4" x14ac:dyDescent="0.25">
      <c r="B39" s="178"/>
      <c r="C39" s="178"/>
      <c r="D39" s="178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K286"/>
  <sheetViews>
    <sheetView topLeftCell="A56" workbookViewId="0">
      <selection activeCell="V70" sqref="V70"/>
    </sheetView>
  </sheetViews>
  <sheetFormatPr defaultRowHeight="15" x14ac:dyDescent="0.25"/>
  <cols>
    <col min="1" max="1" width="24.42578125" style="1" bestFit="1" customWidth="1"/>
    <col min="2" max="2" width="7.5703125" style="1" bestFit="1" customWidth="1"/>
    <col min="3" max="3" width="6.140625" style="1" customWidth="1"/>
    <col min="4" max="4" width="11.42578125" style="1" bestFit="1" customWidth="1"/>
    <col min="5" max="6" width="7.28515625" style="1" customWidth="1"/>
    <col min="7" max="7" width="11.42578125" style="1" bestFit="1" customWidth="1"/>
    <col min="8" max="8" width="6.140625" style="1" bestFit="1" customWidth="1"/>
    <col min="9" max="9" width="7.7109375" style="1" customWidth="1"/>
    <col min="10" max="10" width="12.28515625" style="1" bestFit="1" customWidth="1"/>
    <col min="11" max="11" width="6.140625" style="1" bestFit="1" customWidth="1"/>
    <col min="12" max="12" width="6.140625" style="1" customWidth="1"/>
    <col min="13" max="13" width="11.28515625" style="1" customWidth="1"/>
    <col min="14" max="16" width="9.140625" style="1"/>
    <col min="17" max="17" width="9.5703125" style="1" bestFit="1" customWidth="1"/>
    <col min="18" max="23" width="9.140625" style="1"/>
    <col min="24" max="25" width="9.140625" style="1" customWidth="1"/>
    <col min="26" max="16384" width="9.140625" style="1"/>
  </cols>
  <sheetData>
    <row r="1" spans="1:25" ht="18.75" customHeight="1" x14ac:dyDescent="0.25">
      <c r="A1" s="244" t="s">
        <v>53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</row>
    <row r="3" spans="1:25" ht="18.75" x14ac:dyDescent="0.25">
      <c r="D3" s="246" t="s">
        <v>0</v>
      </c>
      <c r="E3" s="246"/>
      <c r="F3" s="246"/>
      <c r="G3" s="246"/>
      <c r="H3" s="246"/>
      <c r="I3" s="246"/>
      <c r="J3" s="246"/>
    </row>
    <row r="4" spans="1:25" ht="15" customHeight="1" x14ac:dyDescent="0.25">
      <c r="D4" s="246" t="s">
        <v>1</v>
      </c>
      <c r="E4" s="246"/>
      <c r="F4" s="246"/>
      <c r="G4" s="246"/>
      <c r="H4" s="246"/>
      <c r="I4" s="246"/>
      <c r="J4" s="246"/>
    </row>
    <row r="5" spans="1:25" x14ac:dyDescent="0.25">
      <c r="D5" s="247" t="s">
        <v>2</v>
      </c>
      <c r="E5" s="248"/>
      <c r="F5" s="248"/>
      <c r="G5" s="248"/>
      <c r="H5" s="248"/>
      <c r="I5" s="248"/>
      <c r="J5" s="249"/>
    </row>
    <row r="6" spans="1:25" x14ac:dyDescent="0.25">
      <c r="D6" s="247" t="s">
        <v>3</v>
      </c>
      <c r="E6" s="248"/>
      <c r="F6" s="249"/>
      <c r="G6" s="247" t="s">
        <v>4</v>
      </c>
      <c r="H6" s="248"/>
      <c r="I6" s="248"/>
      <c r="J6" s="249"/>
    </row>
    <row r="8" spans="1:25" x14ac:dyDescent="0.25">
      <c r="A8" s="227" t="s">
        <v>5</v>
      </c>
      <c r="B8" s="227" t="s">
        <v>6</v>
      </c>
      <c r="C8" s="227"/>
      <c r="D8" s="227"/>
      <c r="E8" s="227"/>
      <c r="F8" s="227"/>
      <c r="G8" s="227"/>
      <c r="H8" s="227"/>
      <c r="I8" s="227"/>
      <c r="J8" s="227"/>
      <c r="K8" s="227"/>
      <c r="L8" s="227"/>
      <c r="M8" s="227"/>
      <c r="N8" s="227" t="s">
        <v>7</v>
      </c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</row>
    <row r="9" spans="1:25" x14ac:dyDescent="0.25">
      <c r="A9" s="227"/>
      <c r="B9" s="227" t="s">
        <v>8</v>
      </c>
      <c r="C9" s="227"/>
      <c r="D9" s="227"/>
      <c r="E9" s="227"/>
      <c r="F9" s="227"/>
      <c r="G9" s="227"/>
      <c r="H9" s="233" t="s">
        <v>9</v>
      </c>
      <c r="I9" s="233"/>
      <c r="J9" s="233"/>
      <c r="K9" s="233"/>
      <c r="L9" s="233"/>
      <c r="M9" s="233"/>
      <c r="N9" s="227" t="s">
        <v>8</v>
      </c>
      <c r="O9" s="227"/>
      <c r="P9" s="227"/>
      <c r="Q9" s="227"/>
      <c r="R9" s="227"/>
      <c r="S9" s="227"/>
      <c r="T9" s="233" t="s">
        <v>9</v>
      </c>
      <c r="U9" s="233"/>
      <c r="V9" s="233"/>
      <c r="W9" s="233"/>
      <c r="X9" s="233"/>
      <c r="Y9" s="233"/>
    </row>
    <row r="10" spans="1:25" ht="30" x14ac:dyDescent="0.25">
      <c r="A10" s="227"/>
      <c r="B10" s="4" t="s">
        <v>10</v>
      </c>
      <c r="C10" s="4" t="s">
        <v>11</v>
      </c>
      <c r="D10" s="227" t="s">
        <v>12</v>
      </c>
      <c r="E10" s="227"/>
      <c r="F10" s="227"/>
      <c r="G10" s="5" t="s">
        <v>13</v>
      </c>
      <c r="H10" s="6" t="s">
        <v>10</v>
      </c>
      <c r="I10" s="6" t="s">
        <v>11</v>
      </c>
      <c r="J10" s="233" t="s">
        <v>12</v>
      </c>
      <c r="K10" s="233"/>
      <c r="L10" s="233"/>
      <c r="M10" s="7" t="s">
        <v>13</v>
      </c>
      <c r="N10" s="4" t="s">
        <v>10</v>
      </c>
      <c r="O10" s="4" t="s">
        <v>11</v>
      </c>
      <c r="P10" s="227" t="s">
        <v>12</v>
      </c>
      <c r="Q10" s="227"/>
      <c r="R10" s="227"/>
      <c r="S10" s="5" t="s">
        <v>13</v>
      </c>
      <c r="T10" s="6" t="s">
        <v>10</v>
      </c>
      <c r="U10" s="6" t="s">
        <v>11</v>
      </c>
      <c r="V10" s="233" t="s">
        <v>12</v>
      </c>
      <c r="W10" s="233"/>
      <c r="X10" s="233"/>
      <c r="Y10" s="7" t="s">
        <v>13</v>
      </c>
    </row>
    <row r="11" spans="1:25" ht="30" x14ac:dyDescent="0.25">
      <c r="A11" s="2"/>
      <c r="B11" s="4"/>
      <c r="C11" s="4"/>
      <c r="D11" s="8" t="s">
        <v>14</v>
      </c>
      <c r="E11" s="8" t="s">
        <v>15</v>
      </c>
      <c r="F11" s="8" t="s">
        <v>16</v>
      </c>
      <c r="G11" s="5"/>
      <c r="H11" s="6"/>
      <c r="I11" s="6"/>
      <c r="J11" s="9" t="s">
        <v>14</v>
      </c>
      <c r="K11" s="9" t="s">
        <v>15</v>
      </c>
      <c r="L11" s="9" t="s">
        <v>16</v>
      </c>
      <c r="M11" s="7"/>
      <c r="N11" s="4"/>
      <c r="O11" s="4"/>
      <c r="P11" s="8" t="s">
        <v>14</v>
      </c>
      <c r="Q11" s="8" t="s">
        <v>15</v>
      </c>
      <c r="R11" s="8" t="s">
        <v>16</v>
      </c>
      <c r="S11" s="5"/>
      <c r="T11" s="6"/>
      <c r="U11" s="6"/>
      <c r="V11" s="9" t="s">
        <v>14</v>
      </c>
      <c r="W11" s="9" t="s">
        <v>15</v>
      </c>
      <c r="X11" s="9" t="s">
        <v>16</v>
      </c>
      <c r="Y11" s="7"/>
    </row>
    <row r="12" spans="1:25" x14ac:dyDescent="0.25">
      <c r="A12" s="10">
        <v>160</v>
      </c>
      <c r="B12" s="11">
        <f t="shared" ref="B12:B20" si="0">E12+18+18+3</f>
        <v>69</v>
      </c>
      <c r="C12" s="11">
        <v>140</v>
      </c>
      <c r="D12" s="12">
        <v>1</v>
      </c>
      <c r="E12" s="12">
        <v>30</v>
      </c>
      <c r="F12" s="12">
        <v>6</v>
      </c>
      <c r="G12" s="13">
        <v>7.5</v>
      </c>
      <c r="H12" s="14">
        <f t="shared" ref="H12:H21" si="1">K12+18+18+3</f>
        <v>69</v>
      </c>
      <c r="I12" s="14">
        <v>140</v>
      </c>
      <c r="J12" s="15">
        <v>1</v>
      </c>
      <c r="K12" s="15">
        <v>30</v>
      </c>
      <c r="L12" s="6">
        <v>6</v>
      </c>
      <c r="M12" s="16">
        <v>18.399999999999999</v>
      </c>
      <c r="N12" s="11">
        <f t="shared" ref="N12:R25" si="2">B12</f>
        <v>69</v>
      </c>
      <c r="O12" s="11">
        <f t="shared" si="2"/>
        <v>140</v>
      </c>
      <c r="P12" s="12">
        <f>D12</f>
        <v>1</v>
      </c>
      <c r="Q12" s="17">
        <f>E12</f>
        <v>30</v>
      </c>
      <c r="R12" s="17">
        <f t="shared" ref="R12:R15" si="3">F12</f>
        <v>6</v>
      </c>
      <c r="S12" s="13">
        <v>6.7</v>
      </c>
      <c r="T12" s="14">
        <f t="shared" ref="T12:T25" si="4">H12</f>
        <v>69</v>
      </c>
      <c r="U12" s="14">
        <f t="shared" ref="U12:U25" si="5">C12</f>
        <v>140</v>
      </c>
      <c r="V12" s="14">
        <f t="shared" ref="V12:X25" si="6">J12</f>
        <v>1</v>
      </c>
      <c r="W12" s="14">
        <f t="shared" ref="W12:X15" si="7">K12</f>
        <v>30</v>
      </c>
      <c r="X12" s="14">
        <f t="shared" si="7"/>
        <v>6</v>
      </c>
      <c r="Y12" s="16">
        <v>18.5</v>
      </c>
    </row>
    <row r="13" spans="1:25" x14ac:dyDescent="0.25">
      <c r="A13" s="10">
        <v>250</v>
      </c>
      <c r="B13" s="11">
        <f t="shared" si="0"/>
        <v>69</v>
      </c>
      <c r="C13" s="11">
        <v>140</v>
      </c>
      <c r="D13" s="12">
        <v>1</v>
      </c>
      <c r="E13" s="12">
        <v>30</v>
      </c>
      <c r="F13" s="12">
        <v>6</v>
      </c>
      <c r="G13" s="13">
        <v>7.5</v>
      </c>
      <c r="H13" s="14">
        <f t="shared" si="1"/>
        <v>69</v>
      </c>
      <c r="I13" s="14">
        <v>140</v>
      </c>
      <c r="J13" s="15">
        <v>1</v>
      </c>
      <c r="K13" s="15">
        <v>30</v>
      </c>
      <c r="L13" s="6">
        <v>6</v>
      </c>
      <c r="M13" s="16">
        <v>18.399999999999999</v>
      </c>
      <c r="N13" s="11">
        <f t="shared" si="2"/>
        <v>69</v>
      </c>
      <c r="O13" s="11">
        <f t="shared" si="2"/>
        <v>140</v>
      </c>
      <c r="P13" s="12">
        <f t="shared" si="2"/>
        <v>1</v>
      </c>
      <c r="Q13" s="17">
        <f t="shared" si="2"/>
        <v>30</v>
      </c>
      <c r="R13" s="17">
        <f t="shared" si="3"/>
        <v>6</v>
      </c>
      <c r="S13" s="13">
        <v>7.7</v>
      </c>
      <c r="T13" s="14">
        <f t="shared" si="4"/>
        <v>69</v>
      </c>
      <c r="U13" s="14">
        <f t="shared" si="5"/>
        <v>140</v>
      </c>
      <c r="V13" s="14">
        <f t="shared" si="6"/>
        <v>1</v>
      </c>
      <c r="W13" s="14">
        <f t="shared" si="7"/>
        <v>30</v>
      </c>
      <c r="X13" s="14">
        <f t="shared" si="7"/>
        <v>6</v>
      </c>
      <c r="Y13" s="16">
        <v>19.5</v>
      </c>
    </row>
    <row r="14" spans="1:25" x14ac:dyDescent="0.25">
      <c r="A14" s="18">
        <v>400</v>
      </c>
      <c r="B14" s="11">
        <f t="shared" si="0"/>
        <v>69</v>
      </c>
      <c r="C14" s="11">
        <v>140</v>
      </c>
      <c r="D14" s="12">
        <v>1</v>
      </c>
      <c r="E14" s="12">
        <v>30</v>
      </c>
      <c r="F14" s="12">
        <v>6</v>
      </c>
      <c r="G14" s="13">
        <v>7.5</v>
      </c>
      <c r="H14" s="14">
        <f t="shared" si="1"/>
        <v>69</v>
      </c>
      <c r="I14" s="14">
        <v>140</v>
      </c>
      <c r="J14" s="15">
        <v>1</v>
      </c>
      <c r="K14" s="15">
        <v>30</v>
      </c>
      <c r="L14" s="6">
        <v>6</v>
      </c>
      <c r="M14" s="16">
        <v>18.399999999999999</v>
      </c>
      <c r="N14" s="11">
        <f t="shared" si="2"/>
        <v>69</v>
      </c>
      <c r="O14" s="11">
        <f>C14</f>
        <v>140</v>
      </c>
      <c r="P14" s="12">
        <f t="shared" si="2"/>
        <v>1</v>
      </c>
      <c r="Q14" s="17">
        <f t="shared" ref="Q14:Q15" si="8">E14</f>
        <v>30</v>
      </c>
      <c r="R14" s="17">
        <f t="shared" si="3"/>
        <v>6</v>
      </c>
      <c r="S14" s="13">
        <v>8.6999999999999993</v>
      </c>
      <c r="T14" s="14">
        <f t="shared" si="4"/>
        <v>69</v>
      </c>
      <c r="U14" s="14">
        <f t="shared" si="5"/>
        <v>140</v>
      </c>
      <c r="V14" s="14">
        <f t="shared" si="6"/>
        <v>1</v>
      </c>
      <c r="W14" s="14">
        <f t="shared" si="7"/>
        <v>30</v>
      </c>
      <c r="X14" s="14">
        <f t="shared" ref="X14:X15" si="9">L14</f>
        <v>6</v>
      </c>
      <c r="Y14" s="16">
        <v>20.5</v>
      </c>
    </row>
    <row r="15" spans="1:25" x14ac:dyDescent="0.25">
      <c r="A15" s="10">
        <v>630</v>
      </c>
      <c r="B15" s="11">
        <f t="shared" si="0"/>
        <v>89</v>
      </c>
      <c r="C15" s="4">
        <v>140</v>
      </c>
      <c r="D15" s="12">
        <v>1</v>
      </c>
      <c r="E15" s="2">
        <v>50</v>
      </c>
      <c r="F15" s="2">
        <v>6</v>
      </c>
      <c r="G15" s="4">
        <v>9.4</v>
      </c>
      <c r="H15" s="14">
        <f t="shared" si="1"/>
        <v>79</v>
      </c>
      <c r="I15" s="6">
        <f t="shared" ref="I15:I71" si="10">C15</f>
        <v>140</v>
      </c>
      <c r="J15" s="15">
        <v>1</v>
      </c>
      <c r="K15" s="6">
        <v>40</v>
      </c>
      <c r="L15" s="6">
        <v>6</v>
      </c>
      <c r="M15" s="6">
        <v>20.6</v>
      </c>
      <c r="N15" s="4">
        <f t="shared" si="2"/>
        <v>89</v>
      </c>
      <c r="O15" s="4">
        <f t="shared" si="2"/>
        <v>140</v>
      </c>
      <c r="P15" s="12">
        <f t="shared" si="2"/>
        <v>1</v>
      </c>
      <c r="Q15" s="2">
        <f t="shared" si="8"/>
        <v>50</v>
      </c>
      <c r="R15" s="2">
        <f t="shared" si="3"/>
        <v>6</v>
      </c>
      <c r="S15" s="4">
        <v>10.9</v>
      </c>
      <c r="T15" s="6">
        <f t="shared" si="4"/>
        <v>79</v>
      </c>
      <c r="U15" s="6">
        <f t="shared" si="5"/>
        <v>140</v>
      </c>
      <c r="V15" s="14">
        <f t="shared" si="6"/>
        <v>1</v>
      </c>
      <c r="W15" s="6">
        <f t="shared" si="7"/>
        <v>40</v>
      </c>
      <c r="X15" s="6">
        <f t="shared" si="9"/>
        <v>6</v>
      </c>
      <c r="Y15" s="6">
        <v>23</v>
      </c>
    </row>
    <row r="16" spans="1:25" x14ac:dyDescent="0.25">
      <c r="A16" s="4">
        <v>800</v>
      </c>
      <c r="B16" s="11">
        <f t="shared" si="0"/>
        <v>104</v>
      </c>
      <c r="C16" s="4">
        <f t="shared" ref="C16:C25" si="11">C15</f>
        <v>140</v>
      </c>
      <c r="D16" s="12">
        <v>1</v>
      </c>
      <c r="E16" s="2">
        <v>65</v>
      </c>
      <c r="F16" s="2">
        <v>6</v>
      </c>
      <c r="G16" s="19">
        <v>10.7</v>
      </c>
      <c r="H16" s="14">
        <f t="shared" si="1"/>
        <v>99</v>
      </c>
      <c r="I16" s="6">
        <f t="shared" si="10"/>
        <v>140</v>
      </c>
      <c r="J16" s="15">
        <v>1</v>
      </c>
      <c r="K16" s="6">
        <v>60</v>
      </c>
      <c r="L16" s="6">
        <f t="shared" ref="L16:L25" si="12">L15</f>
        <v>6</v>
      </c>
      <c r="M16" s="20">
        <v>20.6</v>
      </c>
      <c r="N16" s="4">
        <f t="shared" si="2"/>
        <v>104</v>
      </c>
      <c r="O16" s="4">
        <f t="shared" si="2"/>
        <v>140</v>
      </c>
      <c r="P16" s="12">
        <f t="shared" si="2"/>
        <v>1</v>
      </c>
      <c r="Q16" s="2">
        <f t="shared" si="2"/>
        <v>65</v>
      </c>
      <c r="R16" s="2">
        <f t="shared" si="2"/>
        <v>6</v>
      </c>
      <c r="S16" s="19">
        <v>12.3</v>
      </c>
      <c r="T16" s="6">
        <f t="shared" si="4"/>
        <v>99</v>
      </c>
      <c r="U16" s="6">
        <f t="shared" si="5"/>
        <v>140</v>
      </c>
      <c r="V16" s="14">
        <f t="shared" si="6"/>
        <v>1</v>
      </c>
      <c r="W16" s="6">
        <f t="shared" si="6"/>
        <v>60</v>
      </c>
      <c r="X16" s="6">
        <f t="shared" si="6"/>
        <v>6</v>
      </c>
      <c r="Y16" s="6">
        <v>23</v>
      </c>
    </row>
    <row r="17" spans="1:25" x14ac:dyDescent="0.25">
      <c r="A17" s="4">
        <v>1000</v>
      </c>
      <c r="B17" s="11">
        <f t="shared" si="0"/>
        <v>139</v>
      </c>
      <c r="C17" s="4">
        <f t="shared" si="11"/>
        <v>140</v>
      </c>
      <c r="D17" s="12">
        <v>1</v>
      </c>
      <c r="E17" s="2">
        <v>100</v>
      </c>
      <c r="F17" s="2">
        <v>6</v>
      </c>
      <c r="G17" s="19">
        <v>12.9</v>
      </c>
      <c r="H17" s="14">
        <f t="shared" si="1"/>
        <v>104</v>
      </c>
      <c r="I17" s="6">
        <f t="shared" si="10"/>
        <v>140</v>
      </c>
      <c r="J17" s="15">
        <v>1</v>
      </c>
      <c r="K17" s="6">
        <v>65</v>
      </c>
      <c r="L17" s="6">
        <f t="shared" si="12"/>
        <v>6</v>
      </c>
      <c r="M17" s="6">
        <v>22.6</v>
      </c>
      <c r="N17" s="4">
        <f t="shared" si="2"/>
        <v>139</v>
      </c>
      <c r="O17" s="4">
        <f t="shared" si="2"/>
        <v>140</v>
      </c>
      <c r="P17" s="12">
        <f t="shared" si="2"/>
        <v>1</v>
      </c>
      <c r="Q17" s="2">
        <f t="shared" si="2"/>
        <v>100</v>
      </c>
      <c r="R17" s="2">
        <f t="shared" si="2"/>
        <v>6</v>
      </c>
      <c r="S17" s="19">
        <v>13.7</v>
      </c>
      <c r="T17" s="6">
        <f t="shared" si="4"/>
        <v>104</v>
      </c>
      <c r="U17" s="6">
        <f t="shared" si="5"/>
        <v>140</v>
      </c>
      <c r="V17" s="14">
        <f t="shared" si="6"/>
        <v>1</v>
      </c>
      <c r="W17" s="6">
        <f t="shared" si="6"/>
        <v>65</v>
      </c>
      <c r="X17" s="6">
        <f t="shared" si="6"/>
        <v>6</v>
      </c>
      <c r="Y17" s="6">
        <v>25.6</v>
      </c>
    </row>
    <row r="18" spans="1:25" x14ac:dyDescent="0.25">
      <c r="A18" s="4">
        <v>1250</v>
      </c>
      <c r="B18" s="11">
        <f t="shared" si="0"/>
        <v>169</v>
      </c>
      <c r="C18" s="4">
        <f t="shared" si="11"/>
        <v>140</v>
      </c>
      <c r="D18" s="12">
        <v>1</v>
      </c>
      <c r="E18" s="2">
        <v>130</v>
      </c>
      <c r="F18" s="17">
        <v>6</v>
      </c>
      <c r="G18" s="19">
        <v>15.9</v>
      </c>
      <c r="H18" s="14">
        <f t="shared" si="1"/>
        <v>119</v>
      </c>
      <c r="I18" s="6">
        <f t="shared" si="10"/>
        <v>140</v>
      </c>
      <c r="J18" s="15">
        <v>1</v>
      </c>
      <c r="K18" s="6">
        <v>80</v>
      </c>
      <c r="L18" s="6">
        <f t="shared" si="12"/>
        <v>6</v>
      </c>
      <c r="M18" s="20">
        <v>25.6</v>
      </c>
      <c r="N18" s="4">
        <f t="shared" si="2"/>
        <v>169</v>
      </c>
      <c r="O18" s="4">
        <f t="shared" si="2"/>
        <v>140</v>
      </c>
      <c r="P18" s="12">
        <f t="shared" si="2"/>
        <v>1</v>
      </c>
      <c r="Q18" s="2">
        <f t="shared" si="2"/>
        <v>130</v>
      </c>
      <c r="R18" s="2">
        <f t="shared" si="2"/>
        <v>6</v>
      </c>
      <c r="S18" s="19">
        <v>18.8</v>
      </c>
      <c r="T18" s="6">
        <f t="shared" si="4"/>
        <v>119</v>
      </c>
      <c r="U18" s="6">
        <f t="shared" si="5"/>
        <v>140</v>
      </c>
      <c r="V18" s="14">
        <v>1</v>
      </c>
      <c r="W18" s="6">
        <f t="shared" si="6"/>
        <v>80</v>
      </c>
      <c r="X18" s="6">
        <f t="shared" si="6"/>
        <v>6</v>
      </c>
      <c r="Y18" s="6">
        <v>28.6</v>
      </c>
    </row>
    <row r="19" spans="1:25" x14ac:dyDescent="0.25">
      <c r="A19" s="4">
        <v>1600</v>
      </c>
      <c r="B19" s="11">
        <f t="shared" si="0"/>
        <v>199</v>
      </c>
      <c r="C19" s="4">
        <f t="shared" si="11"/>
        <v>140</v>
      </c>
      <c r="D19" s="12">
        <v>1</v>
      </c>
      <c r="E19" s="2">
        <v>160</v>
      </c>
      <c r="F19" s="2">
        <v>6</v>
      </c>
      <c r="G19" s="19">
        <v>19.399999999999999</v>
      </c>
      <c r="H19" s="14">
        <f t="shared" si="1"/>
        <v>139</v>
      </c>
      <c r="I19" s="6">
        <f t="shared" si="10"/>
        <v>140</v>
      </c>
      <c r="J19" s="15">
        <v>1</v>
      </c>
      <c r="K19" s="6">
        <v>100</v>
      </c>
      <c r="L19" s="6">
        <f t="shared" si="12"/>
        <v>6</v>
      </c>
      <c r="M19" s="20">
        <v>30.9</v>
      </c>
      <c r="N19" s="4">
        <f t="shared" si="2"/>
        <v>199</v>
      </c>
      <c r="O19" s="4">
        <f t="shared" si="2"/>
        <v>140</v>
      </c>
      <c r="P19" s="12">
        <f t="shared" si="2"/>
        <v>1</v>
      </c>
      <c r="Q19" s="2">
        <f t="shared" si="2"/>
        <v>160</v>
      </c>
      <c r="R19" s="2">
        <f t="shared" si="2"/>
        <v>6</v>
      </c>
      <c r="S19" s="19">
        <v>23.1</v>
      </c>
      <c r="T19" s="6">
        <f t="shared" si="4"/>
        <v>139</v>
      </c>
      <c r="U19" s="6">
        <f t="shared" si="5"/>
        <v>140</v>
      </c>
      <c r="V19" s="14">
        <v>1</v>
      </c>
      <c r="W19" s="6">
        <f t="shared" si="6"/>
        <v>100</v>
      </c>
      <c r="X19" s="6">
        <f t="shared" si="6"/>
        <v>6</v>
      </c>
      <c r="Y19" s="6">
        <v>36.9</v>
      </c>
    </row>
    <row r="20" spans="1:25" x14ac:dyDescent="0.25">
      <c r="A20" s="4">
        <v>2000</v>
      </c>
      <c r="B20" s="11">
        <f t="shared" si="0"/>
        <v>239</v>
      </c>
      <c r="C20" s="4">
        <f t="shared" si="11"/>
        <v>140</v>
      </c>
      <c r="D20" s="12">
        <v>1</v>
      </c>
      <c r="E20" s="2">
        <v>200</v>
      </c>
      <c r="F20" s="2">
        <v>6</v>
      </c>
      <c r="G20" s="19">
        <v>23.3</v>
      </c>
      <c r="H20" s="14">
        <f t="shared" si="1"/>
        <v>199</v>
      </c>
      <c r="I20" s="6">
        <f t="shared" si="10"/>
        <v>140</v>
      </c>
      <c r="J20" s="15">
        <v>1</v>
      </c>
      <c r="K20" s="6">
        <v>160</v>
      </c>
      <c r="L20" s="6">
        <f t="shared" si="12"/>
        <v>6</v>
      </c>
      <c r="M20" s="6">
        <v>38.799999999999997</v>
      </c>
      <c r="N20" s="4">
        <f t="shared" si="2"/>
        <v>239</v>
      </c>
      <c r="O20" s="4">
        <f t="shared" si="2"/>
        <v>140</v>
      </c>
      <c r="P20" s="12">
        <f t="shared" si="2"/>
        <v>1</v>
      </c>
      <c r="Q20" s="2">
        <f t="shared" si="2"/>
        <v>200</v>
      </c>
      <c r="R20" s="2">
        <f t="shared" si="2"/>
        <v>6</v>
      </c>
      <c r="S20" s="19">
        <v>27.5</v>
      </c>
      <c r="T20" s="6">
        <f t="shared" si="4"/>
        <v>199</v>
      </c>
      <c r="U20" s="6">
        <f t="shared" si="5"/>
        <v>140</v>
      </c>
      <c r="V20" s="14">
        <v>1</v>
      </c>
      <c r="W20" s="6">
        <f t="shared" si="6"/>
        <v>160</v>
      </c>
      <c r="X20" s="6">
        <f t="shared" si="6"/>
        <v>6</v>
      </c>
      <c r="Y20" s="6">
        <v>46.8</v>
      </c>
    </row>
    <row r="21" spans="1:25" x14ac:dyDescent="0.25">
      <c r="A21" s="4">
        <v>2500</v>
      </c>
      <c r="B21" s="11">
        <f t="shared" ref="B21:B23" si="13">(E21*D21)+18+18+(3*D21)+(3*D21)+40</f>
        <v>348</v>
      </c>
      <c r="C21" s="4">
        <f t="shared" si="11"/>
        <v>140</v>
      </c>
      <c r="D21" s="2">
        <v>2</v>
      </c>
      <c r="E21" s="2">
        <v>130</v>
      </c>
      <c r="F21" s="2">
        <v>6</v>
      </c>
      <c r="G21" s="19">
        <v>33.659999999999997</v>
      </c>
      <c r="H21" s="14">
        <f t="shared" si="1"/>
        <v>239</v>
      </c>
      <c r="I21" s="6">
        <f t="shared" si="10"/>
        <v>140</v>
      </c>
      <c r="J21" s="15">
        <v>1</v>
      </c>
      <c r="K21" s="6">
        <v>200</v>
      </c>
      <c r="L21" s="6">
        <f t="shared" si="12"/>
        <v>6</v>
      </c>
      <c r="M21" s="6">
        <v>46.6</v>
      </c>
      <c r="N21" s="4">
        <f t="shared" si="2"/>
        <v>348</v>
      </c>
      <c r="O21" s="4">
        <f t="shared" si="2"/>
        <v>140</v>
      </c>
      <c r="P21" s="12">
        <f t="shared" si="2"/>
        <v>2</v>
      </c>
      <c r="Q21" s="2">
        <f t="shared" si="2"/>
        <v>130</v>
      </c>
      <c r="R21" s="2">
        <f t="shared" si="2"/>
        <v>6</v>
      </c>
      <c r="S21" s="19">
        <v>39.299999999999997</v>
      </c>
      <c r="T21" s="6">
        <f t="shared" si="4"/>
        <v>239</v>
      </c>
      <c r="U21" s="6">
        <f t="shared" si="5"/>
        <v>140</v>
      </c>
      <c r="V21" s="14">
        <v>1</v>
      </c>
      <c r="W21" s="6">
        <f t="shared" si="6"/>
        <v>200</v>
      </c>
      <c r="X21" s="6">
        <f t="shared" si="6"/>
        <v>6</v>
      </c>
      <c r="Y21" s="20">
        <v>49.8</v>
      </c>
    </row>
    <row r="22" spans="1:25" x14ac:dyDescent="0.25">
      <c r="A22" s="4">
        <v>3200</v>
      </c>
      <c r="B22" s="11">
        <f t="shared" si="13"/>
        <v>408</v>
      </c>
      <c r="C22" s="4">
        <f t="shared" si="11"/>
        <v>140</v>
      </c>
      <c r="D22" s="2">
        <v>2</v>
      </c>
      <c r="E22" s="2">
        <v>160</v>
      </c>
      <c r="F22" s="2">
        <v>6</v>
      </c>
      <c r="G22" s="19">
        <v>39.5</v>
      </c>
      <c r="H22" s="14">
        <f t="shared" ref="H22:H24" si="14">(K22*J22)+18+18+(3*J22)+(3*J22)+40</f>
        <v>348</v>
      </c>
      <c r="I22" s="6">
        <f t="shared" si="10"/>
        <v>140</v>
      </c>
      <c r="J22" s="6">
        <v>2</v>
      </c>
      <c r="K22" s="6">
        <v>130</v>
      </c>
      <c r="L22" s="6">
        <f t="shared" si="12"/>
        <v>6</v>
      </c>
      <c r="M22" s="20">
        <v>62.6</v>
      </c>
      <c r="N22" s="4">
        <f t="shared" si="2"/>
        <v>408</v>
      </c>
      <c r="O22" s="4">
        <f t="shared" si="2"/>
        <v>140</v>
      </c>
      <c r="P22" s="12">
        <f t="shared" si="2"/>
        <v>2</v>
      </c>
      <c r="Q22" s="2">
        <f t="shared" si="2"/>
        <v>160</v>
      </c>
      <c r="R22" s="2">
        <f t="shared" si="2"/>
        <v>6</v>
      </c>
      <c r="S22" s="19">
        <v>46.3</v>
      </c>
      <c r="T22" s="6">
        <f t="shared" si="4"/>
        <v>348</v>
      </c>
      <c r="U22" s="6">
        <f t="shared" si="5"/>
        <v>140</v>
      </c>
      <c r="V22" s="6">
        <f t="shared" si="6"/>
        <v>2</v>
      </c>
      <c r="W22" s="6">
        <f t="shared" si="6"/>
        <v>130</v>
      </c>
      <c r="X22" s="6">
        <f t="shared" si="6"/>
        <v>6</v>
      </c>
      <c r="Y22" s="20">
        <v>74.8</v>
      </c>
    </row>
    <row r="23" spans="1:25" x14ac:dyDescent="0.25">
      <c r="A23" s="4">
        <v>4000</v>
      </c>
      <c r="B23" s="11">
        <f t="shared" si="13"/>
        <v>488</v>
      </c>
      <c r="C23" s="4">
        <f t="shared" si="11"/>
        <v>140</v>
      </c>
      <c r="D23" s="2">
        <v>2</v>
      </c>
      <c r="E23" s="2">
        <v>200</v>
      </c>
      <c r="F23" s="2">
        <v>6</v>
      </c>
      <c r="G23" s="19">
        <v>47.5</v>
      </c>
      <c r="H23" s="14">
        <f t="shared" si="14"/>
        <v>408</v>
      </c>
      <c r="I23" s="6">
        <f t="shared" si="10"/>
        <v>140</v>
      </c>
      <c r="J23" s="6">
        <v>2</v>
      </c>
      <c r="K23" s="6">
        <v>160</v>
      </c>
      <c r="L23" s="6">
        <f t="shared" si="12"/>
        <v>6</v>
      </c>
      <c r="M23" s="6">
        <v>93.9</v>
      </c>
      <c r="N23" s="4">
        <f t="shared" si="2"/>
        <v>488</v>
      </c>
      <c r="O23" s="4">
        <f t="shared" si="2"/>
        <v>140</v>
      </c>
      <c r="P23" s="12">
        <f t="shared" si="2"/>
        <v>2</v>
      </c>
      <c r="Q23" s="2">
        <f t="shared" si="2"/>
        <v>200</v>
      </c>
      <c r="R23" s="2">
        <f t="shared" si="2"/>
        <v>6</v>
      </c>
      <c r="S23" s="19">
        <v>55.3</v>
      </c>
      <c r="T23" s="6">
        <f t="shared" si="4"/>
        <v>408</v>
      </c>
      <c r="U23" s="6">
        <f t="shared" si="5"/>
        <v>140</v>
      </c>
      <c r="V23" s="6">
        <f t="shared" si="6"/>
        <v>2</v>
      </c>
      <c r="W23" s="6">
        <f t="shared" si="6"/>
        <v>160</v>
      </c>
      <c r="X23" s="6">
        <f t="shared" si="6"/>
        <v>6</v>
      </c>
      <c r="Y23" s="6">
        <v>114.7</v>
      </c>
    </row>
    <row r="24" spans="1:25" x14ac:dyDescent="0.25">
      <c r="A24" s="4">
        <v>5000</v>
      </c>
      <c r="B24" s="11">
        <f t="shared" ref="B24:B25" si="15">(E24*D24)+18+18+(3*6)+(3*D24)+(40*3)</f>
        <v>706</v>
      </c>
      <c r="C24" s="4">
        <f t="shared" si="11"/>
        <v>140</v>
      </c>
      <c r="D24" s="2">
        <v>4</v>
      </c>
      <c r="E24" s="2">
        <v>130</v>
      </c>
      <c r="F24" s="2">
        <v>6</v>
      </c>
      <c r="G24" s="19">
        <v>67.400000000000006</v>
      </c>
      <c r="H24" s="14">
        <f t="shared" si="14"/>
        <v>488</v>
      </c>
      <c r="I24" s="6">
        <f t="shared" si="10"/>
        <v>140</v>
      </c>
      <c r="J24" s="6">
        <v>2</v>
      </c>
      <c r="K24" s="6">
        <v>200</v>
      </c>
      <c r="L24" s="6">
        <f t="shared" si="12"/>
        <v>6</v>
      </c>
      <c r="M24" s="20">
        <v>124.6</v>
      </c>
      <c r="N24" s="4">
        <f t="shared" si="2"/>
        <v>706</v>
      </c>
      <c r="O24" s="4">
        <f t="shared" si="2"/>
        <v>140</v>
      </c>
      <c r="P24" s="12">
        <f t="shared" si="2"/>
        <v>4</v>
      </c>
      <c r="Q24" s="2">
        <f t="shared" si="2"/>
        <v>130</v>
      </c>
      <c r="R24" s="2">
        <f t="shared" si="2"/>
        <v>6</v>
      </c>
      <c r="S24" s="19">
        <v>77.3</v>
      </c>
      <c r="T24" s="6">
        <f t="shared" si="4"/>
        <v>488</v>
      </c>
      <c r="U24" s="6">
        <f t="shared" si="5"/>
        <v>140</v>
      </c>
      <c r="V24" s="6">
        <f t="shared" si="6"/>
        <v>2</v>
      </c>
      <c r="W24" s="6">
        <f t="shared" si="6"/>
        <v>200</v>
      </c>
      <c r="X24" s="6">
        <f t="shared" si="6"/>
        <v>6</v>
      </c>
      <c r="Y24" s="20">
        <v>152.6</v>
      </c>
    </row>
    <row r="25" spans="1:25" x14ac:dyDescent="0.25">
      <c r="A25" s="4">
        <v>6300</v>
      </c>
      <c r="B25" s="11">
        <f t="shared" si="15"/>
        <v>826</v>
      </c>
      <c r="C25" s="4">
        <f t="shared" si="11"/>
        <v>140</v>
      </c>
      <c r="D25" s="2">
        <v>4</v>
      </c>
      <c r="E25" s="2">
        <v>160</v>
      </c>
      <c r="F25" s="2">
        <v>6</v>
      </c>
      <c r="G25" s="19">
        <v>74.7</v>
      </c>
      <c r="H25" s="14">
        <f>(K25*J25)+18+18+(3*4)+(3*J25)+40*2</f>
        <v>737</v>
      </c>
      <c r="I25" s="6">
        <f t="shared" si="10"/>
        <v>140</v>
      </c>
      <c r="J25" s="6">
        <v>3</v>
      </c>
      <c r="K25" s="6">
        <v>200</v>
      </c>
      <c r="L25" s="6">
        <f t="shared" si="12"/>
        <v>6</v>
      </c>
      <c r="M25" s="6">
        <v>156.1</v>
      </c>
      <c r="N25" s="4">
        <f t="shared" si="2"/>
        <v>826</v>
      </c>
      <c r="O25" s="4">
        <f t="shared" si="2"/>
        <v>140</v>
      </c>
      <c r="P25" s="12">
        <f t="shared" si="2"/>
        <v>4</v>
      </c>
      <c r="Q25" s="2">
        <f t="shared" si="2"/>
        <v>160</v>
      </c>
      <c r="R25" s="2">
        <f t="shared" si="2"/>
        <v>6</v>
      </c>
      <c r="S25" s="19">
        <v>90.7</v>
      </c>
      <c r="T25" s="6">
        <f t="shared" si="4"/>
        <v>737</v>
      </c>
      <c r="U25" s="6">
        <f t="shared" si="5"/>
        <v>140</v>
      </c>
      <c r="V25" s="6">
        <f t="shared" si="6"/>
        <v>3</v>
      </c>
      <c r="W25" s="6">
        <f t="shared" si="6"/>
        <v>200</v>
      </c>
      <c r="X25" s="6">
        <f t="shared" si="6"/>
        <v>6</v>
      </c>
      <c r="Y25" s="20">
        <v>168.1</v>
      </c>
    </row>
    <row r="26" spans="1:25" x14ac:dyDescent="0.25">
      <c r="A26" s="236" t="s">
        <v>17</v>
      </c>
      <c r="B26" s="239" t="s">
        <v>18</v>
      </c>
      <c r="C26" s="239"/>
      <c r="D26" s="239"/>
      <c r="E26" s="239"/>
      <c r="F26" s="239"/>
      <c r="G26" s="239"/>
      <c r="H26" s="239"/>
      <c r="I26" s="239"/>
      <c r="J26" s="239"/>
      <c r="K26" s="239"/>
      <c r="L26" s="239"/>
      <c r="M26" s="239"/>
      <c r="N26" s="239"/>
    </row>
    <row r="27" spans="1:25" x14ac:dyDescent="0.25">
      <c r="A27" s="237"/>
      <c r="B27" s="239" t="s">
        <v>19</v>
      </c>
      <c r="C27" s="239"/>
      <c r="D27" s="239"/>
      <c r="E27" s="239"/>
      <c r="F27" s="239"/>
      <c r="G27" s="239"/>
      <c r="H27" s="239"/>
      <c r="I27" s="239"/>
      <c r="J27" s="239"/>
      <c r="K27" s="239"/>
      <c r="L27" s="239"/>
      <c r="M27" s="239"/>
      <c r="N27" s="239"/>
    </row>
    <row r="28" spans="1:25" x14ac:dyDescent="0.25">
      <c r="A28" s="237"/>
      <c r="B28" s="239" t="s">
        <v>20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39"/>
      <c r="M28" s="239"/>
      <c r="N28" s="239"/>
    </row>
    <row r="29" spans="1:25" x14ac:dyDescent="0.25">
      <c r="A29" s="238"/>
      <c r="B29" s="239"/>
      <c r="C29" s="239"/>
      <c r="D29" s="239"/>
      <c r="E29" s="239"/>
      <c r="F29" s="239"/>
      <c r="G29" s="239"/>
      <c r="H29" s="239"/>
      <c r="I29" s="239"/>
      <c r="J29" s="239"/>
      <c r="K29" s="239"/>
      <c r="L29" s="239"/>
      <c r="M29" s="239"/>
      <c r="N29" s="239"/>
    </row>
    <row r="31" spans="1:25" hidden="1" x14ac:dyDescent="0.25">
      <c r="A31" s="250" t="s">
        <v>5</v>
      </c>
      <c r="B31" s="253" t="s">
        <v>6</v>
      </c>
      <c r="C31" s="254"/>
      <c r="D31" s="254"/>
      <c r="E31" s="254"/>
      <c r="F31" s="254"/>
      <c r="G31" s="255"/>
      <c r="H31" s="253" t="s">
        <v>7</v>
      </c>
      <c r="I31" s="254"/>
      <c r="J31" s="254"/>
      <c r="K31" s="254"/>
      <c r="L31" s="254"/>
      <c r="M31" s="255"/>
    </row>
    <row r="32" spans="1:25" hidden="1" x14ac:dyDescent="0.25">
      <c r="A32" s="251"/>
      <c r="B32" s="253" t="s">
        <v>8</v>
      </c>
      <c r="C32" s="254"/>
      <c r="D32" s="255"/>
      <c r="E32" s="256" t="s">
        <v>9</v>
      </c>
      <c r="F32" s="257"/>
      <c r="G32" s="258"/>
      <c r="H32" s="253" t="s">
        <v>8</v>
      </c>
      <c r="I32" s="254"/>
      <c r="J32" s="255"/>
      <c r="K32" s="256" t="s">
        <v>9</v>
      </c>
      <c r="L32" s="257"/>
      <c r="M32" s="258"/>
    </row>
    <row r="33" spans="1:13" hidden="1" x14ac:dyDescent="0.25">
      <c r="A33" s="252"/>
      <c r="B33" s="84" t="s">
        <v>10</v>
      </c>
      <c r="C33" s="84" t="s">
        <v>11</v>
      </c>
      <c r="D33" s="84" t="s">
        <v>26</v>
      </c>
      <c r="E33" s="85" t="s">
        <v>10</v>
      </c>
      <c r="F33" s="85" t="s">
        <v>11</v>
      </c>
      <c r="G33" s="85" t="s">
        <v>26</v>
      </c>
      <c r="H33" s="84" t="s">
        <v>10</v>
      </c>
      <c r="I33" s="84" t="s">
        <v>11</v>
      </c>
      <c r="J33" s="84" t="s">
        <v>26</v>
      </c>
      <c r="K33" s="85" t="s">
        <v>10</v>
      </c>
      <c r="L33" s="85" t="s">
        <v>11</v>
      </c>
      <c r="M33" s="85" t="s">
        <v>26</v>
      </c>
    </row>
    <row r="34" spans="1:13" hidden="1" x14ac:dyDescent="0.25">
      <c r="A34" s="83">
        <v>400</v>
      </c>
      <c r="B34" s="84"/>
      <c r="C34" s="84">
        <v>140</v>
      </c>
      <c r="D34" s="84"/>
      <c r="E34" s="85"/>
      <c r="F34" s="85"/>
      <c r="G34" s="85"/>
      <c r="H34" s="84"/>
      <c r="I34" s="84"/>
      <c r="J34" s="84"/>
      <c r="K34" s="85"/>
      <c r="L34" s="85"/>
      <c r="M34" s="85"/>
    </row>
    <row r="35" spans="1:13" hidden="1" x14ac:dyDescent="0.25">
      <c r="A35" s="86">
        <v>630</v>
      </c>
      <c r="B35" s="84"/>
      <c r="C35" s="84">
        <v>140</v>
      </c>
      <c r="D35" s="84"/>
      <c r="E35" s="85"/>
      <c r="F35" s="85"/>
      <c r="G35" s="85"/>
      <c r="H35" s="84"/>
      <c r="I35" s="84"/>
      <c r="J35" s="84"/>
      <c r="K35" s="85"/>
      <c r="L35" s="85"/>
      <c r="M35" s="85"/>
    </row>
    <row r="36" spans="1:13" hidden="1" x14ac:dyDescent="0.25">
      <c r="A36" s="84">
        <v>800</v>
      </c>
      <c r="B36" s="87">
        <v>114</v>
      </c>
      <c r="C36" s="87">
        <v>140</v>
      </c>
      <c r="D36" s="88">
        <v>10.799999999999999</v>
      </c>
      <c r="E36" s="85">
        <v>104</v>
      </c>
      <c r="F36" s="85">
        <v>140</v>
      </c>
      <c r="G36" s="89">
        <v>20.666666666666668</v>
      </c>
      <c r="H36" s="87">
        <v>114</v>
      </c>
      <c r="I36" s="87">
        <v>140</v>
      </c>
      <c r="J36" s="88">
        <v>12.333333333333334</v>
      </c>
      <c r="K36" s="85">
        <v>104</v>
      </c>
      <c r="L36" s="85">
        <v>140</v>
      </c>
      <c r="M36" s="89">
        <v>23</v>
      </c>
    </row>
    <row r="37" spans="1:13" hidden="1" x14ac:dyDescent="0.25">
      <c r="A37" s="84">
        <v>1000</v>
      </c>
      <c r="B37" s="87">
        <v>139</v>
      </c>
      <c r="C37" s="87">
        <v>140</v>
      </c>
      <c r="D37" s="88">
        <v>13.5</v>
      </c>
      <c r="E37" s="85">
        <v>104</v>
      </c>
      <c r="F37" s="85">
        <v>140</v>
      </c>
      <c r="G37" s="89">
        <v>22.666666666666668</v>
      </c>
      <c r="H37" s="87">
        <v>139</v>
      </c>
      <c r="I37" s="87">
        <v>140</v>
      </c>
      <c r="J37" s="88">
        <v>15.433333333333332</v>
      </c>
      <c r="K37" s="85">
        <v>104</v>
      </c>
      <c r="L37" s="85">
        <v>140</v>
      </c>
      <c r="M37" s="89">
        <v>25.666666666666668</v>
      </c>
    </row>
    <row r="38" spans="1:13" hidden="1" x14ac:dyDescent="0.25">
      <c r="A38" s="84">
        <v>1250</v>
      </c>
      <c r="B38" s="90">
        <v>169</v>
      </c>
      <c r="C38" s="90">
        <v>140</v>
      </c>
      <c r="D38" s="88">
        <v>16.333333333333332</v>
      </c>
      <c r="E38" s="85">
        <v>114</v>
      </c>
      <c r="F38" s="85">
        <v>140</v>
      </c>
      <c r="G38" s="89">
        <v>25.666666666666668</v>
      </c>
      <c r="H38" s="90">
        <v>169</v>
      </c>
      <c r="I38" s="87">
        <v>140</v>
      </c>
      <c r="J38" s="88">
        <v>18.8</v>
      </c>
      <c r="K38" s="85">
        <v>114</v>
      </c>
      <c r="L38" s="85">
        <v>140</v>
      </c>
      <c r="M38" s="89">
        <v>28.666666666666668</v>
      </c>
    </row>
    <row r="39" spans="1:13" hidden="1" x14ac:dyDescent="0.25">
      <c r="A39" s="84">
        <v>1600</v>
      </c>
      <c r="B39" s="87">
        <v>199</v>
      </c>
      <c r="C39" s="90">
        <v>140</v>
      </c>
      <c r="D39" s="88">
        <v>20.333333333333332</v>
      </c>
      <c r="E39" s="85">
        <v>139</v>
      </c>
      <c r="F39" s="85">
        <v>140</v>
      </c>
      <c r="G39" s="89">
        <v>30.766666666666666</v>
      </c>
      <c r="H39" s="87">
        <v>199</v>
      </c>
      <c r="I39" s="87">
        <v>140</v>
      </c>
      <c r="J39" s="88">
        <v>23.066666666666666</v>
      </c>
      <c r="K39" s="85">
        <v>139</v>
      </c>
      <c r="L39" s="85">
        <v>140</v>
      </c>
      <c r="M39" s="89">
        <v>36.9</v>
      </c>
    </row>
    <row r="40" spans="1:13" hidden="1" x14ac:dyDescent="0.25">
      <c r="A40" s="84">
        <v>2000</v>
      </c>
      <c r="B40" s="87">
        <v>239</v>
      </c>
      <c r="C40" s="90">
        <v>140</v>
      </c>
      <c r="D40" s="88">
        <v>23.333333333333332</v>
      </c>
      <c r="E40" s="85">
        <v>169</v>
      </c>
      <c r="F40" s="85">
        <v>140</v>
      </c>
      <c r="G40" s="89">
        <v>38.833333333333336</v>
      </c>
      <c r="H40" s="87">
        <v>239</v>
      </c>
      <c r="I40" s="87">
        <v>140</v>
      </c>
      <c r="J40" s="88">
        <v>27.766666666666666</v>
      </c>
      <c r="K40" s="85">
        <v>169</v>
      </c>
      <c r="L40" s="85">
        <v>140</v>
      </c>
      <c r="M40" s="89">
        <v>46.833333333333336</v>
      </c>
    </row>
    <row r="41" spans="1:13" hidden="1" x14ac:dyDescent="0.25">
      <c r="A41" s="84">
        <v>2500</v>
      </c>
      <c r="B41" s="87">
        <v>349</v>
      </c>
      <c r="C41" s="90">
        <v>140</v>
      </c>
      <c r="D41" s="88">
        <v>33.6</v>
      </c>
      <c r="E41" s="85">
        <v>199</v>
      </c>
      <c r="F41" s="85">
        <v>140</v>
      </c>
      <c r="G41" s="89">
        <v>46.666666666666664</v>
      </c>
      <c r="H41" s="87">
        <v>349</v>
      </c>
      <c r="I41" s="87">
        <v>140</v>
      </c>
      <c r="J41" s="88">
        <v>39.333333333333336</v>
      </c>
      <c r="K41" s="85">
        <v>199</v>
      </c>
      <c r="L41" s="85">
        <v>140</v>
      </c>
      <c r="M41" s="89">
        <v>49.833333333333336</v>
      </c>
    </row>
    <row r="42" spans="1:13" hidden="1" x14ac:dyDescent="0.25">
      <c r="A42" s="84">
        <v>3200</v>
      </c>
      <c r="B42" s="87">
        <v>409</v>
      </c>
      <c r="C42" s="90">
        <v>140</v>
      </c>
      <c r="D42" s="88">
        <v>39.266666666666666</v>
      </c>
      <c r="E42" s="85">
        <v>289</v>
      </c>
      <c r="F42" s="85">
        <v>140</v>
      </c>
      <c r="G42" s="89">
        <v>62.633333333333333</v>
      </c>
      <c r="H42" s="87">
        <v>409</v>
      </c>
      <c r="I42" s="87">
        <v>140</v>
      </c>
      <c r="J42" s="88">
        <v>46.333333333333336</v>
      </c>
      <c r="K42" s="85">
        <v>289</v>
      </c>
      <c r="L42" s="85">
        <v>140</v>
      </c>
      <c r="M42" s="89">
        <v>74.833333333333329</v>
      </c>
    </row>
    <row r="43" spans="1:13" hidden="1" x14ac:dyDescent="0.25">
      <c r="A43" s="84">
        <v>4000</v>
      </c>
      <c r="B43" s="87">
        <v>489</v>
      </c>
      <c r="C43" s="90">
        <v>140</v>
      </c>
      <c r="D43" s="88">
        <v>46.866666666666667</v>
      </c>
      <c r="E43" s="85">
        <v>409</v>
      </c>
      <c r="F43" s="85">
        <v>140</v>
      </c>
      <c r="G43" s="89">
        <v>93.933333333333337</v>
      </c>
      <c r="H43" s="87">
        <v>489</v>
      </c>
      <c r="I43" s="87">
        <v>140</v>
      </c>
      <c r="J43" s="88">
        <v>55.266666666666673</v>
      </c>
      <c r="K43" s="85">
        <v>409</v>
      </c>
      <c r="L43" s="85">
        <v>140</v>
      </c>
      <c r="M43" s="89">
        <v>114.76666666666667</v>
      </c>
    </row>
    <row r="44" spans="1:13" hidden="1" x14ac:dyDescent="0.25">
      <c r="A44" s="84">
        <v>5000</v>
      </c>
      <c r="B44" s="87">
        <v>709</v>
      </c>
      <c r="C44" s="90">
        <v>140</v>
      </c>
      <c r="D44" s="88">
        <v>67.433333333333337</v>
      </c>
      <c r="E44" s="85">
        <v>619</v>
      </c>
      <c r="F44" s="85">
        <v>140</v>
      </c>
      <c r="G44" s="89">
        <v>124.66666666666667</v>
      </c>
      <c r="H44" s="87">
        <v>709</v>
      </c>
      <c r="I44" s="87">
        <v>140</v>
      </c>
      <c r="J44" s="88">
        <v>77.333333333333329</v>
      </c>
      <c r="K44" s="85">
        <v>619</v>
      </c>
      <c r="L44" s="85">
        <v>140</v>
      </c>
      <c r="M44" s="89">
        <v>152.66666666666666</v>
      </c>
    </row>
    <row r="45" spans="1:13" hidden="1" x14ac:dyDescent="0.25">
      <c r="A45" s="84">
        <v>6300</v>
      </c>
      <c r="B45" s="87">
        <v>829</v>
      </c>
      <c r="C45" s="90">
        <v>140</v>
      </c>
      <c r="D45" s="88">
        <v>78.8</v>
      </c>
      <c r="E45" s="85">
        <v>709</v>
      </c>
      <c r="F45" s="85">
        <v>140</v>
      </c>
      <c r="G45" s="89">
        <v>156.1</v>
      </c>
      <c r="H45" s="87">
        <v>829</v>
      </c>
      <c r="I45" s="87">
        <v>140</v>
      </c>
      <c r="J45" s="88">
        <v>90.666666666666671</v>
      </c>
      <c r="K45" s="85">
        <v>709</v>
      </c>
      <c r="L45" s="85">
        <v>140</v>
      </c>
      <c r="M45" s="89">
        <v>168.16666666666666</v>
      </c>
    </row>
    <row r="46" spans="1:13" ht="15" hidden="1" customHeight="1" x14ac:dyDescent="0.25">
      <c r="A46" s="260" t="s">
        <v>17</v>
      </c>
      <c r="B46" s="263" t="s">
        <v>48</v>
      </c>
      <c r="C46" s="264"/>
      <c r="D46" s="264"/>
      <c r="E46" s="264"/>
      <c r="F46" s="264"/>
      <c r="G46" s="264"/>
      <c r="H46" s="265"/>
      <c r="I46" s="91"/>
      <c r="J46" s="91"/>
      <c r="K46" s="91"/>
      <c r="L46" s="91"/>
      <c r="M46" s="91"/>
    </row>
    <row r="47" spans="1:13" hidden="1" x14ac:dyDescent="0.25">
      <c r="A47" s="261"/>
      <c r="B47" s="263" t="s">
        <v>49</v>
      </c>
      <c r="C47" s="264"/>
      <c r="D47" s="264"/>
      <c r="E47" s="264"/>
      <c r="F47" s="264"/>
      <c r="G47" s="264"/>
      <c r="H47" s="265"/>
      <c r="I47" s="91"/>
      <c r="J47" s="91"/>
      <c r="K47" s="91"/>
      <c r="L47" s="91"/>
      <c r="M47" s="91"/>
    </row>
    <row r="48" spans="1:13" hidden="1" x14ac:dyDescent="0.25">
      <c r="A48" s="261"/>
      <c r="B48" s="263" t="s">
        <v>20</v>
      </c>
      <c r="C48" s="264"/>
      <c r="D48" s="264"/>
      <c r="E48" s="264"/>
      <c r="F48" s="264"/>
      <c r="G48" s="264"/>
      <c r="H48" s="265"/>
      <c r="I48" s="91"/>
      <c r="J48" s="91"/>
      <c r="K48" s="91"/>
      <c r="L48" s="91"/>
      <c r="M48" s="91"/>
    </row>
    <row r="49" spans="1:13" hidden="1" x14ac:dyDescent="0.25">
      <c r="A49" s="262"/>
      <c r="B49" s="263"/>
      <c r="C49" s="264"/>
      <c r="D49" s="264"/>
      <c r="E49" s="264"/>
      <c r="F49" s="264"/>
      <c r="G49" s="264"/>
      <c r="H49" s="265"/>
      <c r="I49" s="91"/>
      <c r="J49" s="91"/>
      <c r="K49" s="91"/>
      <c r="L49" s="91"/>
      <c r="M49" s="91"/>
    </row>
    <row r="50" spans="1:13" ht="15" customHeight="1" x14ac:dyDescent="0.25">
      <c r="D50" s="246" t="s">
        <v>21</v>
      </c>
      <c r="E50" s="246"/>
      <c r="F50" s="246"/>
      <c r="G50" s="246"/>
      <c r="H50" s="246"/>
      <c r="I50" s="246"/>
      <c r="J50" s="246"/>
    </row>
    <row r="51" spans="1:13" ht="15" customHeight="1" x14ac:dyDescent="0.25">
      <c r="D51" s="247" t="s">
        <v>2</v>
      </c>
      <c r="E51" s="248"/>
      <c r="F51" s="248"/>
      <c r="G51" s="248"/>
      <c r="H51" s="248"/>
      <c r="I51" s="248"/>
      <c r="J51" s="249"/>
    </row>
    <row r="52" spans="1:13" ht="15" customHeight="1" x14ac:dyDescent="0.25">
      <c r="D52" s="247" t="s">
        <v>3</v>
      </c>
      <c r="E52" s="248"/>
      <c r="F52" s="249"/>
      <c r="G52" s="247" t="s">
        <v>22</v>
      </c>
      <c r="H52" s="248"/>
      <c r="I52" s="248"/>
      <c r="J52" s="249"/>
    </row>
    <row r="53" spans="1:13" ht="15" customHeight="1" x14ac:dyDescent="0.25">
      <c r="D53" s="247" t="s">
        <v>23</v>
      </c>
      <c r="E53" s="248"/>
      <c r="F53" s="249"/>
      <c r="G53" s="247" t="s">
        <v>22</v>
      </c>
      <c r="H53" s="248"/>
      <c r="I53" s="248"/>
      <c r="J53" s="249"/>
    </row>
    <row r="55" spans="1:13" x14ac:dyDescent="0.25">
      <c r="A55" s="227" t="s">
        <v>5</v>
      </c>
      <c r="B55" s="227" t="s">
        <v>6</v>
      </c>
      <c r="C55" s="227"/>
      <c r="D55" s="227"/>
      <c r="E55" s="227"/>
      <c r="F55" s="227"/>
      <c r="G55" s="227"/>
      <c r="H55" s="227" t="s">
        <v>7</v>
      </c>
      <c r="I55" s="227"/>
      <c r="J55" s="227"/>
      <c r="K55" s="227"/>
      <c r="L55" s="227"/>
      <c r="M55" s="227"/>
    </row>
    <row r="56" spans="1:13" x14ac:dyDescent="0.25">
      <c r="A56" s="227"/>
      <c r="B56" s="227" t="s">
        <v>8</v>
      </c>
      <c r="C56" s="227"/>
      <c r="D56" s="227"/>
      <c r="E56" s="259" t="s">
        <v>9</v>
      </c>
      <c r="F56" s="259"/>
      <c r="G56" s="259"/>
      <c r="H56" s="227" t="s">
        <v>8</v>
      </c>
      <c r="I56" s="227"/>
      <c r="J56" s="227"/>
      <c r="K56" s="227" t="s">
        <v>9</v>
      </c>
      <c r="L56" s="227"/>
      <c r="M56" s="227"/>
    </row>
    <row r="57" spans="1:13" x14ac:dyDescent="0.25">
      <c r="A57" s="227"/>
      <c r="B57" s="2" t="s">
        <v>24</v>
      </c>
      <c r="C57" s="2" t="s">
        <v>25</v>
      </c>
      <c r="D57" s="2" t="s">
        <v>26</v>
      </c>
      <c r="E57" s="21" t="s">
        <v>24</v>
      </c>
      <c r="F57" s="21" t="s">
        <v>25</v>
      </c>
      <c r="G57" s="21" t="s">
        <v>26</v>
      </c>
      <c r="H57" s="2" t="s">
        <v>24</v>
      </c>
      <c r="I57" s="2" t="s">
        <v>25</v>
      </c>
      <c r="J57" s="2" t="s">
        <v>26</v>
      </c>
      <c r="K57" s="21" t="s">
        <v>24</v>
      </c>
      <c r="L57" s="21" t="s">
        <v>27</v>
      </c>
      <c r="M57" s="21" t="s">
        <v>26</v>
      </c>
    </row>
    <row r="58" spans="1:13" x14ac:dyDescent="0.25">
      <c r="A58" s="2">
        <v>160</v>
      </c>
      <c r="B58" s="2">
        <v>800</v>
      </c>
      <c r="C58" s="2">
        <v>800</v>
      </c>
      <c r="D58" s="2"/>
      <c r="E58" s="21"/>
      <c r="F58" s="21"/>
      <c r="G58" s="21"/>
      <c r="H58" s="2">
        <f t="shared" ref="H58:I94" si="16">B58</f>
        <v>800</v>
      </c>
      <c r="I58" s="2">
        <f t="shared" si="10"/>
        <v>800</v>
      </c>
      <c r="J58" s="2"/>
      <c r="K58" s="21">
        <f t="shared" ref="K58:L94" si="17">E58</f>
        <v>0</v>
      </c>
      <c r="L58" s="21">
        <f t="shared" ref="L58:L71" si="18">F58</f>
        <v>0</v>
      </c>
      <c r="M58" s="21"/>
    </row>
    <row r="59" spans="1:13" x14ac:dyDescent="0.25">
      <c r="A59" s="2">
        <v>250</v>
      </c>
      <c r="B59" s="2">
        <v>800</v>
      </c>
      <c r="C59" s="2">
        <v>800</v>
      </c>
      <c r="D59" s="2"/>
      <c r="E59" s="21"/>
      <c r="F59" s="21"/>
      <c r="G59" s="21"/>
      <c r="H59" s="2">
        <f t="shared" si="16"/>
        <v>800</v>
      </c>
      <c r="I59" s="2">
        <f t="shared" si="10"/>
        <v>800</v>
      </c>
      <c r="J59" s="2"/>
      <c r="K59" s="21">
        <f t="shared" si="17"/>
        <v>0</v>
      </c>
      <c r="L59" s="21">
        <f t="shared" si="18"/>
        <v>0</v>
      </c>
      <c r="M59" s="21"/>
    </row>
    <row r="60" spans="1:13" x14ac:dyDescent="0.25">
      <c r="A60" s="2">
        <f t="shared" ref="A60:A71" si="19">A14</f>
        <v>400</v>
      </c>
      <c r="B60" s="2">
        <v>800</v>
      </c>
      <c r="C60" s="2">
        <v>800</v>
      </c>
      <c r="D60" s="2"/>
      <c r="E60" s="21"/>
      <c r="F60" s="21"/>
      <c r="G60" s="21"/>
      <c r="H60" s="2">
        <f t="shared" si="16"/>
        <v>800</v>
      </c>
      <c r="I60" s="2">
        <f t="shared" si="10"/>
        <v>800</v>
      </c>
      <c r="J60" s="2"/>
      <c r="K60" s="21">
        <f t="shared" si="17"/>
        <v>0</v>
      </c>
      <c r="L60" s="21">
        <f t="shared" si="18"/>
        <v>0</v>
      </c>
      <c r="M60" s="21"/>
    </row>
    <row r="61" spans="1:13" x14ac:dyDescent="0.25">
      <c r="A61" s="2">
        <f t="shared" si="19"/>
        <v>630</v>
      </c>
      <c r="B61" s="2">
        <v>800</v>
      </c>
      <c r="C61" s="2">
        <v>800</v>
      </c>
      <c r="D61" s="2"/>
      <c r="E61" s="21"/>
      <c r="F61" s="21"/>
      <c r="G61" s="21"/>
      <c r="H61" s="2">
        <f t="shared" si="16"/>
        <v>800</v>
      </c>
      <c r="I61" s="2">
        <f t="shared" si="10"/>
        <v>800</v>
      </c>
      <c r="J61" s="2"/>
      <c r="K61" s="21">
        <f t="shared" si="17"/>
        <v>0</v>
      </c>
      <c r="L61" s="21">
        <f t="shared" si="18"/>
        <v>0</v>
      </c>
      <c r="M61" s="21"/>
    </row>
    <row r="62" spans="1:13" x14ac:dyDescent="0.25">
      <c r="A62" s="2">
        <f t="shared" si="19"/>
        <v>800</v>
      </c>
      <c r="B62" s="2">
        <v>800</v>
      </c>
      <c r="C62" s="2">
        <v>800</v>
      </c>
      <c r="D62" s="2"/>
      <c r="E62" s="21"/>
      <c r="F62" s="21"/>
      <c r="G62" s="21"/>
      <c r="H62" s="2">
        <f t="shared" si="16"/>
        <v>800</v>
      </c>
      <c r="I62" s="2">
        <f t="shared" si="10"/>
        <v>800</v>
      </c>
      <c r="J62" s="2"/>
      <c r="K62" s="21">
        <f t="shared" si="17"/>
        <v>0</v>
      </c>
      <c r="L62" s="21">
        <f t="shared" si="18"/>
        <v>0</v>
      </c>
      <c r="M62" s="23"/>
    </row>
    <row r="63" spans="1:13" x14ac:dyDescent="0.25">
      <c r="A63" s="2">
        <f t="shared" si="19"/>
        <v>1000</v>
      </c>
      <c r="B63" s="2">
        <v>800</v>
      </c>
      <c r="C63" s="2">
        <v>800</v>
      </c>
      <c r="D63" s="2"/>
      <c r="E63" s="21"/>
      <c r="F63" s="21"/>
      <c r="G63" s="21"/>
      <c r="H63" s="2">
        <f t="shared" si="16"/>
        <v>800</v>
      </c>
      <c r="I63" s="2">
        <f t="shared" si="10"/>
        <v>800</v>
      </c>
      <c r="J63" s="2"/>
      <c r="K63" s="21">
        <f t="shared" si="17"/>
        <v>0</v>
      </c>
      <c r="L63" s="21">
        <f t="shared" si="18"/>
        <v>0</v>
      </c>
      <c r="M63" s="23"/>
    </row>
    <row r="64" spans="1:13" x14ac:dyDescent="0.25">
      <c r="A64" s="2">
        <f t="shared" si="19"/>
        <v>1250</v>
      </c>
      <c r="B64" s="2">
        <v>800</v>
      </c>
      <c r="C64" s="2">
        <v>800</v>
      </c>
      <c r="D64" s="2"/>
      <c r="E64" s="21"/>
      <c r="F64" s="21"/>
      <c r="G64" s="21"/>
      <c r="H64" s="2">
        <f t="shared" si="16"/>
        <v>800</v>
      </c>
      <c r="I64" s="2">
        <f t="shared" si="10"/>
        <v>800</v>
      </c>
      <c r="J64" s="2"/>
      <c r="K64" s="21">
        <f t="shared" si="17"/>
        <v>0</v>
      </c>
      <c r="L64" s="21">
        <f t="shared" si="18"/>
        <v>0</v>
      </c>
      <c r="M64" s="23"/>
    </row>
    <row r="65" spans="1:13" x14ac:dyDescent="0.25">
      <c r="A65" s="2">
        <f t="shared" si="19"/>
        <v>1600</v>
      </c>
      <c r="B65" s="2">
        <v>800</v>
      </c>
      <c r="C65" s="2">
        <v>800</v>
      </c>
      <c r="D65" s="2"/>
      <c r="E65" s="21"/>
      <c r="F65" s="21"/>
      <c r="G65" s="21"/>
      <c r="H65" s="2">
        <f t="shared" si="16"/>
        <v>800</v>
      </c>
      <c r="I65" s="2">
        <f t="shared" si="10"/>
        <v>800</v>
      </c>
      <c r="J65" s="2"/>
      <c r="K65" s="21">
        <f t="shared" si="17"/>
        <v>0</v>
      </c>
      <c r="L65" s="21">
        <f t="shared" si="18"/>
        <v>0</v>
      </c>
      <c r="M65" s="23"/>
    </row>
    <row r="66" spans="1:13" x14ac:dyDescent="0.25">
      <c r="A66" s="2">
        <f t="shared" si="19"/>
        <v>2000</v>
      </c>
      <c r="B66" s="2">
        <v>800</v>
      </c>
      <c r="C66" s="2">
        <v>800</v>
      </c>
      <c r="D66" s="2"/>
      <c r="E66" s="21"/>
      <c r="F66" s="21"/>
      <c r="G66" s="21"/>
      <c r="H66" s="2">
        <f t="shared" si="16"/>
        <v>800</v>
      </c>
      <c r="I66" s="2">
        <f t="shared" si="10"/>
        <v>800</v>
      </c>
      <c r="J66" s="2"/>
      <c r="K66" s="21">
        <f t="shared" si="17"/>
        <v>0</v>
      </c>
      <c r="L66" s="21">
        <f t="shared" si="18"/>
        <v>0</v>
      </c>
      <c r="M66" s="23"/>
    </row>
    <row r="67" spans="1:13" x14ac:dyDescent="0.25">
      <c r="A67" s="2">
        <f t="shared" si="19"/>
        <v>2500</v>
      </c>
      <c r="B67" s="2">
        <v>800</v>
      </c>
      <c r="C67" s="2">
        <v>800</v>
      </c>
      <c r="D67" s="2"/>
      <c r="E67" s="21"/>
      <c r="F67" s="21"/>
      <c r="G67" s="21"/>
      <c r="H67" s="2">
        <f t="shared" si="16"/>
        <v>800</v>
      </c>
      <c r="I67" s="2">
        <f t="shared" si="10"/>
        <v>800</v>
      </c>
      <c r="J67" s="2"/>
      <c r="K67" s="21">
        <f t="shared" si="17"/>
        <v>0</v>
      </c>
      <c r="L67" s="21">
        <f t="shared" si="18"/>
        <v>0</v>
      </c>
      <c r="M67" s="23"/>
    </row>
    <row r="68" spans="1:13" x14ac:dyDescent="0.25">
      <c r="A68" s="2">
        <f t="shared" si="19"/>
        <v>3200</v>
      </c>
      <c r="B68" s="2">
        <v>800</v>
      </c>
      <c r="C68" s="2">
        <v>800</v>
      </c>
      <c r="D68" s="2"/>
      <c r="E68" s="21"/>
      <c r="F68" s="21"/>
      <c r="G68" s="21"/>
      <c r="H68" s="2">
        <f t="shared" si="16"/>
        <v>800</v>
      </c>
      <c r="I68" s="2">
        <f t="shared" si="10"/>
        <v>800</v>
      </c>
      <c r="J68" s="2"/>
      <c r="K68" s="21">
        <f t="shared" si="17"/>
        <v>0</v>
      </c>
      <c r="L68" s="21">
        <f t="shared" si="18"/>
        <v>0</v>
      </c>
      <c r="M68" s="23"/>
    </row>
    <row r="69" spans="1:13" x14ac:dyDescent="0.25">
      <c r="A69" s="2">
        <f t="shared" si="19"/>
        <v>4000</v>
      </c>
      <c r="B69" s="2">
        <v>800</v>
      </c>
      <c r="C69" s="2">
        <v>800</v>
      </c>
      <c r="D69" s="2"/>
      <c r="E69" s="21"/>
      <c r="F69" s="21"/>
      <c r="G69" s="21"/>
      <c r="H69" s="2">
        <f t="shared" si="16"/>
        <v>800</v>
      </c>
      <c r="I69" s="2">
        <f t="shared" si="10"/>
        <v>800</v>
      </c>
      <c r="J69" s="2"/>
      <c r="K69" s="21">
        <f t="shared" si="17"/>
        <v>0</v>
      </c>
      <c r="L69" s="21">
        <f t="shared" si="18"/>
        <v>0</v>
      </c>
      <c r="M69" s="23"/>
    </row>
    <row r="70" spans="1:13" x14ac:dyDescent="0.25">
      <c r="A70" s="2">
        <f t="shared" si="19"/>
        <v>5000</v>
      </c>
      <c r="B70" s="2">
        <v>800</v>
      </c>
      <c r="C70" s="2">
        <v>800</v>
      </c>
      <c r="D70" s="2"/>
      <c r="E70" s="21"/>
      <c r="F70" s="21"/>
      <c r="G70" s="21"/>
      <c r="H70" s="2">
        <f t="shared" si="16"/>
        <v>800</v>
      </c>
      <c r="I70" s="2">
        <f t="shared" si="10"/>
        <v>800</v>
      </c>
      <c r="J70" s="2"/>
      <c r="K70" s="21">
        <f t="shared" si="17"/>
        <v>0</v>
      </c>
      <c r="L70" s="21">
        <f t="shared" si="18"/>
        <v>0</v>
      </c>
      <c r="M70" s="23"/>
    </row>
    <row r="71" spans="1:13" x14ac:dyDescent="0.25">
      <c r="A71" s="2">
        <f t="shared" si="19"/>
        <v>6300</v>
      </c>
      <c r="B71" s="2">
        <v>800</v>
      </c>
      <c r="C71" s="2">
        <v>800</v>
      </c>
      <c r="D71" s="2"/>
      <c r="E71" s="21"/>
      <c r="F71" s="21"/>
      <c r="G71" s="21"/>
      <c r="H71" s="2">
        <f t="shared" si="16"/>
        <v>800</v>
      </c>
      <c r="I71" s="2">
        <f t="shared" si="10"/>
        <v>800</v>
      </c>
      <c r="J71" s="2"/>
      <c r="K71" s="21">
        <f t="shared" si="17"/>
        <v>0</v>
      </c>
      <c r="L71" s="21">
        <f t="shared" si="18"/>
        <v>0</v>
      </c>
      <c r="M71" s="23"/>
    </row>
    <row r="73" spans="1:13" ht="15" customHeight="1" x14ac:dyDescent="0.25">
      <c r="B73" s="24"/>
      <c r="D73" s="246" t="s">
        <v>28</v>
      </c>
      <c r="E73" s="246"/>
      <c r="F73" s="246"/>
      <c r="G73" s="246"/>
      <c r="H73" s="246"/>
      <c r="I73" s="246"/>
      <c r="J73" s="246"/>
    </row>
    <row r="74" spans="1:13" ht="15" customHeight="1" x14ac:dyDescent="0.25">
      <c r="A74" s="24"/>
      <c r="B74" s="24"/>
      <c r="D74" s="266" t="s">
        <v>2</v>
      </c>
      <c r="E74" s="266"/>
      <c r="F74" s="266"/>
      <c r="G74" s="266"/>
      <c r="H74" s="266"/>
      <c r="I74" s="266"/>
      <c r="J74" s="266"/>
    </row>
    <row r="75" spans="1:13" ht="15" customHeight="1" x14ac:dyDescent="0.25">
      <c r="A75" s="24"/>
      <c r="B75" s="24"/>
      <c r="D75" s="266" t="s">
        <v>3</v>
      </c>
      <c r="E75" s="266"/>
      <c r="F75" s="266"/>
      <c r="G75" s="266" t="s">
        <v>22</v>
      </c>
      <c r="H75" s="266"/>
      <c r="I75" s="266"/>
      <c r="J75" s="266"/>
    </row>
    <row r="76" spans="1:13" ht="15" customHeight="1" x14ac:dyDescent="0.25">
      <c r="D76" s="266" t="s">
        <v>23</v>
      </c>
      <c r="E76" s="266"/>
      <c r="F76" s="266"/>
      <c r="G76" s="266" t="s">
        <v>22</v>
      </c>
      <c r="H76" s="266"/>
      <c r="I76" s="266"/>
      <c r="J76" s="266"/>
    </row>
    <row r="78" spans="1:13" x14ac:dyDescent="0.25">
      <c r="A78" s="227" t="s">
        <v>5</v>
      </c>
      <c r="B78" s="229" t="s">
        <v>6</v>
      </c>
      <c r="C78" s="230"/>
      <c r="D78" s="230"/>
      <c r="E78" s="230"/>
      <c r="F78" s="230"/>
      <c r="G78" s="230"/>
      <c r="H78" s="229" t="s">
        <v>7</v>
      </c>
      <c r="I78" s="230"/>
      <c r="J78" s="230"/>
      <c r="K78" s="230"/>
      <c r="L78" s="25"/>
      <c r="M78" s="26"/>
    </row>
    <row r="79" spans="1:13" x14ac:dyDescent="0.25">
      <c r="A79" s="227"/>
      <c r="B79" s="227" t="s">
        <v>8</v>
      </c>
      <c r="C79" s="227"/>
      <c r="D79" s="227"/>
      <c r="E79" s="259" t="s">
        <v>9</v>
      </c>
      <c r="F79" s="259"/>
      <c r="G79" s="267"/>
      <c r="H79" s="227" t="s">
        <v>8</v>
      </c>
      <c r="I79" s="227"/>
      <c r="J79" s="227"/>
      <c r="K79" s="259" t="s">
        <v>9</v>
      </c>
      <c r="L79" s="259"/>
      <c r="M79" s="267"/>
    </row>
    <row r="80" spans="1:13" x14ac:dyDescent="0.25">
      <c r="A80" s="227"/>
      <c r="B80" s="4" t="s">
        <v>24</v>
      </c>
      <c r="C80" s="4" t="s">
        <v>27</v>
      </c>
      <c r="D80" s="4" t="s">
        <v>26</v>
      </c>
      <c r="E80" s="28" t="s">
        <v>24</v>
      </c>
      <c r="F80" s="28" t="s">
        <v>27</v>
      </c>
      <c r="G80" s="28" t="s">
        <v>26</v>
      </c>
      <c r="H80" s="4" t="s">
        <v>24</v>
      </c>
      <c r="I80" s="4" t="s">
        <v>27</v>
      </c>
      <c r="J80" s="27" t="s">
        <v>26</v>
      </c>
      <c r="K80" s="29" t="s">
        <v>24</v>
      </c>
      <c r="L80" s="29" t="s">
        <v>27</v>
      </c>
      <c r="M80" s="29" t="s">
        <v>26</v>
      </c>
    </row>
    <row r="81" spans="1:13" x14ac:dyDescent="0.25">
      <c r="A81" s="2">
        <v>160</v>
      </c>
      <c r="B81" s="2">
        <v>600</v>
      </c>
      <c r="C81" s="2">
        <v>600</v>
      </c>
      <c r="D81" s="4"/>
      <c r="E81" s="21"/>
      <c r="F81" s="21"/>
      <c r="G81" s="28"/>
      <c r="H81" s="2">
        <f t="shared" si="16"/>
        <v>600</v>
      </c>
      <c r="I81" s="2">
        <f t="shared" si="16"/>
        <v>600</v>
      </c>
      <c r="J81" s="27"/>
      <c r="K81" s="92">
        <f t="shared" si="17"/>
        <v>0</v>
      </c>
      <c r="L81" s="92">
        <f t="shared" si="17"/>
        <v>0</v>
      </c>
      <c r="M81" s="29"/>
    </row>
    <row r="82" spans="1:13" x14ac:dyDescent="0.25">
      <c r="A82" s="2">
        <v>250</v>
      </c>
      <c r="B82" s="2">
        <v>600</v>
      </c>
      <c r="C82" s="2">
        <v>600</v>
      </c>
      <c r="D82" s="4"/>
      <c r="E82" s="21"/>
      <c r="F82" s="21"/>
      <c r="G82" s="28"/>
      <c r="H82" s="2">
        <f t="shared" si="16"/>
        <v>600</v>
      </c>
      <c r="I82" s="2">
        <f t="shared" si="16"/>
        <v>600</v>
      </c>
      <c r="J82" s="27"/>
      <c r="K82" s="92">
        <f t="shared" si="17"/>
        <v>0</v>
      </c>
      <c r="L82" s="92">
        <f t="shared" si="17"/>
        <v>0</v>
      </c>
      <c r="M82" s="29"/>
    </row>
    <row r="83" spans="1:13" x14ac:dyDescent="0.25">
      <c r="A83" s="2">
        <f t="shared" ref="A83:A94" si="20">A14</f>
        <v>400</v>
      </c>
      <c r="B83" s="2">
        <v>600</v>
      </c>
      <c r="C83" s="2">
        <v>600</v>
      </c>
      <c r="D83" s="4"/>
      <c r="E83" s="21"/>
      <c r="F83" s="21"/>
      <c r="G83" s="28"/>
      <c r="H83" s="2">
        <f t="shared" si="16"/>
        <v>600</v>
      </c>
      <c r="I83" s="2">
        <f t="shared" ref="I83:I94" si="21">C83</f>
        <v>600</v>
      </c>
      <c r="J83" s="27"/>
      <c r="K83" s="92">
        <f t="shared" si="17"/>
        <v>0</v>
      </c>
      <c r="L83" s="92">
        <f>F83</f>
        <v>0</v>
      </c>
      <c r="M83" s="29"/>
    </row>
    <row r="84" spans="1:13" x14ac:dyDescent="0.25">
      <c r="A84" s="2">
        <f t="shared" si="20"/>
        <v>630</v>
      </c>
      <c r="B84" s="2">
        <v>600</v>
      </c>
      <c r="C84" s="2">
        <v>600</v>
      </c>
      <c r="D84" s="4"/>
      <c r="E84" s="21"/>
      <c r="F84" s="21"/>
      <c r="G84" s="28"/>
      <c r="H84" s="2">
        <f t="shared" si="16"/>
        <v>600</v>
      </c>
      <c r="I84" s="2">
        <f t="shared" si="21"/>
        <v>600</v>
      </c>
      <c r="J84" s="27"/>
      <c r="K84" s="92">
        <f t="shared" si="17"/>
        <v>0</v>
      </c>
      <c r="L84" s="92">
        <f t="shared" si="17"/>
        <v>0</v>
      </c>
      <c r="M84" s="29"/>
    </row>
    <row r="85" spans="1:13" x14ac:dyDescent="0.25">
      <c r="A85" s="2">
        <f t="shared" si="20"/>
        <v>800</v>
      </c>
      <c r="B85" s="2">
        <v>600</v>
      </c>
      <c r="C85" s="2">
        <v>600</v>
      </c>
      <c r="D85" s="4"/>
      <c r="E85" s="21"/>
      <c r="F85" s="21"/>
      <c r="G85" s="21"/>
      <c r="H85" s="2">
        <f t="shared" si="16"/>
        <v>600</v>
      </c>
      <c r="I85" s="2">
        <f t="shared" si="21"/>
        <v>600</v>
      </c>
      <c r="J85" s="2"/>
      <c r="K85" s="92">
        <f t="shared" si="17"/>
        <v>0</v>
      </c>
      <c r="L85" s="92">
        <f t="shared" si="17"/>
        <v>0</v>
      </c>
      <c r="M85" s="21"/>
    </row>
    <row r="86" spans="1:13" x14ac:dyDescent="0.25">
      <c r="A86" s="2">
        <f t="shared" si="20"/>
        <v>1000</v>
      </c>
      <c r="B86" s="2">
        <v>700</v>
      </c>
      <c r="C86" s="2">
        <v>700</v>
      </c>
      <c r="D86" s="4"/>
      <c r="E86" s="21"/>
      <c r="F86" s="21"/>
      <c r="G86" s="21"/>
      <c r="H86" s="2">
        <f t="shared" si="16"/>
        <v>700</v>
      </c>
      <c r="I86" s="2">
        <f t="shared" si="21"/>
        <v>700</v>
      </c>
      <c r="J86" s="2"/>
      <c r="K86" s="92">
        <f t="shared" si="17"/>
        <v>0</v>
      </c>
      <c r="L86" s="92">
        <f t="shared" si="17"/>
        <v>0</v>
      </c>
      <c r="M86" s="21"/>
    </row>
    <row r="87" spans="1:13" x14ac:dyDescent="0.25">
      <c r="A87" s="2">
        <f t="shared" si="20"/>
        <v>1250</v>
      </c>
      <c r="B87" s="2">
        <v>700</v>
      </c>
      <c r="C87" s="2">
        <v>700</v>
      </c>
      <c r="D87" s="4"/>
      <c r="E87" s="21"/>
      <c r="F87" s="21"/>
      <c r="G87" s="21"/>
      <c r="H87" s="2">
        <f t="shared" si="16"/>
        <v>700</v>
      </c>
      <c r="I87" s="2">
        <f t="shared" si="21"/>
        <v>700</v>
      </c>
      <c r="J87" s="2"/>
      <c r="K87" s="92">
        <f t="shared" si="17"/>
        <v>0</v>
      </c>
      <c r="L87" s="92">
        <f t="shared" si="17"/>
        <v>0</v>
      </c>
      <c r="M87" s="21"/>
    </row>
    <row r="88" spans="1:13" x14ac:dyDescent="0.25">
      <c r="A88" s="2">
        <f t="shared" si="20"/>
        <v>1600</v>
      </c>
      <c r="B88" s="2">
        <v>800</v>
      </c>
      <c r="C88" s="2">
        <f t="shared" ref="C88:C94" si="22">B88</f>
        <v>800</v>
      </c>
      <c r="D88" s="4"/>
      <c r="E88" s="21"/>
      <c r="F88" s="21"/>
      <c r="G88" s="21"/>
      <c r="H88" s="2">
        <f t="shared" si="16"/>
        <v>800</v>
      </c>
      <c r="I88" s="2">
        <f t="shared" si="21"/>
        <v>800</v>
      </c>
      <c r="J88" s="2"/>
      <c r="K88" s="92">
        <f t="shared" si="17"/>
        <v>0</v>
      </c>
      <c r="L88" s="92">
        <f t="shared" si="17"/>
        <v>0</v>
      </c>
      <c r="M88" s="21"/>
    </row>
    <row r="89" spans="1:13" x14ac:dyDescent="0.25">
      <c r="A89" s="2">
        <f t="shared" si="20"/>
        <v>2000</v>
      </c>
      <c r="B89" s="2">
        <v>800</v>
      </c>
      <c r="C89" s="2">
        <f t="shared" si="22"/>
        <v>800</v>
      </c>
      <c r="D89" s="4"/>
      <c r="E89" s="21"/>
      <c r="F89" s="21"/>
      <c r="G89" s="21"/>
      <c r="H89" s="2">
        <f t="shared" si="16"/>
        <v>800</v>
      </c>
      <c r="I89" s="2">
        <f t="shared" si="21"/>
        <v>800</v>
      </c>
      <c r="J89" s="2"/>
      <c r="K89" s="92">
        <f t="shared" si="17"/>
        <v>0</v>
      </c>
      <c r="L89" s="92">
        <f t="shared" si="17"/>
        <v>0</v>
      </c>
      <c r="M89" s="21"/>
    </row>
    <row r="90" spans="1:13" x14ac:dyDescent="0.25">
      <c r="A90" s="2">
        <f t="shared" si="20"/>
        <v>2500</v>
      </c>
      <c r="B90" s="2">
        <v>900</v>
      </c>
      <c r="C90" s="2">
        <f t="shared" si="22"/>
        <v>900</v>
      </c>
      <c r="D90" s="4"/>
      <c r="E90" s="21"/>
      <c r="F90" s="21"/>
      <c r="G90" s="21"/>
      <c r="H90" s="2">
        <f t="shared" si="16"/>
        <v>900</v>
      </c>
      <c r="I90" s="2">
        <f t="shared" si="21"/>
        <v>900</v>
      </c>
      <c r="J90" s="2"/>
      <c r="K90" s="92">
        <f t="shared" si="17"/>
        <v>0</v>
      </c>
      <c r="L90" s="92">
        <f t="shared" si="17"/>
        <v>0</v>
      </c>
      <c r="M90" s="21"/>
    </row>
    <row r="91" spans="1:13" x14ac:dyDescent="0.25">
      <c r="A91" s="2">
        <f t="shared" si="20"/>
        <v>3200</v>
      </c>
      <c r="B91" s="2">
        <v>900</v>
      </c>
      <c r="C91" s="2">
        <f t="shared" si="22"/>
        <v>900</v>
      </c>
      <c r="D91" s="4"/>
      <c r="E91" s="21"/>
      <c r="F91" s="21"/>
      <c r="G91" s="21"/>
      <c r="H91" s="2">
        <f t="shared" si="16"/>
        <v>900</v>
      </c>
      <c r="I91" s="2">
        <f t="shared" si="21"/>
        <v>900</v>
      </c>
      <c r="J91" s="2"/>
      <c r="K91" s="92">
        <f t="shared" si="17"/>
        <v>0</v>
      </c>
      <c r="L91" s="92">
        <f t="shared" si="17"/>
        <v>0</v>
      </c>
      <c r="M91" s="21"/>
    </row>
    <row r="92" spans="1:13" x14ac:dyDescent="0.25">
      <c r="A92" s="2">
        <f t="shared" si="20"/>
        <v>4000</v>
      </c>
      <c r="B92" s="2">
        <v>900</v>
      </c>
      <c r="C92" s="2">
        <f t="shared" si="22"/>
        <v>900</v>
      </c>
      <c r="D92" s="4"/>
      <c r="E92" s="21"/>
      <c r="F92" s="21"/>
      <c r="G92" s="21"/>
      <c r="H92" s="2">
        <f t="shared" si="16"/>
        <v>900</v>
      </c>
      <c r="I92" s="2">
        <f t="shared" si="21"/>
        <v>900</v>
      </c>
      <c r="J92" s="2"/>
      <c r="K92" s="92">
        <f t="shared" si="17"/>
        <v>0</v>
      </c>
      <c r="L92" s="92">
        <f t="shared" si="17"/>
        <v>0</v>
      </c>
      <c r="M92" s="21"/>
    </row>
    <row r="93" spans="1:13" x14ac:dyDescent="0.25">
      <c r="A93" s="2">
        <f t="shared" si="20"/>
        <v>5000</v>
      </c>
      <c r="B93" s="2">
        <v>1300</v>
      </c>
      <c r="C93" s="2">
        <f t="shared" si="22"/>
        <v>1300</v>
      </c>
      <c r="D93" s="4"/>
      <c r="E93" s="21"/>
      <c r="F93" s="21"/>
      <c r="G93" s="21"/>
      <c r="H93" s="2">
        <f t="shared" si="16"/>
        <v>1300</v>
      </c>
      <c r="I93" s="2">
        <f t="shared" si="21"/>
        <v>1300</v>
      </c>
      <c r="J93" s="2"/>
      <c r="K93" s="92">
        <f t="shared" si="17"/>
        <v>0</v>
      </c>
      <c r="L93" s="92">
        <f t="shared" si="17"/>
        <v>0</v>
      </c>
      <c r="M93" s="21"/>
    </row>
    <row r="94" spans="1:13" x14ac:dyDescent="0.25">
      <c r="A94" s="2">
        <f t="shared" si="20"/>
        <v>6300</v>
      </c>
      <c r="B94" s="2">
        <v>1300</v>
      </c>
      <c r="C94" s="2">
        <f t="shared" si="22"/>
        <v>1300</v>
      </c>
      <c r="D94" s="4"/>
      <c r="E94" s="21"/>
      <c r="F94" s="21"/>
      <c r="G94" s="21"/>
      <c r="H94" s="2">
        <f t="shared" si="16"/>
        <v>1300</v>
      </c>
      <c r="I94" s="2">
        <f t="shared" si="21"/>
        <v>1300</v>
      </c>
      <c r="J94" s="2"/>
      <c r="K94" s="92">
        <f t="shared" si="17"/>
        <v>0</v>
      </c>
      <c r="L94" s="92">
        <f t="shared" si="17"/>
        <v>0</v>
      </c>
      <c r="M94" s="21"/>
    </row>
    <row r="96" spans="1:13" ht="18.75" x14ac:dyDescent="0.25">
      <c r="D96" s="246" t="s">
        <v>29</v>
      </c>
      <c r="E96" s="246"/>
      <c r="F96" s="246"/>
      <c r="G96" s="246"/>
      <c r="H96" s="246"/>
      <c r="I96" s="246"/>
      <c r="J96" s="246"/>
    </row>
    <row r="97" spans="1:17" ht="15" customHeight="1" x14ac:dyDescent="0.25">
      <c r="B97" s="24"/>
      <c r="C97" s="24"/>
      <c r="D97" s="266" t="s">
        <v>2</v>
      </c>
      <c r="E97" s="266"/>
      <c r="F97" s="266"/>
      <c r="G97" s="266"/>
      <c r="H97" s="266"/>
      <c r="I97" s="266"/>
      <c r="J97" s="266"/>
    </row>
    <row r="98" spans="1:17" ht="15" customHeight="1" x14ac:dyDescent="0.25">
      <c r="A98" s="24"/>
      <c r="B98" s="24"/>
      <c r="C98" s="24"/>
      <c r="D98" s="266" t="s">
        <v>3</v>
      </c>
      <c r="E98" s="266"/>
      <c r="F98" s="266"/>
      <c r="G98" s="266" t="s">
        <v>22</v>
      </c>
      <c r="H98" s="266"/>
      <c r="I98" s="266"/>
      <c r="J98" s="266"/>
    </row>
    <row r="99" spans="1:17" ht="15" customHeight="1" x14ac:dyDescent="0.25">
      <c r="A99" s="24"/>
      <c r="B99" s="24"/>
      <c r="C99" s="24"/>
      <c r="D99" s="266" t="s">
        <v>23</v>
      </c>
      <c r="E99" s="266"/>
      <c r="F99" s="266"/>
      <c r="G99" s="266" t="s">
        <v>30</v>
      </c>
      <c r="H99" s="266"/>
      <c r="I99" s="266"/>
      <c r="J99" s="266"/>
    </row>
    <row r="100" spans="1:17" x14ac:dyDescent="0.25">
      <c r="D100" s="266" t="s">
        <v>31</v>
      </c>
      <c r="E100" s="266"/>
      <c r="F100" s="266"/>
      <c r="G100" s="266" t="s">
        <v>32</v>
      </c>
      <c r="H100" s="266"/>
      <c r="I100" s="266"/>
      <c r="J100" s="266"/>
    </row>
    <row r="102" spans="1:17" x14ac:dyDescent="0.25">
      <c r="A102" s="227" t="s">
        <v>5</v>
      </c>
      <c r="B102" s="227" t="s">
        <v>6</v>
      </c>
      <c r="C102" s="227"/>
      <c r="D102" s="227"/>
      <c r="E102" s="227"/>
      <c r="F102" s="227"/>
      <c r="G102" s="227"/>
      <c r="H102" s="227"/>
      <c r="I102" s="227"/>
      <c r="J102" s="227" t="s">
        <v>7</v>
      </c>
      <c r="K102" s="227"/>
      <c r="L102" s="227"/>
      <c r="M102" s="227"/>
      <c r="N102" s="227"/>
      <c r="O102" s="227"/>
      <c r="P102" s="227"/>
      <c r="Q102" s="227"/>
    </row>
    <row r="103" spans="1:17" x14ac:dyDescent="0.25">
      <c r="A103" s="227"/>
      <c r="B103" s="268" t="s">
        <v>8</v>
      </c>
      <c r="C103" s="269"/>
      <c r="D103" s="269"/>
      <c r="E103" s="270"/>
      <c r="F103" s="271" t="s">
        <v>9</v>
      </c>
      <c r="G103" s="272"/>
      <c r="H103" s="272"/>
      <c r="I103" s="273"/>
      <c r="J103" s="268" t="s">
        <v>8</v>
      </c>
      <c r="K103" s="269"/>
      <c r="L103" s="269"/>
      <c r="M103" s="270"/>
      <c r="N103" s="271" t="s">
        <v>9</v>
      </c>
      <c r="O103" s="272"/>
      <c r="P103" s="272"/>
      <c r="Q103" s="272"/>
    </row>
    <row r="104" spans="1:17" x14ac:dyDescent="0.25">
      <c r="A104" s="227"/>
      <c r="B104" s="4" t="s">
        <v>24</v>
      </c>
      <c r="C104" s="4" t="s">
        <v>27</v>
      </c>
      <c r="D104" s="4" t="s">
        <v>33</v>
      </c>
      <c r="E104" s="4" t="s">
        <v>26</v>
      </c>
      <c r="F104" s="28" t="s">
        <v>24</v>
      </c>
      <c r="G104" s="28" t="s">
        <v>27</v>
      </c>
      <c r="H104" s="28" t="s">
        <v>33</v>
      </c>
      <c r="I104" s="28" t="s">
        <v>26</v>
      </c>
      <c r="J104" s="27" t="s">
        <v>24</v>
      </c>
      <c r="K104" s="27" t="s">
        <v>27</v>
      </c>
      <c r="L104" s="27" t="s">
        <v>33</v>
      </c>
      <c r="M104" s="27" t="s">
        <v>26</v>
      </c>
      <c r="N104" s="29" t="s">
        <v>24</v>
      </c>
      <c r="O104" s="29" t="s">
        <v>27</v>
      </c>
      <c r="P104" s="29" t="s">
        <v>33</v>
      </c>
      <c r="Q104" s="28" t="s">
        <v>26</v>
      </c>
    </row>
    <row r="105" spans="1:17" x14ac:dyDescent="0.25">
      <c r="A105" s="2">
        <v>160</v>
      </c>
      <c r="B105" s="2"/>
      <c r="C105" s="2"/>
      <c r="D105" s="2"/>
      <c r="E105" s="4"/>
      <c r="F105" s="21">
        <f t="shared" ref="F105:F118" si="23">B105</f>
        <v>0</v>
      </c>
      <c r="G105" s="21">
        <f t="shared" ref="G105:H118" si="24">C105</f>
        <v>0</v>
      </c>
      <c r="H105" s="21">
        <f t="shared" si="24"/>
        <v>0</v>
      </c>
      <c r="I105" s="28"/>
      <c r="J105" s="2">
        <f t="shared" ref="J105:L166" si="25">B105</f>
        <v>0</v>
      </c>
      <c r="K105" s="2">
        <f t="shared" si="25"/>
        <v>0</v>
      </c>
      <c r="L105" s="2">
        <f t="shared" si="25"/>
        <v>0</v>
      </c>
      <c r="M105" s="27"/>
      <c r="N105" s="21">
        <f t="shared" ref="N105:P166" si="26">F105</f>
        <v>0</v>
      </c>
      <c r="O105" s="21">
        <f t="shared" si="26"/>
        <v>0</v>
      </c>
      <c r="P105" s="21">
        <f t="shared" si="26"/>
        <v>0</v>
      </c>
      <c r="Q105" s="28"/>
    </row>
    <row r="106" spans="1:17" x14ac:dyDescent="0.25">
      <c r="A106" s="2">
        <v>250</v>
      </c>
      <c r="B106" s="2"/>
      <c r="C106" s="2"/>
      <c r="D106" s="2"/>
      <c r="E106" s="4"/>
      <c r="F106" s="21">
        <f t="shared" si="23"/>
        <v>0</v>
      </c>
      <c r="G106" s="21">
        <f t="shared" si="24"/>
        <v>0</v>
      </c>
      <c r="H106" s="21">
        <f t="shared" ref="H106:H118" si="27">D106</f>
        <v>0</v>
      </c>
      <c r="I106" s="28"/>
      <c r="J106" s="2">
        <f t="shared" si="25"/>
        <v>0</v>
      </c>
      <c r="K106" s="2">
        <f t="shared" si="25"/>
        <v>0</v>
      </c>
      <c r="L106" s="2">
        <f t="shared" si="25"/>
        <v>0</v>
      </c>
      <c r="M106" s="27"/>
      <c r="N106" s="21">
        <f t="shared" si="26"/>
        <v>0</v>
      </c>
      <c r="O106" s="21">
        <f t="shared" si="26"/>
        <v>0</v>
      </c>
      <c r="P106" s="21">
        <f t="shared" si="26"/>
        <v>0</v>
      </c>
      <c r="Q106" s="28"/>
    </row>
    <row r="107" spans="1:17" x14ac:dyDescent="0.25">
      <c r="A107" s="2">
        <f t="shared" ref="A107:A118" si="28">A14</f>
        <v>400</v>
      </c>
      <c r="B107" s="2"/>
      <c r="C107" s="2"/>
      <c r="D107" s="2"/>
      <c r="E107" s="4"/>
      <c r="F107" s="21">
        <f t="shared" si="23"/>
        <v>0</v>
      </c>
      <c r="G107" s="21">
        <f t="shared" si="24"/>
        <v>0</v>
      </c>
      <c r="H107" s="21">
        <f t="shared" si="27"/>
        <v>0</v>
      </c>
      <c r="I107" s="28"/>
      <c r="J107" s="2">
        <f t="shared" si="25"/>
        <v>0</v>
      </c>
      <c r="K107" s="2">
        <f t="shared" si="25"/>
        <v>0</v>
      </c>
      <c r="L107" s="2">
        <f t="shared" si="25"/>
        <v>0</v>
      </c>
      <c r="M107" s="27"/>
      <c r="N107" s="21">
        <f t="shared" si="26"/>
        <v>0</v>
      </c>
      <c r="O107" s="21">
        <f t="shared" si="26"/>
        <v>0</v>
      </c>
      <c r="P107" s="21">
        <f t="shared" si="26"/>
        <v>0</v>
      </c>
      <c r="Q107" s="28"/>
    </row>
    <row r="108" spans="1:17" x14ac:dyDescent="0.25">
      <c r="A108" s="2">
        <f t="shared" si="28"/>
        <v>630</v>
      </c>
      <c r="B108" s="2"/>
      <c r="C108" s="2"/>
      <c r="D108" s="2"/>
      <c r="E108" s="4"/>
      <c r="F108" s="21">
        <f t="shared" si="23"/>
        <v>0</v>
      </c>
      <c r="G108" s="21">
        <f t="shared" si="24"/>
        <v>0</v>
      </c>
      <c r="H108" s="21">
        <f t="shared" si="27"/>
        <v>0</v>
      </c>
      <c r="I108" s="28"/>
      <c r="J108" s="2">
        <f t="shared" si="25"/>
        <v>0</v>
      </c>
      <c r="K108" s="2">
        <f t="shared" si="25"/>
        <v>0</v>
      </c>
      <c r="L108" s="2">
        <f t="shared" si="25"/>
        <v>0</v>
      </c>
      <c r="M108" s="27"/>
      <c r="N108" s="21">
        <f t="shared" si="26"/>
        <v>0</v>
      </c>
      <c r="O108" s="21">
        <f t="shared" si="26"/>
        <v>0</v>
      </c>
      <c r="P108" s="21">
        <f t="shared" si="26"/>
        <v>0</v>
      </c>
      <c r="Q108" s="28"/>
    </row>
    <row r="109" spans="1:17" x14ac:dyDescent="0.25">
      <c r="A109" s="2">
        <f t="shared" si="28"/>
        <v>800</v>
      </c>
      <c r="B109" s="2"/>
      <c r="C109" s="2"/>
      <c r="D109" s="2"/>
      <c r="E109" s="35"/>
      <c r="F109" s="21">
        <f t="shared" si="23"/>
        <v>0</v>
      </c>
      <c r="G109" s="21">
        <f t="shared" si="24"/>
        <v>0</v>
      </c>
      <c r="H109" s="21">
        <f t="shared" si="27"/>
        <v>0</v>
      </c>
      <c r="I109" s="36"/>
      <c r="J109" s="2">
        <f t="shared" si="25"/>
        <v>0</v>
      </c>
      <c r="K109" s="2">
        <f>C109</f>
        <v>0</v>
      </c>
      <c r="L109" s="2">
        <f>D109</f>
        <v>0</v>
      </c>
      <c r="M109" s="19"/>
      <c r="N109" s="21">
        <f t="shared" si="26"/>
        <v>0</v>
      </c>
      <c r="O109" s="21">
        <f>G109</f>
        <v>0</v>
      </c>
      <c r="P109" s="21">
        <f>H109</f>
        <v>0</v>
      </c>
      <c r="Q109" s="37"/>
    </row>
    <row r="110" spans="1:17" x14ac:dyDescent="0.25">
      <c r="A110" s="2">
        <f t="shared" si="28"/>
        <v>1000</v>
      </c>
      <c r="B110" s="2"/>
      <c r="C110" s="2"/>
      <c r="D110" s="2"/>
      <c r="E110" s="35"/>
      <c r="F110" s="21">
        <f t="shared" si="23"/>
        <v>0</v>
      </c>
      <c r="G110" s="21">
        <f t="shared" si="24"/>
        <v>0</v>
      </c>
      <c r="H110" s="21">
        <f t="shared" si="27"/>
        <v>0</v>
      </c>
      <c r="I110" s="36"/>
      <c r="J110" s="2">
        <f t="shared" si="25"/>
        <v>0</v>
      </c>
      <c r="K110" s="2">
        <f t="shared" si="25"/>
        <v>0</v>
      </c>
      <c r="L110" s="2">
        <f t="shared" si="25"/>
        <v>0</v>
      </c>
      <c r="M110" s="19"/>
      <c r="N110" s="21">
        <f t="shared" si="26"/>
        <v>0</v>
      </c>
      <c r="O110" s="21">
        <f t="shared" si="26"/>
        <v>0</v>
      </c>
      <c r="P110" s="21">
        <f t="shared" si="26"/>
        <v>0</v>
      </c>
      <c r="Q110" s="37"/>
    </row>
    <row r="111" spans="1:17" x14ac:dyDescent="0.25">
      <c r="A111" s="2">
        <f t="shared" si="28"/>
        <v>1250</v>
      </c>
      <c r="B111" s="2"/>
      <c r="C111" s="2"/>
      <c r="D111" s="2"/>
      <c r="E111" s="35"/>
      <c r="F111" s="21">
        <f t="shared" si="23"/>
        <v>0</v>
      </c>
      <c r="G111" s="21">
        <f t="shared" si="24"/>
        <v>0</v>
      </c>
      <c r="H111" s="21">
        <f t="shared" si="27"/>
        <v>0</v>
      </c>
      <c r="I111" s="36"/>
      <c r="J111" s="2">
        <f t="shared" si="25"/>
        <v>0</v>
      </c>
      <c r="K111" s="2">
        <f t="shared" si="25"/>
        <v>0</v>
      </c>
      <c r="L111" s="2">
        <f t="shared" si="25"/>
        <v>0</v>
      </c>
      <c r="M111" s="19"/>
      <c r="N111" s="21">
        <f t="shared" si="26"/>
        <v>0</v>
      </c>
      <c r="O111" s="21">
        <f t="shared" si="26"/>
        <v>0</v>
      </c>
      <c r="P111" s="21">
        <f t="shared" si="26"/>
        <v>0</v>
      </c>
      <c r="Q111" s="37"/>
    </row>
    <row r="112" spans="1:17" x14ac:dyDescent="0.25">
      <c r="A112" s="2">
        <f t="shared" si="28"/>
        <v>1600</v>
      </c>
      <c r="B112" s="2"/>
      <c r="C112" s="2"/>
      <c r="D112" s="2"/>
      <c r="E112" s="35"/>
      <c r="F112" s="21">
        <f t="shared" si="23"/>
        <v>0</v>
      </c>
      <c r="G112" s="21">
        <f t="shared" si="24"/>
        <v>0</v>
      </c>
      <c r="H112" s="21">
        <f t="shared" si="27"/>
        <v>0</v>
      </c>
      <c r="I112" s="36"/>
      <c r="J112" s="2">
        <f t="shared" si="25"/>
        <v>0</v>
      </c>
      <c r="K112" s="2">
        <f t="shared" si="25"/>
        <v>0</v>
      </c>
      <c r="L112" s="2">
        <f t="shared" si="25"/>
        <v>0</v>
      </c>
      <c r="M112" s="19"/>
      <c r="N112" s="21">
        <f t="shared" si="26"/>
        <v>0</v>
      </c>
      <c r="O112" s="21">
        <f t="shared" si="26"/>
        <v>0</v>
      </c>
      <c r="P112" s="21">
        <f t="shared" si="26"/>
        <v>0</v>
      </c>
      <c r="Q112" s="37"/>
    </row>
    <row r="113" spans="1:17" x14ac:dyDescent="0.25">
      <c r="A113" s="2">
        <f t="shared" si="28"/>
        <v>2000</v>
      </c>
      <c r="B113" s="2"/>
      <c r="C113" s="2"/>
      <c r="D113" s="2"/>
      <c r="E113" s="35"/>
      <c r="F113" s="21">
        <f t="shared" si="23"/>
        <v>0</v>
      </c>
      <c r="G113" s="21">
        <f t="shared" si="24"/>
        <v>0</v>
      </c>
      <c r="H113" s="21">
        <f t="shared" si="27"/>
        <v>0</v>
      </c>
      <c r="I113" s="36"/>
      <c r="J113" s="2">
        <f t="shared" si="25"/>
        <v>0</v>
      </c>
      <c r="K113" s="2">
        <f t="shared" si="25"/>
        <v>0</v>
      </c>
      <c r="L113" s="2">
        <f t="shared" si="25"/>
        <v>0</v>
      </c>
      <c r="M113" s="19"/>
      <c r="N113" s="21">
        <f t="shared" si="26"/>
        <v>0</v>
      </c>
      <c r="O113" s="21">
        <f t="shared" si="26"/>
        <v>0</v>
      </c>
      <c r="P113" s="21">
        <f t="shared" si="26"/>
        <v>0</v>
      </c>
      <c r="Q113" s="37"/>
    </row>
    <row r="114" spans="1:17" x14ac:dyDescent="0.25">
      <c r="A114" s="2">
        <f t="shared" si="28"/>
        <v>2500</v>
      </c>
      <c r="B114" s="2"/>
      <c r="C114" s="2"/>
      <c r="D114" s="2"/>
      <c r="E114" s="35"/>
      <c r="F114" s="21">
        <f t="shared" si="23"/>
        <v>0</v>
      </c>
      <c r="G114" s="21">
        <f t="shared" si="24"/>
        <v>0</v>
      </c>
      <c r="H114" s="21">
        <f t="shared" si="27"/>
        <v>0</v>
      </c>
      <c r="I114" s="36"/>
      <c r="J114" s="2">
        <f t="shared" si="25"/>
        <v>0</v>
      </c>
      <c r="K114" s="2">
        <f t="shared" si="25"/>
        <v>0</v>
      </c>
      <c r="L114" s="2">
        <f t="shared" si="25"/>
        <v>0</v>
      </c>
      <c r="M114" s="19"/>
      <c r="N114" s="21">
        <f t="shared" si="26"/>
        <v>0</v>
      </c>
      <c r="O114" s="21">
        <f t="shared" si="26"/>
        <v>0</v>
      </c>
      <c r="P114" s="21">
        <f t="shared" si="26"/>
        <v>0</v>
      </c>
      <c r="Q114" s="37"/>
    </row>
    <row r="115" spans="1:17" x14ac:dyDescent="0.25">
      <c r="A115" s="2">
        <f t="shared" si="28"/>
        <v>3200</v>
      </c>
      <c r="B115" s="2"/>
      <c r="C115" s="2"/>
      <c r="D115" s="2"/>
      <c r="E115" s="35"/>
      <c r="F115" s="21">
        <f t="shared" si="23"/>
        <v>0</v>
      </c>
      <c r="G115" s="21">
        <f t="shared" si="24"/>
        <v>0</v>
      </c>
      <c r="H115" s="21">
        <f t="shared" si="27"/>
        <v>0</v>
      </c>
      <c r="I115" s="36"/>
      <c r="J115" s="2">
        <f t="shared" si="25"/>
        <v>0</v>
      </c>
      <c r="K115" s="2">
        <f t="shared" si="25"/>
        <v>0</v>
      </c>
      <c r="L115" s="2">
        <f t="shared" si="25"/>
        <v>0</v>
      </c>
      <c r="M115" s="19"/>
      <c r="N115" s="21">
        <f t="shared" si="26"/>
        <v>0</v>
      </c>
      <c r="O115" s="21">
        <f t="shared" si="26"/>
        <v>0</v>
      </c>
      <c r="P115" s="21">
        <f t="shared" si="26"/>
        <v>0</v>
      </c>
      <c r="Q115" s="37"/>
    </row>
    <row r="116" spans="1:17" x14ac:dyDescent="0.25">
      <c r="A116" s="2">
        <f t="shared" si="28"/>
        <v>4000</v>
      </c>
      <c r="B116" s="2"/>
      <c r="C116" s="2"/>
      <c r="D116" s="2"/>
      <c r="E116" s="35"/>
      <c r="F116" s="21">
        <f t="shared" si="23"/>
        <v>0</v>
      </c>
      <c r="G116" s="21">
        <f t="shared" si="24"/>
        <v>0</v>
      </c>
      <c r="H116" s="21">
        <f t="shared" si="27"/>
        <v>0</v>
      </c>
      <c r="I116" s="36"/>
      <c r="J116" s="2">
        <f t="shared" si="25"/>
        <v>0</v>
      </c>
      <c r="K116" s="2">
        <f t="shared" si="25"/>
        <v>0</v>
      </c>
      <c r="L116" s="2">
        <f t="shared" si="25"/>
        <v>0</v>
      </c>
      <c r="M116" s="19"/>
      <c r="N116" s="21">
        <f t="shared" si="26"/>
        <v>0</v>
      </c>
      <c r="O116" s="21">
        <f t="shared" si="26"/>
        <v>0</v>
      </c>
      <c r="P116" s="21">
        <f t="shared" si="26"/>
        <v>0</v>
      </c>
      <c r="Q116" s="37"/>
    </row>
    <row r="117" spans="1:17" x14ac:dyDescent="0.25">
      <c r="A117" s="2">
        <f t="shared" si="28"/>
        <v>5000</v>
      </c>
      <c r="B117" s="2"/>
      <c r="C117" s="2"/>
      <c r="D117" s="2"/>
      <c r="E117" s="35"/>
      <c r="F117" s="21">
        <f t="shared" si="23"/>
        <v>0</v>
      </c>
      <c r="G117" s="21">
        <f t="shared" si="24"/>
        <v>0</v>
      </c>
      <c r="H117" s="21">
        <f t="shared" si="27"/>
        <v>0</v>
      </c>
      <c r="I117" s="36"/>
      <c r="J117" s="2">
        <f t="shared" si="25"/>
        <v>0</v>
      </c>
      <c r="K117" s="2">
        <f t="shared" si="25"/>
        <v>0</v>
      </c>
      <c r="L117" s="2">
        <f t="shared" si="25"/>
        <v>0</v>
      </c>
      <c r="M117" s="19"/>
      <c r="N117" s="21">
        <f t="shared" si="26"/>
        <v>0</v>
      </c>
      <c r="O117" s="21">
        <f t="shared" si="26"/>
        <v>0</v>
      </c>
      <c r="P117" s="21">
        <f t="shared" si="26"/>
        <v>0</v>
      </c>
      <c r="Q117" s="37"/>
    </row>
    <row r="118" spans="1:17" x14ac:dyDescent="0.25">
      <c r="A118" s="2">
        <f t="shared" si="28"/>
        <v>6300</v>
      </c>
      <c r="B118" s="2"/>
      <c r="C118" s="2"/>
      <c r="D118" s="2"/>
      <c r="E118" s="35"/>
      <c r="F118" s="21">
        <f t="shared" si="23"/>
        <v>0</v>
      </c>
      <c r="G118" s="21">
        <f t="shared" si="24"/>
        <v>0</v>
      </c>
      <c r="H118" s="21">
        <f t="shared" si="27"/>
        <v>0</v>
      </c>
      <c r="I118" s="36"/>
      <c r="J118" s="2">
        <f t="shared" si="25"/>
        <v>0</v>
      </c>
      <c r="K118" s="2">
        <f t="shared" si="25"/>
        <v>0</v>
      </c>
      <c r="L118" s="2">
        <f t="shared" si="25"/>
        <v>0</v>
      </c>
      <c r="M118" s="19"/>
      <c r="N118" s="21">
        <f t="shared" si="26"/>
        <v>0</v>
      </c>
      <c r="O118" s="21">
        <f t="shared" si="26"/>
        <v>0</v>
      </c>
      <c r="P118" s="21">
        <f t="shared" si="26"/>
        <v>0</v>
      </c>
      <c r="Q118" s="37"/>
    </row>
    <row r="120" spans="1:17" ht="18.75" x14ac:dyDescent="0.25">
      <c r="D120" s="246" t="s">
        <v>34</v>
      </c>
      <c r="E120" s="246"/>
      <c r="F120" s="246"/>
      <c r="G120" s="246"/>
      <c r="H120" s="246"/>
      <c r="I120" s="246"/>
      <c r="J120" s="246"/>
    </row>
    <row r="121" spans="1:17" x14ac:dyDescent="0.25">
      <c r="D121" s="266" t="s">
        <v>2</v>
      </c>
      <c r="E121" s="266"/>
      <c r="F121" s="266"/>
      <c r="G121" s="266"/>
      <c r="H121" s="266"/>
      <c r="I121" s="266"/>
      <c r="J121" s="266"/>
    </row>
    <row r="122" spans="1:17" x14ac:dyDescent="0.25">
      <c r="D122" s="266" t="s">
        <v>3</v>
      </c>
      <c r="E122" s="266"/>
      <c r="F122" s="266"/>
      <c r="G122" s="266" t="s">
        <v>22</v>
      </c>
      <c r="H122" s="266"/>
      <c r="I122" s="266"/>
      <c r="J122" s="266"/>
    </row>
    <row r="123" spans="1:17" x14ac:dyDescent="0.25">
      <c r="D123" s="266" t="s">
        <v>23</v>
      </c>
      <c r="E123" s="266"/>
      <c r="F123" s="266"/>
      <c r="G123" s="266" t="s">
        <v>30</v>
      </c>
      <c r="H123" s="266"/>
      <c r="I123" s="266"/>
      <c r="J123" s="266"/>
    </row>
    <row r="124" spans="1:17" x14ac:dyDescent="0.25">
      <c r="D124" s="266" t="s">
        <v>31</v>
      </c>
      <c r="E124" s="266"/>
      <c r="F124" s="266"/>
      <c r="G124" s="266" t="s">
        <v>32</v>
      </c>
      <c r="H124" s="266"/>
      <c r="I124" s="266"/>
      <c r="J124" s="266"/>
    </row>
    <row r="126" spans="1:17" x14ac:dyDescent="0.25">
      <c r="A126" s="227" t="s">
        <v>5</v>
      </c>
      <c r="B126" s="227" t="s">
        <v>6</v>
      </c>
      <c r="C126" s="227"/>
      <c r="D126" s="227"/>
      <c r="E126" s="227"/>
      <c r="F126" s="227"/>
      <c r="G126" s="227"/>
      <c r="H126" s="227"/>
      <c r="I126" s="227"/>
      <c r="J126" s="227" t="s">
        <v>7</v>
      </c>
      <c r="K126" s="227"/>
      <c r="L126" s="227"/>
      <c r="M126" s="227"/>
      <c r="N126" s="227"/>
      <c r="O126" s="227"/>
      <c r="P126" s="227"/>
      <c r="Q126" s="227"/>
    </row>
    <row r="127" spans="1:17" x14ac:dyDescent="0.25">
      <c r="A127" s="227"/>
      <c r="B127" s="227" t="s">
        <v>8</v>
      </c>
      <c r="C127" s="227"/>
      <c r="D127" s="227"/>
      <c r="E127" s="227"/>
      <c r="F127" s="259" t="s">
        <v>9</v>
      </c>
      <c r="G127" s="259"/>
      <c r="H127" s="259"/>
      <c r="I127" s="259"/>
      <c r="J127" s="227" t="s">
        <v>8</v>
      </c>
      <c r="K127" s="227"/>
      <c r="L127" s="227"/>
      <c r="M127" s="227"/>
      <c r="N127" s="259" t="s">
        <v>9</v>
      </c>
      <c r="O127" s="259"/>
      <c r="P127" s="259"/>
      <c r="Q127" s="259"/>
    </row>
    <row r="128" spans="1:17" x14ac:dyDescent="0.25">
      <c r="A128" s="227"/>
      <c r="B128" s="4" t="s">
        <v>24</v>
      </c>
      <c r="C128" s="4" t="s">
        <v>27</v>
      </c>
      <c r="D128" s="4" t="s">
        <v>33</v>
      </c>
      <c r="E128" s="4" t="s">
        <v>26</v>
      </c>
      <c r="F128" s="28" t="s">
        <v>24</v>
      </c>
      <c r="G128" s="28" t="s">
        <v>27</v>
      </c>
      <c r="H128" s="28" t="s">
        <v>33</v>
      </c>
      <c r="I128" s="6" t="s">
        <v>26</v>
      </c>
      <c r="J128" s="4" t="s">
        <v>24</v>
      </c>
      <c r="K128" s="4" t="s">
        <v>27</v>
      </c>
      <c r="L128" s="4" t="s">
        <v>33</v>
      </c>
      <c r="M128" s="4" t="s">
        <v>26</v>
      </c>
      <c r="N128" s="28" t="s">
        <v>24</v>
      </c>
      <c r="O128" s="28" t="s">
        <v>27</v>
      </c>
      <c r="P128" s="28" t="s">
        <v>33</v>
      </c>
      <c r="Q128" s="6" t="s">
        <v>26</v>
      </c>
    </row>
    <row r="129" spans="1:17" x14ac:dyDescent="0.25">
      <c r="A129" s="2">
        <v>160</v>
      </c>
      <c r="B129" s="41">
        <v>600</v>
      </c>
      <c r="C129" s="2">
        <v>700</v>
      </c>
      <c r="D129" s="41">
        <f t="shared" ref="D129:D142" si="29">B129</f>
        <v>600</v>
      </c>
      <c r="E129" s="4"/>
      <c r="F129" s="93"/>
      <c r="G129" s="93"/>
      <c r="H129" s="42"/>
      <c r="I129" s="6"/>
      <c r="J129" s="41">
        <f t="shared" si="25"/>
        <v>600</v>
      </c>
      <c r="K129" s="41">
        <f t="shared" si="25"/>
        <v>700</v>
      </c>
      <c r="L129" s="41">
        <f t="shared" si="25"/>
        <v>600</v>
      </c>
      <c r="M129" s="4"/>
      <c r="N129" s="42">
        <f t="shared" si="26"/>
        <v>0</v>
      </c>
      <c r="O129" s="21">
        <f t="shared" si="26"/>
        <v>0</v>
      </c>
      <c r="P129" s="42">
        <f t="shared" si="26"/>
        <v>0</v>
      </c>
      <c r="Q129" s="6"/>
    </row>
    <row r="130" spans="1:17" x14ac:dyDescent="0.25">
      <c r="A130" s="2">
        <v>250</v>
      </c>
      <c r="B130" s="41">
        <v>600</v>
      </c>
      <c r="C130" s="2">
        <v>700</v>
      </c>
      <c r="D130" s="41">
        <f t="shared" si="29"/>
        <v>600</v>
      </c>
      <c r="E130" s="4"/>
      <c r="F130" s="93"/>
      <c r="G130" s="93"/>
      <c r="H130" s="42"/>
      <c r="I130" s="6"/>
      <c r="J130" s="41">
        <f t="shared" si="25"/>
        <v>600</v>
      </c>
      <c r="K130" s="41">
        <f t="shared" si="25"/>
        <v>700</v>
      </c>
      <c r="L130" s="41">
        <f t="shared" si="25"/>
        <v>600</v>
      </c>
      <c r="M130" s="4"/>
      <c r="N130" s="42">
        <f t="shared" si="26"/>
        <v>0</v>
      </c>
      <c r="O130" s="21">
        <f t="shared" si="26"/>
        <v>0</v>
      </c>
      <c r="P130" s="42">
        <f t="shared" si="26"/>
        <v>0</v>
      </c>
      <c r="Q130" s="6"/>
    </row>
    <row r="131" spans="1:17" x14ac:dyDescent="0.25">
      <c r="A131" s="2">
        <f t="shared" ref="A131:A142" si="30">A14</f>
        <v>400</v>
      </c>
      <c r="B131" s="41">
        <v>600</v>
      </c>
      <c r="C131" s="2">
        <v>700</v>
      </c>
      <c r="D131" s="41">
        <f t="shared" si="29"/>
        <v>600</v>
      </c>
      <c r="E131" s="4"/>
      <c r="F131" s="93"/>
      <c r="G131" s="93"/>
      <c r="H131" s="42"/>
      <c r="I131" s="6"/>
      <c r="J131" s="41">
        <f t="shared" si="25"/>
        <v>600</v>
      </c>
      <c r="K131" s="41">
        <f t="shared" si="25"/>
        <v>700</v>
      </c>
      <c r="L131" s="41">
        <f t="shared" si="25"/>
        <v>600</v>
      </c>
      <c r="M131" s="4"/>
      <c r="N131" s="42">
        <f t="shared" si="26"/>
        <v>0</v>
      </c>
      <c r="O131" s="21">
        <f t="shared" si="26"/>
        <v>0</v>
      </c>
      <c r="P131" s="42">
        <f t="shared" si="26"/>
        <v>0</v>
      </c>
      <c r="Q131" s="6"/>
    </row>
    <row r="132" spans="1:17" x14ac:dyDescent="0.25">
      <c r="A132" s="2">
        <f t="shared" si="30"/>
        <v>630</v>
      </c>
      <c r="B132" s="41">
        <v>600</v>
      </c>
      <c r="C132" s="2">
        <v>700</v>
      </c>
      <c r="D132" s="41">
        <f t="shared" si="29"/>
        <v>600</v>
      </c>
      <c r="E132" s="4"/>
      <c r="F132" s="93"/>
      <c r="G132" s="93"/>
      <c r="H132" s="42"/>
      <c r="I132" s="6"/>
      <c r="J132" s="41">
        <f t="shared" si="25"/>
        <v>600</v>
      </c>
      <c r="K132" s="41">
        <f t="shared" si="25"/>
        <v>700</v>
      </c>
      <c r="L132" s="41">
        <f t="shared" si="25"/>
        <v>600</v>
      </c>
      <c r="M132" s="4"/>
      <c r="N132" s="42">
        <f t="shared" si="26"/>
        <v>0</v>
      </c>
      <c r="O132" s="21">
        <f t="shared" si="26"/>
        <v>0</v>
      </c>
      <c r="P132" s="42">
        <f t="shared" si="26"/>
        <v>0</v>
      </c>
      <c r="Q132" s="6"/>
    </row>
    <row r="133" spans="1:17" x14ac:dyDescent="0.25">
      <c r="A133" s="2">
        <f t="shared" si="30"/>
        <v>800</v>
      </c>
      <c r="B133" s="41">
        <v>600</v>
      </c>
      <c r="C133" s="2">
        <v>700</v>
      </c>
      <c r="D133" s="41">
        <f t="shared" si="29"/>
        <v>600</v>
      </c>
      <c r="E133" s="38"/>
      <c r="F133" s="93"/>
      <c r="G133" s="93"/>
      <c r="H133" s="42"/>
      <c r="I133" s="94"/>
      <c r="J133" s="41">
        <f t="shared" si="25"/>
        <v>600</v>
      </c>
      <c r="K133" s="41">
        <f>C133</f>
        <v>700</v>
      </c>
      <c r="L133" s="41">
        <f>D133</f>
        <v>600</v>
      </c>
      <c r="M133" s="38"/>
      <c r="N133" s="42">
        <f t="shared" si="26"/>
        <v>0</v>
      </c>
      <c r="O133" s="21">
        <f>G133</f>
        <v>0</v>
      </c>
      <c r="P133" s="42">
        <f>H133</f>
        <v>0</v>
      </c>
      <c r="Q133" s="39"/>
    </row>
    <row r="134" spans="1:17" x14ac:dyDescent="0.25">
      <c r="A134" s="2">
        <f t="shared" si="30"/>
        <v>1000</v>
      </c>
      <c r="B134" s="41">
        <v>700</v>
      </c>
      <c r="C134" s="2">
        <v>800</v>
      </c>
      <c r="D134" s="41">
        <f t="shared" si="29"/>
        <v>700</v>
      </c>
      <c r="E134" s="38"/>
      <c r="F134" s="93"/>
      <c r="G134" s="93"/>
      <c r="H134" s="42"/>
      <c r="I134" s="94"/>
      <c r="J134" s="41">
        <f t="shared" si="25"/>
        <v>700</v>
      </c>
      <c r="K134" s="41">
        <f t="shared" si="25"/>
        <v>800</v>
      </c>
      <c r="L134" s="41">
        <f t="shared" si="25"/>
        <v>700</v>
      </c>
      <c r="M134" s="38"/>
      <c r="N134" s="42">
        <f t="shared" si="26"/>
        <v>0</v>
      </c>
      <c r="O134" s="21">
        <f t="shared" si="26"/>
        <v>0</v>
      </c>
      <c r="P134" s="42">
        <f t="shared" si="26"/>
        <v>0</v>
      </c>
      <c r="Q134" s="39"/>
    </row>
    <row r="135" spans="1:17" x14ac:dyDescent="0.25">
      <c r="A135" s="2">
        <f t="shared" si="30"/>
        <v>1250</v>
      </c>
      <c r="B135" s="41">
        <v>700</v>
      </c>
      <c r="C135" s="2">
        <v>800</v>
      </c>
      <c r="D135" s="41">
        <f t="shared" si="29"/>
        <v>700</v>
      </c>
      <c r="E135" s="38"/>
      <c r="F135" s="93"/>
      <c r="G135" s="93"/>
      <c r="H135" s="42"/>
      <c r="I135" s="94"/>
      <c r="J135" s="41">
        <f t="shared" si="25"/>
        <v>700</v>
      </c>
      <c r="K135" s="41">
        <f t="shared" si="25"/>
        <v>800</v>
      </c>
      <c r="L135" s="41">
        <f t="shared" si="25"/>
        <v>700</v>
      </c>
      <c r="M135" s="38"/>
      <c r="N135" s="42">
        <f t="shared" si="26"/>
        <v>0</v>
      </c>
      <c r="O135" s="21">
        <f t="shared" si="26"/>
        <v>0</v>
      </c>
      <c r="P135" s="42">
        <f t="shared" si="26"/>
        <v>0</v>
      </c>
      <c r="Q135" s="39"/>
    </row>
    <row r="136" spans="1:17" x14ac:dyDescent="0.25">
      <c r="A136" s="2">
        <f t="shared" si="30"/>
        <v>1600</v>
      </c>
      <c r="B136" s="41">
        <v>800</v>
      </c>
      <c r="C136" s="2">
        <v>1000</v>
      </c>
      <c r="D136" s="41">
        <f t="shared" si="29"/>
        <v>800</v>
      </c>
      <c r="E136" s="38"/>
      <c r="F136" s="93"/>
      <c r="G136" s="93"/>
      <c r="H136" s="42"/>
      <c r="I136" s="94"/>
      <c r="J136" s="41">
        <f t="shared" si="25"/>
        <v>800</v>
      </c>
      <c r="K136" s="41">
        <f t="shared" si="25"/>
        <v>1000</v>
      </c>
      <c r="L136" s="41">
        <f t="shared" si="25"/>
        <v>800</v>
      </c>
      <c r="M136" s="38"/>
      <c r="N136" s="42">
        <f t="shared" si="26"/>
        <v>0</v>
      </c>
      <c r="O136" s="21">
        <f t="shared" si="26"/>
        <v>0</v>
      </c>
      <c r="P136" s="42">
        <f t="shared" si="26"/>
        <v>0</v>
      </c>
      <c r="Q136" s="39"/>
    </row>
    <row r="137" spans="1:17" x14ac:dyDescent="0.25">
      <c r="A137" s="2">
        <f t="shared" si="30"/>
        <v>2000</v>
      </c>
      <c r="B137" s="41">
        <v>800</v>
      </c>
      <c r="C137" s="2">
        <v>1000</v>
      </c>
      <c r="D137" s="41">
        <f t="shared" si="29"/>
        <v>800</v>
      </c>
      <c r="E137" s="38"/>
      <c r="F137" s="93"/>
      <c r="G137" s="93"/>
      <c r="H137" s="42"/>
      <c r="I137" s="94"/>
      <c r="J137" s="41">
        <f t="shared" si="25"/>
        <v>800</v>
      </c>
      <c r="K137" s="41">
        <f t="shared" si="25"/>
        <v>1000</v>
      </c>
      <c r="L137" s="41">
        <f t="shared" si="25"/>
        <v>800</v>
      </c>
      <c r="M137" s="38"/>
      <c r="N137" s="42">
        <f t="shared" si="26"/>
        <v>0</v>
      </c>
      <c r="O137" s="21">
        <f t="shared" si="26"/>
        <v>0</v>
      </c>
      <c r="P137" s="42">
        <f t="shared" si="26"/>
        <v>0</v>
      </c>
      <c r="Q137" s="39"/>
    </row>
    <row r="138" spans="1:17" x14ac:dyDescent="0.25">
      <c r="A138" s="2">
        <f t="shared" si="30"/>
        <v>2500</v>
      </c>
      <c r="B138" s="41">
        <v>900</v>
      </c>
      <c r="C138" s="2">
        <v>1200</v>
      </c>
      <c r="D138" s="41">
        <f t="shared" si="29"/>
        <v>900</v>
      </c>
      <c r="E138" s="38"/>
      <c r="F138" s="93"/>
      <c r="G138" s="93"/>
      <c r="H138" s="42"/>
      <c r="I138" s="94"/>
      <c r="J138" s="41">
        <f t="shared" si="25"/>
        <v>900</v>
      </c>
      <c r="K138" s="41">
        <f t="shared" si="25"/>
        <v>1200</v>
      </c>
      <c r="L138" s="41">
        <f t="shared" si="25"/>
        <v>900</v>
      </c>
      <c r="M138" s="38"/>
      <c r="N138" s="42">
        <f t="shared" si="26"/>
        <v>0</v>
      </c>
      <c r="O138" s="21">
        <f t="shared" si="26"/>
        <v>0</v>
      </c>
      <c r="P138" s="42">
        <f t="shared" si="26"/>
        <v>0</v>
      </c>
      <c r="Q138" s="39"/>
    </row>
    <row r="139" spans="1:17" x14ac:dyDescent="0.25">
      <c r="A139" s="2">
        <f t="shared" si="30"/>
        <v>3200</v>
      </c>
      <c r="B139" s="41">
        <v>900</v>
      </c>
      <c r="C139" s="2">
        <v>1200</v>
      </c>
      <c r="D139" s="41">
        <f t="shared" si="29"/>
        <v>900</v>
      </c>
      <c r="E139" s="38"/>
      <c r="F139" s="93"/>
      <c r="G139" s="93"/>
      <c r="H139" s="42"/>
      <c r="I139" s="94"/>
      <c r="J139" s="41">
        <f t="shared" si="25"/>
        <v>900</v>
      </c>
      <c r="K139" s="41">
        <f t="shared" si="25"/>
        <v>1200</v>
      </c>
      <c r="L139" s="41">
        <f t="shared" si="25"/>
        <v>900</v>
      </c>
      <c r="M139" s="38"/>
      <c r="N139" s="42">
        <f t="shared" si="26"/>
        <v>0</v>
      </c>
      <c r="O139" s="21">
        <f t="shared" si="26"/>
        <v>0</v>
      </c>
      <c r="P139" s="42">
        <f t="shared" si="26"/>
        <v>0</v>
      </c>
      <c r="Q139" s="39"/>
    </row>
    <row r="140" spans="1:17" x14ac:dyDescent="0.25">
      <c r="A140" s="2">
        <f t="shared" si="30"/>
        <v>4000</v>
      </c>
      <c r="B140" s="41">
        <v>900</v>
      </c>
      <c r="C140" s="2">
        <v>1200</v>
      </c>
      <c r="D140" s="41">
        <f t="shared" si="29"/>
        <v>900</v>
      </c>
      <c r="E140" s="38"/>
      <c r="F140" s="93"/>
      <c r="G140" s="93"/>
      <c r="H140" s="42"/>
      <c r="I140" s="94"/>
      <c r="J140" s="41">
        <f t="shared" si="25"/>
        <v>900</v>
      </c>
      <c r="K140" s="41">
        <f t="shared" si="25"/>
        <v>1200</v>
      </c>
      <c r="L140" s="41">
        <f t="shared" si="25"/>
        <v>900</v>
      </c>
      <c r="M140" s="38"/>
      <c r="N140" s="42">
        <f t="shared" si="26"/>
        <v>0</v>
      </c>
      <c r="O140" s="21">
        <f t="shared" si="26"/>
        <v>0</v>
      </c>
      <c r="P140" s="42">
        <f t="shared" si="26"/>
        <v>0</v>
      </c>
      <c r="Q140" s="39"/>
    </row>
    <row r="141" spans="1:17" x14ac:dyDescent="0.25">
      <c r="A141" s="2">
        <f t="shared" si="30"/>
        <v>5000</v>
      </c>
      <c r="B141" s="41">
        <v>1300</v>
      </c>
      <c r="C141" s="2">
        <v>1800</v>
      </c>
      <c r="D141" s="41">
        <f t="shared" si="29"/>
        <v>1300</v>
      </c>
      <c r="E141" s="38"/>
      <c r="F141" s="93"/>
      <c r="G141" s="93"/>
      <c r="H141" s="42"/>
      <c r="I141" s="94"/>
      <c r="J141" s="41">
        <f t="shared" si="25"/>
        <v>1300</v>
      </c>
      <c r="K141" s="41">
        <f t="shared" si="25"/>
        <v>1800</v>
      </c>
      <c r="L141" s="41">
        <f t="shared" si="25"/>
        <v>1300</v>
      </c>
      <c r="M141" s="38"/>
      <c r="N141" s="42">
        <f t="shared" si="26"/>
        <v>0</v>
      </c>
      <c r="O141" s="21">
        <f t="shared" si="26"/>
        <v>0</v>
      </c>
      <c r="P141" s="42">
        <f t="shared" si="26"/>
        <v>0</v>
      </c>
      <c r="Q141" s="39"/>
    </row>
    <row r="142" spans="1:17" x14ac:dyDescent="0.25">
      <c r="A142" s="2">
        <f t="shared" si="30"/>
        <v>6300</v>
      </c>
      <c r="B142" s="41">
        <v>1300</v>
      </c>
      <c r="C142" s="2">
        <v>1800</v>
      </c>
      <c r="D142" s="41">
        <f t="shared" si="29"/>
        <v>1300</v>
      </c>
      <c r="E142" s="38"/>
      <c r="F142" s="93"/>
      <c r="G142" s="93"/>
      <c r="H142" s="42"/>
      <c r="I142" s="94"/>
      <c r="J142" s="41">
        <f t="shared" si="25"/>
        <v>1300</v>
      </c>
      <c r="K142" s="41">
        <f t="shared" si="25"/>
        <v>1800</v>
      </c>
      <c r="L142" s="41">
        <f t="shared" si="25"/>
        <v>1300</v>
      </c>
      <c r="M142" s="38"/>
      <c r="N142" s="42">
        <f t="shared" si="26"/>
        <v>0</v>
      </c>
      <c r="O142" s="21">
        <f t="shared" si="26"/>
        <v>0</v>
      </c>
      <c r="P142" s="42">
        <f t="shared" si="26"/>
        <v>0</v>
      </c>
      <c r="Q142" s="39"/>
    </row>
    <row r="143" spans="1:17" x14ac:dyDescent="0.25">
      <c r="I143" s="40"/>
      <c r="Q143" s="40"/>
    </row>
    <row r="144" spans="1:17" ht="18.75" x14ac:dyDescent="0.25">
      <c r="D144" s="246" t="s">
        <v>35</v>
      </c>
      <c r="E144" s="246"/>
      <c r="F144" s="246"/>
      <c r="G144" s="246"/>
      <c r="H144" s="246"/>
      <c r="I144" s="246"/>
      <c r="J144" s="246"/>
    </row>
    <row r="145" spans="1:17" x14ac:dyDescent="0.25">
      <c r="D145" s="266" t="s">
        <v>2</v>
      </c>
      <c r="E145" s="266"/>
      <c r="F145" s="266"/>
      <c r="G145" s="266"/>
      <c r="H145" s="266"/>
      <c r="I145" s="266"/>
      <c r="J145" s="266"/>
    </row>
    <row r="146" spans="1:17" x14ac:dyDescent="0.25">
      <c r="D146" s="266" t="s">
        <v>3</v>
      </c>
      <c r="E146" s="266"/>
      <c r="F146" s="266"/>
      <c r="G146" s="266" t="s">
        <v>30</v>
      </c>
      <c r="H146" s="266"/>
      <c r="I146" s="266"/>
      <c r="J146" s="266"/>
    </row>
    <row r="147" spans="1:17" x14ac:dyDescent="0.25">
      <c r="D147" s="266" t="s">
        <v>23</v>
      </c>
      <c r="E147" s="266"/>
      <c r="F147" s="266"/>
      <c r="G147" s="266" t="s">
        <v>30</v>
      </c>
      <c r="H147" s="266"/>
      <c r="I147" s="266"/>
      <c r="J147" s="266"/>
    </row>
    <row r="148" spans="1:17" x14ac:dyDescent="0.25">
      <c r="D148" s="266" t="s">
        <v>31</v>
      </c>
      <c r="E148" s="266"/>
      <c r="F148" s="266"/>
      <c r="G148" s="266" t="s">
        <v>32</v>
      </c>
      <c r="H148" s="266"/>
      <c r="I148" s="266"/>
      <c r="J148" s="266"/>
    </row>
    <row r="150" spans="1:17" x14ac:dyDescent="0.25">
      <c r="A150" s="227" t="s">
        <v>5</v>
      </c>
      <c r="B150" s="227" t="s">
        <v>6</v>
      </c>
      <c r="C150" s="227"/>
      <c r="D150" s="227"/>
      <c r="E150" s="227"/>
      <c r="F150" s="227"/>
      <c r="G150" s="227"/>
      <c r="H150" s="227"/>
      <c r="I150" s="227"/>
      <c r="J150" s="227" t="s">
        <v>7</v>
      </c>
      <c r="K150" s="227"/>
      <c r="L150" s="227"/>
      <c r="M150" s="227"/>
      <c r="N150" s="227"/>
      <c r="O150" s="227"/>
      <c r="P150" s="227"/>
      <c r="Q150" s="227"/>
    </row>
    <row r="151" spans="1:17" x14ac:dyDescent="0.25">
      <c r="A151" s="227"/>
      <c r="B151" s="268" t="s">
        <v>8</v>
      </c>
      <c r="C151" s="269"/>
      <c r="D151" s="269"/>
      <c r="E151" s="270"/>
      <c r="F151" s="271" t="s">
        <v>9</v>
      </c>
      <c r="G151" s="272"/>
      <c r="H151" s="272"/>
      <c r="I151" s="273"/>
      <c r="J151" s="274" t="s">
        <v>8</v>
      </c>
      <c r="K151" s="275"/>
      <c r="L151" s="275"/>
      <c r="M151" s="276"/>
      <c r="N151" s="271" t="s">
        <v>9</v>
      </c>
      <c r="O151" s="272"/>
      <c r="P151" s="272"/>
      <c r="Q151" s="272"/>
    </row>
    <row r="152" spans="1:17" x14ac:dyDescent="0.25">
      <c r="A152" s="227"/>
      <c r="B152" s="4" t="s">
        <v>24</v>
      </c>
      <c r="C152" s="4" t="s">
        <v>27</v>
      </c>
      <c r="D152" s="4" t="s">
        <v>36</v>
      </c>
      <c r="E152" s="4" t="s">
        <v>26</v>
      </c>
      <c r="F152" s="28" t="s">
        <v>24</v>
      </c>
      <c r="G152" s="28" t="s">
        <v>27</v>
      </c>
      <c r="H152" s="28" t="s">
        <v>36</v>
      </c>
      <c r="I152" s="28" t="s">
        <v>26</v>
      </c>
      <c r="J152" s="4" t="s">
        <v>24</v>
      </c>
      <c r="K152" s="4" t="s">
        <v>27</v>
      </c>
      <c r="L152" s="4" t="s">
        <v>36</v>
      </c>
      <c r="M152" s="4" t="s">
        <v>26</v>
      </c>
      <c r="N152" s="28" t="s">
        <v>24</v>
      </c>
      <c r="O152" s="28" t="s">
        <v>27</v>
      </c>
      <c r="P152" s="28" t="s">
        <v>36</v>
      </c>
      <c r="Q152" s="28" t="s">
        <v>26</v>
      </c>
    </row>
    <row r="153" spans="1:17" x14ac:dyDescent="0.25">
      <c r="A153" s="2">
        <v>160</v>
      </c>
      <c r="B153" s="41"/>
      <c r="C153" s="41"/>
      <c r="D153" s="41"/>
      <c r="E153" s="4"/>
      <c r="F153" s="42"/>
      <c r="G153" s="42"/>
      <c r="H153" s="42"/>
      <c r="I153" s="23"/>
      <c r="J153" s="41">
        <f t="shared" si="25"/>
        <v>0</v>
      </c>
      <c r="K153" s="41">
        <f t="shared" ref="K153:K166" si="31">C153</f>
        <v>0</v>
      </c>
      <c r="L153" s="41">
        <f t="shared" ref="L153:L166" si="32">J153/2</f>
        <v>0</v>
      </c>
      <c r="M153" s="4"/>
      <c r="N153" s="42">
        <f t="shared" si="26"/>
        <v>0</v>
      </c>
      <c r="O153" s="42">
        <f t="shared" ref="O153:O166" si="33">G153</f>
        <v>0</v>
      </c>
      <c r="P153" s="42">
        <f t="shared" ref="P153:P166" si="34">N153/2</f>
        <v>0</v>
      </c>
      <c r="Q153" s="28"/>
    </row>
    <row r="154" spans="1:17" x14ac:dyDescent="0.25">
      <c r="A154" s="2">
        <v>250</v>
      </c>
      <c r="B154" s="41"/>
      <c r="C154" s="41"/>
      <c r="D154" s="41"/>
      <c r="E154" s="4"/>
      <c r="F154" s="42"/>
      <c r="G154" s="42"/>
      <c r="H154" s="42"/>
      <c r="I154" s="23"/>
      <c r="J154" s="41">
        <f t="shared" si="25"/>
        <v>0</v>
      </c>
      <c r="K154" s="41">
        <f t="shared" si="31"/>
        <v>0</v>
      </c>
      <c r="L154" s="41">
        <f t="shared" si="32"/>
        <v>0</v>
      </c>
      <c r="M154" s="4"/>
      <c r="N154" s="42">
        <f t="shared" si="26"/>
        <v>0</v>
      </c>
      <c r="O154" s="42">
        <f t="shared" si="33"/>
        <v>0</v>
      </c>
      <c r="P154" s="42">
        <f t="shared" si="34"/>
        <v>0</v>
      </c>
      <c r="Q154" s="28"/>
    </row>
    <row r="155" spans="1:17" x14ac:dyDescent="0.25">
      <c r="A155" s="2">
        <f t="shared" ref="A155:A166" si="35">A14</f>
        <v>400</v>
      </c>
      <c r="B155" s="41"/>
      <c r="C155" s="41"/>
      <c r="D155" s="41"/>
      <c r="E155" s="4"/>
      <c r="F155" s="42"/>
      <c r="G155" s="42"/>
      <c r="H155" s="42"/>
      <c r="I155" s="23"/>
      <c r="J155" s="41">
        <f t="shared" si="25"/>
        <v>0</v>
      </c>
      <c r="K155" s="41">
        <f t="shared" si="31"/>
        <v>0</v>
      </c>
      <c r="L155" s="41">
        <f t="shared" si="32"/>
        <v>0</v>
      </c>
      <c r="M155" s="4"/>
      <c r="N155" s="42">
        <f t="shared" si="26"/>
        <v>0</v>
      </c>
      <c r="O155" s="42">
        <f t="shared" si="33"/>
        <v>0</v>
      </c>
      <c r="P155" s="42">
        <f t="shared" si="34"/>
        <v>0</v>
      </c>
      <c r="Q155" s="28"/>
    </row>
    <row r="156" spans="1:17" x14ac:dyDescent="0.25">
      <c r="A156" s="2">
        <f t="shared" si="35"/>
        <v>630</v>
      </c>
      <c r="B156" s="41"/>
      <c r="C156" s="41"/>
      <c r="D156" s="41"/>
      <c r="E156" s="4"/>
      <c r="F156" s="42"/>
      <c r="G156" s="42"/>
      <c r="H156" s="42"/>
      <c r="I156" s="23"/>
      <c r="J156" s="41">
        <f t="shared" si="25"/>
        <v>0</v>
      </c>
      <c r="K156" s="41">
        <f t="shared" si="31"/>
        <v>0</v>
      </c>
      <c r="L156" s="41">
        <f t="shared" si="32"/>
        <v>0</v>
      </c>
      <c r="M156" s="4"/>
      <c r="N156" s="42">
        <f t="shared" si="26"/>
        <v>0</v>
      </c>
      <c r="O156" s="42">
        <f t="shared" si="33"/>
        <v>0</v>
      </c>
      <c r="P156" s="42">
        <f t="shared" si="34"/>
        <v>0</v>
      </c>
      <c r="Q156" s="28"/>
    </row>
    <row r="157" spans="1:17" x14ac:dyDescent="0.25">
      <c r="A157" s="2">
        <f t="shared" si="35"/>
        <v>800</v>
      </c>
      <c r="B157" s="41"/>
      <c r="C157" s="41"/>
      <c r="D157" s="41"/>
      <c r="E157" s="22"/>
      <c r="F157" s="42"/>
      <c r="G157" s="42"/>
      <c r="H157" s="42"/>
      <c r="I157" s="23"/>
      <c r="J157" s="41">
        <f t="shared" si="25"/>
        <v>0</v>
      </c>
      <c r="K157" s="41">
        <f t="shared" si="31"/>
        <v>0</v>
      </c>
      <c r="L157" s="41">
        <f t="shared" si="32"/>
        <v>0</v>
      </c>
      <c r="M157" s="22"/>
      <c r="N157" s="42">
        <f t="shared" si="26"/>
        <v>0</v>
      </c>
      <c r="O157" s="42">
        <f t="shared" si="33"/>
        <v>0</v>
      </c>
      <c r="P157" s="42">
        <f t="shared" si="34"/>
        <v>0</v>
      </c>
      <c r="Q157" s="43"/>
    </row>
    <row r="158" spans="1:17" x14ac:dyDescent="0.25">
      <c r="A158" s="2">
        <f t="shared" si="35"/>
        <v>1000</v>
      </c>
      <c r="B158" s="41"/>
      <c r="C158" s="41"/>
      <c r="D158" s="41"/>
      <c r="E158" s="22"/>
      <c r="F158" s="42"/>
      <c r="G158" s="42"/>
      <c r="H158" s="42"/>
      <c r="I158" s="23"/>
      <c r="J158" s="41">
        <f t="shared" si="25"/>
        <v>0</v>
      </c>
      <c r="K158" s="41">
        <f t="shared" si="31"/>
        <v>0</v>
      </c>
      <c r="L158" s="41">
        <f t="shared" si="32"/>
        <v>0</v>
      </c>
      <c r="M158" s="22"/>
      <c r="N158" s="42">
        <f t="shared" si="26"/>
        <v>0</v>
      </c>
      <c r="O158" s="42">
        <f t="shared" si="33"/>
        <v>0</v>
      </c>
      <c r="P158" s="42">
        <f t="shared" si="34"/>
        <v>0</v>
      </c>
      <c r="Q158" s="43"/>
    </row>
    <row r="159" spans="1:17" x14ac:dyDescent="0.25">
      <c r="A159" s="2">
        <f t="shared" si="35"/>
        <v>1250</v>
      </c>
      <c r="B159" s="41"/>
      <c r="C159" s="41"/>
      <c r="D159" s="41"/>
      <c r="E159" s="22"/>
      <c r="F159" s="42"/>
      <c r="G159" s="42"/>
      <c r="H159" s="42"/>
      <c r="I159" s="23"/>
      <c r="J159" s="41">
        <f t="shared" si="25"/>
        <v>0</v>
      </c>
      <c r="K159" s="41">
        <f t="shared" si="31"/>
        <v>0</v>
      </c>
      <c r="L159" s="41">
        <f t="shared" si="32"/>
        <v>0</v>
      </c>
      <c r="M159" s="22"/>
      <c r="N159" s="42">
        <f t="shared" si="26"/>
        <v>0</v>
      </c>
      <c r="O159" s="42">
        <f t="shared" si="33"/>
        <v>0</v>
      </c>
      <c r="P159" s="42">
        <f t="shared" si="34"/>
        <v>0</v>
      </c>
      <c r="Q159" s="43"/>
    </row>
    <row r="160" spans="1:17" x14ac:dyDescent="0.25">
      <c r="A160" s="2">
        <f t="shared" si="35"/>
        <v>1600</v>
      </c>
      <c r="B160" s="41"/>
      <c r="C160" s="41"/>
      <c r="D160" s="41"/>
      <c r="E160" s="22"/>
      <c r="F160" s="42"/>
      <c r="G160" s="42"/>
      <c r="H160" s="42"/>
      <c r="I160" s="23"/>
      <c r="J160" s="41">
        <f t="shared" si="25"/>
        <v>0</v>
      </c>
      <c r="K160" s="41">
        <f t="shared" si="31"/>
        <v>0</v>
      </c>
      <c r="L160" s="41">
        <f t="shared" si="32"/>
        <v>0</v>
      </c>
      <c r="M160" s="22"/>
      <c r="N160" s="42">
        <f t="shared" si="26"/>
        <v>0</v>
      </c>
      <c r="O160" s="42">
        <f t="shared" si="33"/>
        <v>0</v>
      </c>
      <c r="P160" s="42">
        <f t="shared" si="34"/>
        <v>0</v>
      </c>
      <c r="Q160" s="43"/>
    </row>
    <row r="161" spans="1:28" x14ac:dyDescent="0.25">
      <c r="A161" s="2">
        <f t="shared" si="35"/>
        <v>2000</v>
      </c>
      <c r="B161" s="41"/>
      <c r="C161" s="41"/>
      <c r="D161" s="41"/>
      <c r="E161" s="22"/>
      <c r="F161" s="42"/>
      <c r="G161" s="42"/>
      <c r="H161" s="42"/>
      <c r="I161" s="23"/>
      <c r="J161" s="41">
        <f t="shared" si="25"/>
        <v>0</v>
      </c>
      <c r="K161" s="41">
        <f t="shared" si="31"/>
        <v>0</v>
      </c>
      <c r="L161" s="41">
        <f t="shared" si="32"/>
        <v>0</v>
      </c>
      <c r="M161" s="22"/>
      <c r="N161" s="42">
        <f t="shared" si="26"/>
        <v>0</v>
      </c>
      <c r="O161" s="42">
        <f t="shared" si="33"/>
        <v>0</v>
      </c>
      <c r="P161" s="42">
        <f t="shared" si="34"/>
        <v>0</v>
      </c>
      <c r="Q161" s="43"/>
    </row>
    <row r="162" spans="1:28" x14ac:dyDescent="0.25">
      <c r="A162" s="2">
        <f t="shared" si="35"/>
        <v>2500</v>
      </c>
      <c r="B162" s="41"/>
      <c r="C162" s="41"/>
      <c r="D162" s="41"/>
      <c r="E162" s="22"/>
      <c r="F162" s="42"/>
      <c r="G162" s="42"/>
      <c r="H162" s="42"/>
      <c r="I162" s="23"/>
      <c r="J162" s="41">
        <f t="shared" si="25"/>
        <v>0</v>
      </c>
      <c r="K162" s="41">
        <f t="shared" si="31"/>
        <v>0</v>
      </c>
      <c r="L162" s="41">
        <f t="shared" si="32"/>
        <v>0</v>
      </c>
      <c r="M162" s="22"/>
      <c r="N162" s="42">
        <f t="shared" si="26"/>
        <v>0</v>
      </c>
      <c r="O162" s="42">
        <f t="shared" si="33"/>
        <v>0</v>
      </c>
      <c r="P162" s="42">
        <f t="shared" si="34"/>
        <v>0</v>
      </c>
      <c r="Q162" s="43"/>
    </row>
    <row r="163" spans="1:28" x14ac:dyDescent="0.25">
      <c r="A163" s="2">
        <f t="shared" si="35"/>
        <v>3200</v>
      </c>
      <c r="B163" s="41"/>
      <c r="C163" s="41"/>
      <c r="D163" s="41"/>
      <c r="E163" s="22"/>
      <c r="F163" s="42"/>
      <c r="G163" s="42"/>
      <c r="H163" s="42"/>
      <c r="I163" s="23"/>
      <c r="J163" s="41">
        <f t="shared" si="25"/>
        <v>0</v>
      </c>
      <c r="K163" s="41">
        <f t="shared" si="31"/>
        <v>0</v>
      </c>
      <c r="L163" s="41">
        <f t="shared" si="32"/>
        <v>0</v>
      </c>
      <c r="M163" s="22"/>
      <c r="N163" s="42">
        <f t="shared" si="26"/>
        <v>0</v>
      </c>
      <c r="O163" s="42">
        <f t="shared" si="33"/>
        <v>0</v>
      </c>
      <c r="P163" s="42">
        <f t="shared" si="34"/>
        <v>0</v>
      </c>
      <c r="Q163" s="43"/>
    </row>
    <row r="164" spans="1:28" x14ac:dyDescent="0.25">
      <c r="A164" s="2">
        <f t="shared" si="35"/>
        <v>4000</v>
      </c>
      <c r="B164" s="41"/>
      <c r="C164" s="41"/>
      <c r="D164" s="41"/>
      <c r="E164" s="22"/>
      <c r="F164" s="42"/>
      <c r="G164" s="42"/>
      <c r="H164" s="42"/>
      <c r="I164" s="23"/>
      <c r="J164" s="41">
        <f t="shared" si="25"/>
        <v>0</v>
      </c>
      <c r="K164" s="41">
        <f t="shared" si="31"/>
        <v>0</v>
      </c>
      <c r="L164" s="41">
        <f t="shared" si="32"/>
        <v>0</v>
      </c>
      <c r="M164" s="22"/>
      <c r="N164" s="42">
        <f t="shared" si="26"/>
        <v>0</v>
      </c>
      <c r="O164" s="42">
        <f t="shared" si="33"/>
        <v>0</v>
      </c>
      <c r="P164" s="42">
        <f t="shared" si="34"/>
        <v>0</v>
      </c>
      <c r="Q164" s="43"/>
    </row>
    <row r="165" spans="1:28" x14ac:dyDescent="0.25">
      <c r="A165" s="2">
        <f t="shared" si="35"/>
        <v>5000</v>
      </c>
      <c r="B165" s="41"/>
      <c r="C165" s="41"/>
      <c r="D165" s="41"/>
      <c r="E165" s="22"/>
      <c r="F165" s="42"/>
      <c r="G165" s="42"/>
      <c r="H165" s="42"/>
      <c r="I165" s="23"/>
      <c r="J165" s="41">
        <f t="shared" si="25"/>
        <v>0</v>
      </c>
      <c r="K165" s="41">
        <f t="shared" si="31"/>
        <v>0</v>
      </c>
      <c r="L165" s="41">
        <f t="shared" si="32"/>
        <v>0</v>
      </c>
      <c r="M165" s="22"/>
      <c r="N165" s="42">
        <f t="shared" si="26"/>
        <v>0</v>
      </c>
      <c r="O165" s="42">
        <f t="shared" si="33"/>
        <v>0</v>
      </c>
      <c r="P165" s="42">
        <f t="shared" si="34"/>
        <v>0</v>
      </c>
      <c r="Q165" s="43"/>
    </row>
    <row r="166" spans="1:28" x14ac:dyDescent="0.25">
      <c r="A166" s="2">
        <f t="shared" si="35"/>
        <v>6300</v>
      </c>
      <c r="B166" s="41"/>
      <c r="C166" s="41"/>
      <c r="D166" s="41"/>
      <c r="E166" s="22"/>
      <c r="F166" s="42"/>
      <c r="G166" s="42"/>
      <c r="H166" s="42"/>
      <c r="I166" s="23"/>
      <c r="J166" s="41">
        <f t="shared" si="25"/>
        <v>0</v>
      </c>
      <c r="K166" s="41">
        <f t="shared" si="31"/>
        <v>0</v>
      </c>
      <c r="L166" s="41">
        <f t="shared" si="32"/>
        <v>0</v>
      </c>
      <c r="M166" s="22"/>
      <c r="N166" s="42">
        <f t="shared" si="26"/>
        <v>0</v>
      </c>
      <c r="O166" s="42">
        <f t="shared" si="33"/>
        <v>0</v>
      </c>
      <c r="P166" s="42">
        <f t="shared" si="34"/>
        <v>0</v>
      </c>
      <c r="Q166" s="43"/>
    </row>
    <row r="168" spans="1:28" ht="18.75" x14ac:dyDescent="0.25">
      <c r="D168" s="246" t="s">
        <v>37</v>
      </c>
      <c r="E168" s="246"/>
      <c r="F168" s="246"/>
      <c r="G168" s="246"/>
      <c r="H168" s="246"/>
      <c r="I168" s="246"/>
      <c r="J168" s="246"/>
    </row>
    <row r="169" spans="1:28" x14ac:dyDescent="0.25">
      <c r="D169" s="266" t="s">
        <v>2</v>
      </c>
      <c r="E169" s="266"/>
      <c r="F169" s="266"/>
      <c r="G169" s="266"/>
      <c r="H169" s="266"/>
      <c r="I169" s="266"/>
      <c r="J169" s="266"/>
    </row>
    <row r="170" spans="1:28" x14ac:dyDescent="0.25">
      <c r="D170" s="266" t="s">
        <v>3</v>
      </c>
      <c r="E170" s="266"/>
      <c r="F170" s="266"/>
      <c r="G170" s="266" t="s">
        <v>22</v>
      </c>
      <c r="H170" s="266"/>
      <c r="I170" s="266"/>
      <c r="J170" s="266"/>
    </row>
    <row r="171" spans="1:28" x14ac:dyDescent="0.25">
      <c r="D171" s="266" t="s">
        <v>23</v>
      </c>
      <c r="E171" s="266"/>
      <c r="F171" s="266"/>
      <c r="G171" s="266" t="s">
        <v>22</v>
      </c>
      <c r="H171" s="266"/>
      <c r="I171" s="266"/>
      <c r="J171" s="266"/>
    </row>
    <row r="172" spans="1:28" x14ac:dyDescent="0.25">
      <c r="D172" s="266" t="s">
        <v>31</v>
      </c>
      <c r="E172" s="266"/>
      <c r="F172" s="266"/>
      <c r="G172" s="266" t="s">
        <v>32</v>
      </c>
      <c r="H172" s="266"/>
      <c r="I172" s="266"/>
      <c r="J172" s="266"/>
    </row>
    <row r="174" spans="1:28" x14ac:dyDescent="0.25">
      <c r="A174" s="229" t="s">
        <v>5</v>
      </c>
      <c r="B174" s="229" t="s">
        <v>6</v>
      </c>
      <c r="C174" s="230"/>
      <c r="D174" s="230"/>
      <c r="E174" s="230"/>
      <c r="F174" s="230"/>
      <c r="G174" s="230"/>
      <c r="H174" s="230"/>
      <c r="I174" s="231"/>
      <c r="J174" s="229" t="s">
        <v>7</v>
      </c>
      <c r="K174" s="230"/>
      <c r="L174" s="230"/>
      <c r="M174" s="230"/>
      <c r="N174" s="230"/>
      <c r="O174" s="230"/>
      <c r="P174" s="230"/>
      <c r="Q174" s="231"/>
      <c r="S174" s="45"/>
      <c r="T174" s="46"/>
      <c r="U174" s="46"/>
      <c r="V174" s="46"/>
      <c r="W174" s="46"/>
      <c r="X174" s="46"/>
      <c r="Y174" s="46"/>
      <c r="Z174" s="46"/>
      <c r="AA174" s="46"/>
      <c r="AB174" s="47"/>
    </row>
    <row r="175" spans="1:28" x14ac:dyDescent="0.25">
      <c r="A175" s="227"/>
      <c r="B175" s="243" t="s">
        <v>8</v>
      </c>
      <c r="C175" s="243"/>
      <c r="D175" s="243"/>
      <c r="E175" s="268"/>
      <c r="F175" s="33"/>
      <c r="G175" s="272" t="s">
        <v>9</v>
      </c>
      <c r="H175" s="273"/>
      <c r="I175" s="34"/>
      <c r="J175" s="243" t="s">
        <v>8</v>
      </c>
      <c r="K175" s="243"/>
      <c r="L175" s="243"/>
      <c r="M175" s="268"/>
      <c r="N175" s="229"/>
      <c r="O175" s="230"/>
      <c r="P175" s="26"/>
      <c r="Q175" s="48"/>
      <c r="S175" s="49"/>
      <c r="AB175" s="50"/>
    </row>
    <row r="176" spans="1:28" x14ac:dyDescent="0.25">
      <c r="A176" s="227"/>
      <c r="B176" s="4" t="s">
        <v>24</v>
      </c>
      <c r="C176" s="4" t="s">
        <v>27</v>
      </c>
      <c r="D176" s="4" t="s">
        <v>36</v>
      </c>
      <c r="E176" s="4" t="s">
        <v>26</v>
      </c>
      <c r="F176" s="29" t="s">
        <v>24</v>
      </c>
      <c r="G176" s="28" t="s">
        <v>27</v>
      </c>
      <c r="H176" s="29" t="s">
        <v>36</v>
      </c>
      <c r="I176" s="28" t="s">
        <v>26</v>
      </c>
      <c r="J176" s="4" t="s">
        <v>24</v>
      </c>
      <c r="K176" s="4" t="s">
        <v>27</v>
      </c>
      <c r="L176" s="4" t="s">
        <v>36</v>
      </c>
      <c r="M176" s="4" t="s">
        <v>26</v>
      </c>
      <c r="N176" s="28" t="s">
        <v>24</v>
      </c>
      <c r="O176" s="28" t="s">
        <v>27</v>
      </c>
      <c r="P176" s="28" t="s">
        <v>36</v>
      </c>
      <c r="Q176" s="28" t="s">
        <v>26</v>
      </c>
      <c r="S176" s="49"/>
      <c r="AB176" s="50"/>
    </row>
    <row r="177" spans="1:28" x14ac:dyDescent="0.25">
      <c r="A177" s="2">
        <v>160</v>
      </c>
      <c r="B177" s="2">
        <f t="shared" ref="B177:B190" si="36">SUM(B81)</f>
        <v>600</v>
      </c>
      <c r="C177" s="17">
        <v>800</v>
      </c>
      <c r="D177" s="17">
        <v>800</v>
      </c>
      <c r="E177" s="4"/>
      <c r="F177" s="21"/>
      <c r="G177" s="21"/>
      <c r="H177" s="21"/>
      <c r="I177" s="28"/>
      <c r="J177" s="2">
        <f t="shared" ref="J177:L190" si="37">B177</f>
        <v>600</v>
      </c>
      <c r="K177" s="2">
        <f t="shared" si="37"/>
        <v>800</v>
      </c>
      <c r="L177" s="2">
        <f t="shared" si="37"/>
        <v>800</v>
      </c>
      <c r="M177" s="4"/>
      <c r="N177" s="21">
        <f t="shared" ref="N177:P190" si="38">F177</f>
        <v>0</v>
      </c>
      <c r="O177" s="51">
        <f t="shared" si="38"/>
        <v>0</v>
      </c>
      <c r="P177" s="51">
        <f t="shared" si="38"/>
        <v>0</v>
      </c>
      <c r="Q177" s="28"/>
      <c r="S177" s="49"/>
      <c r="AB177" s="50"/>
    </row>
    <row r="178" spans="1:28" x14ac:dyDescent="0.25">
      <c r="A178" s="2">
        <v>250</v>
      </c>
      <c r="B178" s="2">
        <f t="shared" si="36"/>
        <v>600</v>
      </c>
      <c r="C178" s="17">
        <v>800</v>
      </c>
      <c r="D178" s="17">
        <v>800</v>
      </c>
      <c r="E178" s="4"/>
      <c r="F178" s="21"/>
      <c r="G178" s="21"/>
      <c r="H178" s="21"/>
      <c r="I178" s="28"/>
      <c r="J178" s="2">
        <f t="shared" si="37"/>
        <v>600</v>
      </c>
      <c r="K178" s="2">
        <f t="shared" si="37"/>
        <v>800</v>
      </c>
      <c r="L178" s="2">
        <f t="shared" si="37"/>
        <v>800</v>
      </c>
      <c r="M178" s="4"/>
      <c r="N178" s="21">
        <f t="shared" si="38"/>
        <v>0</v>
      </c>
      <c r="O178" s="51">
        <f t="shared" si="38"/>
        <v>0</v>
      </c>
      <c r="P178" s="51">
        <f t="shared" si="38"/>
        <v>0</v>
      </c>
      <c r="Q178" s="28"/>
      <c r="S178" s="49"/>
      <c r="AB178" s="50"/>
    </row>
    <row r="179" spans="1:28" x14ac:dyDescent="0.25">
      <c r="A179" s="2">
        <f t="shared" ref="A179:A190" si="39">A14</f>
        <v>400</v>
      </c>
      <c r="B179" s="2">
        <f t="shared" si="36"/>
        <v>600</v>
      </c>
      <c r="C179" s="17">
        <v>800</v>
      </c>
      <c r="D179" s="17">
        <v>800</v>
      </c>
      <c r="E179" s="4"/>
      <c r="F179" s="21"/>
      <c r="G179" s="21"/>
      <c r="H179" s="21"/>
      <c r="I179" s="28"/>
      <c r="J179" s="2">
        <f t="shared" si="37"/>
        <v>600</v>
      </c>
      <c r="K179" s="2">
        <f t="shared" si="37"/>
        <v>800</v>
      </c>
      <c r="L179" s="2">
        <f t="shared" si="37"/>
        <v>800</v>
      </c>
      <c r="M179" s="4"/>
      <c r="N179" s="21">
        <f t="shared" si="38"/>
        <v>0</v>
      </c>
      <c r="O179" s="51">
        <f t="shared" si="38"/>
        <v>0</v>
      </c>
      <c r="P179" s="51">
        <f t="shared" si="38"/>
        <v>0</v>
      </c>
      <c r="Q179" s="28"/>
      <c r="S179" s="49"/>
      <c r="AB179" s="50"/>
    </row>
    <row r="180" spans="1:28" x14ac:dyDescent="0.25">
      <c r="A180" s="2">
        <f t="shared" si="39"/>
        <v>630</v>
      </c>
      <c r="B180" s="2">
        <f t="shared" si="36"/>
        <v>600</v>
      </c>
      <c r="C180" s="17">
        <v>800</v>
      </c>
      <c r="D180" s="17">
        <v>800</v>
      </c>
      <c r="E180" s="4"/>
      <c r="F180" s="21"/>
      <c r="G180" s="21"/>
      <c r="H180" s="21"/>
      <c r="I180" s="28"/>
      <c r="J180" s="2">
        <f t="shared" si="37"/>
        <v>600</v>
      </c>
      <c r="K180" s="2">
        <f t="shared" si="37"/>
        <v>800</v>
      </c>
      <c r="L180" s="2">
        <f t="shared" si="37"/>
        <v>800</v>
      </c>
      <c r="M180" s="4"/>
      <c r="N180" s="21">
        <f t="shared" si="38"/>
        <v>0</v>
      </c>
      <c r="O180" s="51">
        <f t="shared" si="38"/>
        <v>0</v>
      </c>
      <c r="P180" s="51">
        <f t="shared" si="38"/>
        <v>0</v>
      </c>
      <c r="Q180" s="28"/>
      <c r="S180" s="49"/>
      <c r="AB180" s="50"/>
    </row>
    <row r="181" spans="1:28" x14ac:dyDescent="0.25">
      <c r="A181" s="2">
        <f t="shared" si="39"/>
        <v>800</v>
      </c>
      <c r="B181" s="2">
        <f t="shared" si="36"/>
        <v>600</v>
      </c>
      <c r="C181" s="17">
        <v>800</v>
      </c>
      <c r="D181" s="17">
        <v>800</v>
      </c>
      <c r="E181" s="52"/>
      <c r="F181" s="21"/>
      <c r="G181" s="21"/>
      <c r="H181" s="21"/>
      <c r="I181" s="43"/>
      <c r="J181" s="2">
        <f t="shared" si="37"/>
        <v>600</v>
      </c>
      <c r="K181" s="2">
        <f>C181</f>
        <v>800</v>
      </c>
      <c r="L181" s="2">
        <f>D181</f>
        <v>800</v>
      </c>
      <c r="M181" s="22"/>
      <c r="N181" s="21">
        <f t="shared" si="38"/>
        <v>0</v>
      </c>
      <c r="O181" s="51">
        <f>G181</f>
        <v>0</v>
      </c>
      <c r="P181" s="51">
        <f>H181</f>
        <v>0</v>
      </c>
      <c r="Q181" s="43"/>
      <c r="S181" s="49"/>
      <c r="AB181" s="50"/>
    </row>
    <row r="182" spans="1:28" x14ac:dyDescent="0.25">
      <c r="A182" s="2">
        <f t="shared" si="39"/>
        <v>1000</v>
      </c>
      <c r="B182" s="2">
        <f t="shared" si="36"/>
        <v>700</v>
      </c>
      <c r="C182" s="17">
        <v>800</v>
      </c>
      <c r="D182" s="17">
        <v>800</v>
      </c>
      <c r="E182" s="52"/>
      <c r="F182" s="21"/>
      <c r="G182" s="21"/>
      <c r="H182" s="21"/>
      <c r="I182" s="43"/>
      <c r="J182" s="2">
        <f t="shared" si="37"/>
        <v>700</v>
      </c>
      <c r="K182" s="2">
        <f t="shared" si="37"/>
        <v>800</v>
      </c>
      <c r="L182" s="2">
        <f t="shared" si="37"/>
        <v>800</v>
      </c>
      <c r="M182" s="22"/>
      <c r="N182" s="21">
        <f t="shared" si="38"/>
        <v>0</v>
      </c>
      <c r="O182" s="51">
        <f t="shared" si="38"/>
        <v>0</v>
      </c>
      <c r="P182" s="51">
        <f t="shared" si="38"/>
        <v>0</v>
      </c>
      <c r="Q182" s="43"/>
      <c r="S182" s="49"/>
      <c r="AB182" s="50"/>
    </row>
    <row r="183" spans="1:28" x14ac:dyDescent="0.25">
      <c r="A183" s="2">
        <f t="shared" si="39"/>
        <v>1250</v>
      </c>
      <c r="B183" s="2">
        <f t="shared" si="36"/>
        <v>700</v>
      </c>
      <c r="C183" s="17">
        <v>800</v>
      </c>
      <c r="D183" s="17">
        <v>800</v>
      </c>
      <c r="E183" s="52"/>
      <c r="F183" s="21"/>
      <c r="G183" s="21"/>
      <c r="H183" s="21"/>
      <c r="I183" s="43"/>
      <c r="J183" s="2">
        <f t="shared" si="37"/>
        <v>700</v>
      </c>
      <c r="K183" s="2">
        <f t="shared" si="37"/>
        <v>800</v>
      </c>
      <c r="L183" s="2">
        <f t="shared" si="37"/>
        <v>800</v>
      </c>
      <c r="M183" s="22"/>
      <c r="N183" s="21">
        <f t="shared" si="38"/>
        <v>0</v>
      </c>
      <c r="O183" s="51">
        <f t="shared" si="38"/>
        <v>0</v>
      </c>
      <c r="P183" s="51">
        <f t="shared" si="38"/>
        <v>0</v>
      </c>
      <c r="Q183" s="43"/>
      <c r="S183" s="49"/>
      <c r="AB183" s="50"/>
    </row>
    <row r="184" spans="1:28" x14ac:dyDescent="0.25">
      <c r="A184" s="2">
        <f t="shared" si="39"/>
        <v>1600</v>
      </c>
      <c r="B184" s="2">
        <f t="shared" si="36"/>
        <v>800</v>
      </c>
      <c r="C184" s="17">
        <v>900</v>
      </c>
      <c r="D184" s="17">
        <v>800</v>
      </c>
      <c r="E184" s="52"/>
      <c r="F184" s="21"/>
      <c r="G184" s="21"/>
      <c r="H184" s="21"/>
      <c r="I184" s="43"/>
      <c r="J184" s="2">
        <f t="shared" si="37"/>
        <v>800</v>
      </c>
      <c r="K184" s="2">
        <f t="shared" si="37"/>
        <v>900</v>
      </c>
      <c r="L184" s="2">
        <f t="shared" si="37"/>
        <v>800</v>
      </c>
      <c r="M184" s="22"/>
      <c r="N184" s="21">
        <f t="shared" si="38"/>
        <v>0</v>
      </c>
      <c r="O184" s="51">
        <f t="shared" si="38"/>
        <v>0</v>
      </c>
      <c r="P184" s="51">
        <f t="shared" si="38"/>
        <v>0</v>
      </c>
      <c r="Q184" s="43"/>
      <c r="S184" s="49"/>
      <c r="AB184" s="50"/>
    </row>
    <row r="185" spans="1:28" x14ac:dyDescent="0.25">
      <c r="A185" s="2">
        <f t="shared" si="39"/>
        <v>2000</v>
      </c>
      <c r="B185" s="2">
        <f t="shared" si="36"/>
        <v>800</v>
      </c>
      <c r="C185" s="17">
        <v>900</v>
      </c>
      <c r="D185" s="17">
        <v>800</v>
      </c>
      <c r="E185" s="52"/>
      <c r="F185" s="21"/>
      <c r="G185" s="21"/>
      <c r="H185" s="21"/>
      <c r="I185" s="43"/>
      <c r="J185" s="2">
        <f t="shared" si="37"/>
        <v>800</v>
      </c>
      <c r="K185" s="2">
        <f t="shared" si="37"/>
        <v>900</v>
      </c>
      <c r="L185" s="2">
        <f t="shared" si="37"/>
        <v>800</v>
      </c>
      <c r="M185" s="22"/>
      <c r="N185" s="21">
        <f t="shared" si="38"/>
        <v>0</v>
      </c>
      <c r="O185" s="51">
        <f t="shared" si="38"/>
        <v>0</v>
      </c>
      <c r="P185" s="51">
        <f t="shared" si="38"/>
        <v>0</v>
      </c>
      <c r="Q185" s="43"/>
      <c r="S185" s="49"/>
      <c r="AB185" s="50"/>
    </row>
    <row r="186" spans="1:28" x14ac:dyDescent="0.25">
      <c r="A186" s="2">
        <f t="shared" si="39"/>
        <v>2500</v>
      </c>
      <c r="B186" s="2">
        <f t="shared" si="36"/>
        <v>900</v>
      </c>
      <c r="C186" s="17">
        <v>1100</v>
      </c>
      <c r="D186" s="17">
        <v>800</v>
      </c>
      <c r="E186" s="52"/>
      <c r="F186" s="21"/>
      <c r="G186" s="21"/>
      <c r="H186" s="21"/>
      <c r="I186" s="43"/>
      <c r="J186" s="2">
        <f t="shared" si="37"/>
        <v>900</v>
      </c>
      <c r="K186" s="2">
        <f t="shared" si="37"/>
        <v>1100</v>
      </c>
      <c r="L186" s="2">
        <f t="shared" si="37"/>
        <v>800</v>
      </c>
      <c r="M186" s="22"/>
      <c r="N186" s="21">
        <f t="shared" si="38"/>
        <v>0</v>
      </c>
      <c r="O186" s="51">
        <f t="shared" si="38"/>
        <v>0</v>
      </c>
      <c r="P186" s="51">
        <f t="shared" si="38"/>
        <v>0</v>
      </c>
      <c r="Q186" s="43"/>
      <c r="S186" s="49"/>
      <c r="AB186" s="50"/>
    </row>
    <row r="187" spans="1:28" x14ac:dyDescent="0.25">
      <c r="A187" s="2">
        <f t="shared" si="39"/>
        <v>3200</v>
      </c>
      <c r="B187" s="2">
        <f t="shared" si="36"/>
        <v>900</v>
      </c>
      <c r="C187" s="17">
        <v>1100</v>
      </c>
      <c r="D187" s="17">
        <v>800</v>
      </c>
      <c r="E187" s="52"/>
      <c r="F187" s="21"/>
      <c r="G187" s="21"/>
      <c r="H187" s="21"/>
      <c r="I187" s="43"/>
      <c r="J187" s="2">
        <f t="shared" si="37"/>
        <v>900</v>
      </c>
      <c r="K187" s="2">
        <f t="shared" si="37"/>
        <v>1100</v>
      </c>
      <c r="L187" s="2">
        <f t="shared" si="37"/>
        <v>800</v>
      </c>
      <c r="M187" s="22"/>
      <c r="N187" s="21">
        <f t="shared" si="38"/>
        <v>0</v>
      </c>
      <c r="O187" s="51">
        <f t="shared" si="38"/>
        <v>0</v>
      </c>
      <c r="P187" s="51">
        <f t="shared" si="38"/>
        <v>0</v>
      </c>
      <c r="Q187" s="43"/>
      <c r="S187" s="49"/>
      <c r="AB187" s="50"/>
    </row>
    <row r="188" spans="1:28" x14ac:dyDescent="0.25">
      <c r="A188" s="2">
        <f t="shared" si="39"/>
        <v>4000</v>
      </c>
      <c r="B188" s="2">
        <f t="shared" si="36"/>
        <v>900</v>
      </c>
      <c r="C188" s="17">
        <v>1100</v>
      </c>
      <c r="D188" s="17">
        <v>800</v>
      </c>
      <c r="E188" s="52"/>
      <c r="F188" s="21"/>
      <c r="G188" s="21"/>
      <c r="H188" s="21"/>
      <c r="I188" s="43"/>
      <c r="J188" s="2">
        <f t="shared" si="37"/>
        <v>900</v>
      </c>
      <c r="K188" s="2">
        <f t="shared" si="37"/>
        <v>1100</v>
      </c>
      <c r="L188" s="2">
        <f t="shared" si="37"/>
        <v>800</v>
      </c>
      <c r="M188" s="22"/>
      <c r="N188" s="21">
        <f t="shared" si="38"/>
        <v>0</v>
      </c>
      <c r="O188" s="51">
        <f t="shared" si="38"/>
        <v>0</v>
      </c>
      <c r="P188" s="51">
        <f t="shared" si="38"/>
        <v>0</v>
      </c>
      <c r="Q188" s="43"/>
      <c r="S188" s="49"/>
      <c r="AB188" s="50"/>
    </row>
    <row r="189" spans="1:28" x14ac:dyDescent="0.25">
      <c r="A189" s="2">
        <f t="shared" si="39"/>
        <v>5000</v>
      </c>
      <c r="B189" s="2">
        <f t="shared" si="36"/>
        <v>1300</v>
      </c>
      <c r="C189" s="17">
        <v>1500</v>
      </c>
      <c r="D189" s="17">
        <v>800</v>
      </c>
      <c r="E189" s="52"/>
      <c r="F189" s="21"/>
      <c r="G189" s="21"/>
      <c r="H189" s="21"/>
      <c r="I189" s="43"/>
      <c r="J189" s="2">
        <f t="shared" si="37"/>
        <v>1300</v>
      </c>
      <c r="K189" s="2">
        <f t="shared" si="37"/>
        <v>1500</v>
      </c>
      <c r="L189" s="2">
        <f t="shared" si="37"/>
        <v>800</v>
      </c>
      <c r="M189" s="22"/>
      <c r="N189" s="21">
        <f t="shared" si="38"/>
        <v>0</v>
      </c>
      <c r="O189" s="51">
        <f t="shared" si="38"/>
        <v>0</v>
      </c>
      <c r="P189" s="51">
        <f t="shared" si="38"/>
        <v>0</v>
      </c>
      <c r="Q189" s="43"/>
      <c r="S189" s="49"/>
      <c r="AB189" s="50"/>
    </row>
    <row r="190" spans="1:28" x14ac:dyDescent="0.25">
      <c r="A190" s="2">
        <f t="shared" si="39"/>
        <v>6300</v>
      </c>
      <c r="B190" s="2">
        <f t="shared" si="36"/>
        <v>1300</v>
      </c>
      <c r="C190" s="17">
        <v>1500</v>
      </c>
      <c r="D190" s="17">
        <v>800</v>
      </c>
      <c r="E190" s="52"/>
      <c r="F190" s="21"/>
      <c r="G190" s="21"/>
      <c r="H190" s="21"/>
      <c r="I190" s="43"/>
      <c r="J190" s="2">
        <f t="shared" si="37"/>
        <v>1300</v>
      </c>
      <c r="K190" s="2">
        <f t="shared" si="37"/>
        <v>1500</v>
      </c>
      <c r="L190" s="2">
        <f t="shared" si="37"/>
        <v>800</v>
      </c>
      <c r="M190" s="22"/>
      <c r="N190" s="21">
        <f t="shared" si="38"/>
        <v>0</v>
      </c>
      <c r="O190" s="51">
        <f t="shared" si="38"/>
        <v>0</v>
      </c>
      <c r="P190" s="51">
        <f t="shared" si="38"/>
        <v>0</v>
      </c>
      <c r="Q190" s="43"/>
      <c r="S190" s="53"/>
      <c r="T190" s="54"/>
      <c r="U190" s="54"/>
      <c r="V190" s="54"/>
      <c r="W190" s="54"/>
      <c r="X190" s="54"/>
      <c r="Y190" s="54"/>
      <c r="Z190" s="54"/>
      <c r="AA190" s="54"/>
      <c r="AB190" s="55"/>
    </row>
    <row r="192" spans="1:28" ht="18.75" x14ac:dyDescent="0.25">
      <c r="D192" s="246" t="s">
        <v>38</v>
      </c>
      <c r="E192" s="246"/>
      <c r="F192" s="246"/>
      <c r="G192" s="246"/>
      <c r="H192" s="246"/>
      <c r="I192" s="246"/>
      <c r="J192" s="246"/>
    </row>
    <row r="193" spans="1:27" x14ac:dyDescent="0.25">
      <c r="D193" s="266" t="s">
        <v>2</v>
      </c>
      <c r="E193" s="266"/>
      <c r="F193" s="266"/>
      <c r="G193" s="266"/>
      <c r="H193" s="266"/>
      <c r="I193" s="266"/>
      <c r="J193" s="266"/>
    </row>
    <row r="194" spans="1:27" x14ac:dyDescent="0.25">
      <c r="D194" s="266" t="s">
        <v>3</v>
      </c>
      <c r="E194" s="266"/>
      <c r="F194" s="266"/>
      <c r="G194" s="266" t="s">
        <v>30</v>
      </c>
      <c r="H194" s="266"/>
      <c r="I194" s="266"/>
      <c r="J194" s="266"/>
    </row>
    <row r="195" spans="1:27" x14ac:dyDescent="0.25">
      <c r="D195" s="266" t="s">
        <v>23</v>
      </c>
      <c r="E195" s="266"/>
      <c r="F195" s="266"/>
      <c r="G195" s="266" t="s">
        <v>30</v>
      </c>
      <c r="H195" s="266"/>
      <c r="I195" s="266"/>
      <c r="J195" s="266"/>
    </row>
    <row r="196" spans="1:27" x14ac:dyDescent="0.25">
      <c r="D196" s="266" t="s">
        <v>31</v>
      </c>
      <c r="E196" s="266"/>
      <c r="F196" s="266"/>
      <c r="G196" s="266" t="s">
        <v>32</v>
      </c>
      <c r="H196" s="266"/>
      <c r="I196" s="266"/>
      <c r="J196" s="266"/>
    </row>
    <row r="198" spans="1:27" x14ac:dyDescent="0.25">
      <c r="A198" s="227" t="s">
        <v>5</v>
      </c>
      <c r="B198" s="227" t="s">
        <v>6</v>
      </c>
      <c r="C198" s="227"/>
      <c r="D198" s="227"/>
      <c r="E198" s="227"/>
      <c r="F198" s="227"/>
      <c r="G198" s="227"/>
      <c r="H198" s="227"/>
      <c r="I198" s="227"/>
      <c r="J198" s="227" t="s">
        <v>7</v>
      </c>
      <c r="K198" s="227"/>
      <c r="L198" s="227"/>
      <c r="M198" s="227"/>
      <c r="N198" s="227"/>
      <c r="O198" s="227"/>
      <c r="P198" s="227"/>
      <c r="Q198" s="227"/>
      <c r="S198" s="45"/>
      <c r="T198" s="46"/>
      <c r="U198" s="46"/>
      <c r="V198" s="46"/>
      <c r="W198" s="46"/>
      <c r="X198" s="46"/>
      <c r="Y198" s="46"/>
      <c r="Z198" s="46"/>
      <c r="AA198" s="47"/>
    </row>
    <row r="199" spans="1:27" x14ac:dyDescent="0.25">
      <c r="A199" s="227"/>
      <c r="B199" s="268" t="s">
        <v>8</v>
      </c>
      <c r="C199" s="269"/>
      <c r="D199" s="269"/>
      <c r="E199" s="270"/>
      <c r="F199" s="271" t="s">
        <v>9</v>
      </c>
      <c r="G199" s="272"/>
      <c r="H199" s="272"/>
      <c r="I199" s="273"/>
      <c r="J199" s="274" t="s">
        <v>8</v>
      </c>
      <c r="K199" s="275"/>
      <c r="L199" s="275"/>
      <c r="M199" s="276"/>
      <c r="N199" s="271" t="s">
        <v>9</v>
      </c>
      <c r="O199" s="272"/>
      <c r="P199" s="272"/>
      <c r="Q199" s="272"/>
      <c r="S199" s="49"/>
      <c r="AA199" s="50"/>
    </row>
    <row r="200" spans="1:27" x14ac:dyDescent="0.25">
      <c r="A200" s="227"/>
      <c r="B200" s="4" t="s">
        <v>24</v>
      </c>
      <c r="C200" s="4" t="s">
        <v>27</v>
      </c>
      <c r="D200" s="4" t="s">
        <v>36</v>
      </c>
      <c r="E200" s="4" t="s">
        <v>26</v>
      </c>
      <c r="F200" s="28" t="s">
        <v>24</v>
      </c>
      <c r="G200" s="28" t="s">
        <v>27</v>
      </c>
      <c r="H200" s="28" t="s">
        <v>36</v>
      </c>
      <c r="I200" s="28" t="s">
        <v>26</v>
      </c>
      <c r="J200" s="4" t="s">
        <v>24</v>
      </c>
      <c r="K200" s="4" t="s">
        <v>27</v>
      </c>
      <c r="L200" s="4" t="s">
        <v>36</v>
      </c>
      <c r="M200" s="4" t="s">
        <v>26</v>
      </c>
      <c r="N200" s="28" t="s">
        <v>24</v>
      </c>
      <c r="O200" s="28" t="s">
        <v>27</v>
      </c>
      <c r="P200" s="28" t="s">
        <v>36</v>
      </c>
      <c r="Q200" s="28" t="s">
        <v>26</v>
      </c>
      <c r="S200" s="49"/>
      <c r="AA200" s="50"/>
    </row>
    <row r="201" spans="1:27" x14ac:dyDescent="0.25">
      <c r="A201" s="2">
        <v>160</v>
      </c>
      <c r="B201" s="41"/>
      <c r="C201" s="41"/>
      <c r="D201" s="41"/>
      <c r="E201" s="22"/>
      <c r="F201" s="42"/>
      <c r="G201" s="42"/>
      <c r="H201" s="42"/>
      <c r="I201" s="23"/>
      <c r="J201" s="41"/>
      <c r="K201" s="41"/>
      <c r="L201" s="41"/>
      <c r="M201" s="22"/>
      <c r="N201" s="42"/>
      <c r="O201" s="42"/>
      <c r="P201" s="42"/>
      <c r="Q201" s="28"/>
      <c r="S201" s="49"/>
      <c r="AA201" s="50"/>
    </row>
    <row r="202" spans="1:27" x14ac:dyDescent="0.25">
      <c r="A202" s="2">
        <v>250</v>
      </c>
      <c r="B202" s="41"/>
      <c r="C202" s="41"/>
      <c r="D202" s="41"/>
      <c r="E202" s="22"/>
      <c r="F202" s="42"/>
      <c r="G202" s="42"/>
      <c r="H202" s="42"/>
      <c r="I202" s="23"/>
      <c r="J202" s="41"/>
      <c r="K202" s="41"/>
      <c r="L202" s="41"/>
      <c r="M202" s="22"/>
      <c r="N202" s="42"/>
      <c r="O202" s="42"/>
      <c r="P202" s="42"/>
      <c r="Q202" s="28"/>
      <c r="S202" s="49"/>
      <c r="AA202" s="50"/>
    </row>
    <row r="203" spans="1:27" x14ac:dyDescent="0.25">
      <c r="A203" s="2">
        <f t="shared" ref="A203:A214" si="40">A14</f>
        <v>400</v>
      </c>
      <c r="B203" s="41"/>
      <c r="C203" s="41"/>
      <c r="D203" s="41"/>
      <c r="E203" s="22"/>
      <c r="F203" s="42"/>
      <c r="G203" s="42"/>
      <c r="H203" s="42"/>
      <c r="I203" s="23"/>
      <c r="J203" s="41"/>
      <c r="K203" s="41"/>
      <c r="L203" s="41"/>
      <c r="M203" s="22"/>
      <c r="N203" s="42"/>
      <c r="O203" s="42"/>
      <c r="P203" s="42"/>
      <c r="Q203" s="28"/>
      <c r="S203" s="49"/>
      <c r="AA203" s="50"/>
    </row>
    <row r="204" spans="1:27" x14ac:dyDescent="0.25">
      <c r="A204" s="2">
        <f t="shared" si="40"/>
        <v>630</v>
      </c>
      <c r="B204" s="41"/>
      <c r="C204" s="41"/>
      <c r="D204" s="41"/>
      <c r="E204" s="22"/>
      <c r="F204" s="42"/>
      <c r="G204" s="42"/>
      <c r="H204" s="42"/>
      <c r="I204" s="23"/>
      <c r="J204" s="41"/>
      <c r="K204" s="41"/>
      <c r="L204" s="41"/>
      <c r="M204" s="22"/>
      <c r="N204" s="42"/>
      <c r="O204" s="42"/>
      <c r="P204" s="42"/>
      <c r="Q204" s="28"/>
      <c r="S204" s="49"/>
      <c r="AA204" s="50"/>
    </row>
    <row r="205" spans="1:27" x14ac:dyDescent="0.25">
      <c r="A205" s="2">
        <f t="shared" si="40"/>
        <v>800</v>
      </c>
      <c r="B205" s="41"/>
      <c r="C205" s="41"/>
      <c r="D205" s="41"/>
      <c r="E205" s="22"/>
      <c r="F205" s="42"/>
      <c r="G205" s="42"/>
      <c r="H205" s="42"/>
      <c r="I205" s="23"/>
      <c r="J205" s="41"/>
      <c r="K205" s="41"/>
      <c r="L205" s="41"/>
      <c r="M205" s="22"/>
      <c r="N205" s="42"/>
      <c r="O205" s="42"/>
      <c r="P205" s="42"/>
      <c r="Q205" s="43"/>
      <c r="S205" s="49"/>
      <c r="AA205" s="50"/>
    </row>
    <row r="206" spans="1:27" x14ac:dyDescent="0.25">
      <c r="A206" s="2">
        <f t="shared" si="40"/>
        <v>1000</v>
      </c>
      <c r="B206" s="41"/>
      <c r="C206" s="41"/>
      <c r="D206" s="41"/>
      <c r="E206" s="22"/>
      <c r="F206" s="42"/>
      <c r="G206" s="42"/>
      <c r="H206" s="42"/>
      <c r="I206" s="23"/>
      <c r="J206" s="41"/>
      <c r="K206" s="41"/>
      <c r="L206" s="41"/>
      <c r="M206" s="22"/>
      <c r="N206" s="42"/>
      <c r="O206" s="42"/>
      <c r="P206" s="42"/>
      <c r="Q206" s="43"/>
      <c r="S206" s="49"/>
      <c r="AA206" s="50"/>
    </row>
    <row r="207" spans="1:27" x14ac:dyDescent="0.25">
      <c r="A207" s="2">
        <f t="shared" si="40"/>
        <v>1250</v>
      </c>
      <c r="B207" s="41"/>
      <c r="C207" s="41"/>
      <c r="D207" s="41"/>
      <c r="E207" s="22"/>
      <c r="F207" s="42"/>
      <c r="G207" s="42"/>
      <c r="H207" s="42"/>
      <c r="I207" s="23"/>
      <c r="J207" s="41"/>
      <c r="K207" s="41"/>
      <c r="L207" s="41"/>
      <c r="M207" s="22"/>
      <c r="N207" s="42"/>
      <c r="O207" s="42"/>
      <c r="P207" s="42"/>
      <c r="Q207" s="43"/>
      <c r="S207" s="49"/>
      <c r="AA207" s="50"/>
    </row>
    <row r="208" spans="1:27" x14ac:dyDescent="0.25">
      <c r="A208" s="2">
        <f t="shared" si="40"/>
        <v>1600</v>
      </c>
      <c r="B208" s="41"/>
      <c r="C208" s="41"/>
      <c r="D208" s="41"/>
      <c r="E208" s="22"/>
      <c r="F208" s="42"/>
      <c r="G208" s="42"/>
      <c r="H208" s="42"/>
      <c r="I208" s="23"/>
      <c r="J208" s="41"/>
      <c r="K208" s="41"/>
      <c r="L208" s="41"/>
      <c r="M208" s="22"/>
      <c r="N208" s="42"/>
      <c r="O208" s="42"/>
      <c r="P208" s="42"/>
      <c r="Q208" s="43"/>
      <c r="S208" s="49"/>
      <c r="AA208" s="50"/>
    </row>
    <row r="209" spans="1:27" x14ac:dyDescent="0.25">
      <c r="A209" s="2">
        <f t="shared" si="40"/>
        <v>2000</v>
      </c>
      <c r="B209" s="41"/>
      <c r="C209" s="41"/>
      <c r="D209" s="41"/>
      <c r="E209" s="22"/>
      <c r="F209" s="42"/>
      <c r="G209" s="42"/>
      <c r="H209" s="42"/>
      <c r="I209" s="23"/>
      <c r="J209" s="41"/>
      <c r="K209" s="41"/>
      <c r="L209" s="41"/>
      <c r="M209" s="22"/>
      <c r="N209" s="42"/>
      <c r="O209" s="42"/>
      <c r="P209" s="42"/>
      <c r="Q209" s="43"/>
      <c r="S209" s="49"/>
      <c r="AA209" s="50"/>
    </row>
    <row r="210" spans="1:27" x14ac:dyDescent="0.25">
      <c r="A210" s="2">
        <f t="shared" si="40"/>
        <v>2500</v>
      </c>
      <c r="B210" s="41"/>
      <c r="C210" s="41"/>
      <c r="D210" s="41"/>
      <c r="E210" s="22"/>
      <c r="F210" s="42"/>
      <c r="G210" s="42"/>
      <c r="H210" s="42"/>
      <c r="I210" s="23"/>
      <c r="J210" s="41"/>
      <c r="K210" s="41"/>
      <c r="L210" s="41"/>
      <c r="M210" s="22"/>
      <c r="N210" s="42"/>
      <c r="O210" s="42"/>
      <c r="P210" s="42"/>
      <c r="Q210" s="43"/>
      <c r="S210" s="49"/>
      <c r="AA210" s="50"/>
    </row>
    <row r="211" spans="1:27" x14ac:dyDescent="0.25">
      <c r="A211" s="2">
        <f t="shared" si="40"/>
        <v>3200</v>
      </c>
      <c r="B211" s="41"/>
      <c r="C211" s="41"/>
      <c r="D211" s="41"/>
      <c r="E211" s="22"/>
      <c r="F211" s="42"/>
      <c r="G211" s="42"/>
      <c r="H211" s="42"/>
      <c r="I211" s="23"/>
      <c r="J211" s="41"/>
      <c r="K211" s="41"/>
      <c r="L211" s="41"/>
      <c r="M211" s="22"/>
      <c r="N211" s="42"/>
      <c r="O211" s="42"/>
      <c r="P211" s="42"/>
      <c r="Q211" s="43"/>
      <c r="S211" s="49"/>
      <c r="AA211" s="50"/>
    </row>
    <row r="212" spans="1:27" x14ac:dyDescent="0.25">
      <c r="A212" s="2">
        <f t="shared" si="40"/>
        <v>4000</v>
      </c>
      <c r="B212" s="41"/>
      <c r="C212" s="41"/>
      <c r="D212" s="41"/>
      <c r="E212" s="22"/>
      <c r="F212" s="42"/>
      <c r="G212" s="42"/>
      <c r="H212" s="42"/>
      <c r="I212" s="23"/>
      <c r="J212" s="41"/>
      <c r="K212" s="41"/>
      <c r="L212" s="41"/>
      <c r="M212" s="22"/>
      <c r="N212" s="42"/>
      <c r="O212" s="42"/>
      <c r="P212" s="42"/>
      <c r="Q212" s="43"/>
      <c r="S212" s="49"/>
      <c r="AA212" s="50"/>
    </row>
    <row r="213" spans="1:27" x14ac:dyDescent="0.25">
      <c r="A213" s="2">
        <f t="shared" si="40"/>
        <v>5000</v>
      </c>
      <c r="B213" s="41"/>
      <c r="C213" s="41"/>
      <c r="D213" s="41"/>
      <c r="E213" s="22"/>
      <c r="F213" s="42"/>
      <c r="G213" s="42"/>
      <c r="H213" s="42"/>
      <c r="I213" s="23"/>
      <c r="J213" s="41"/>
      <c r="K213" s="41"/>
      <c r="L213" s="41"/>
      <c r="M213" s="22"/>
      <c r="N213" s="42"/>
      <c r="O213" s="42"/>
      <c r="P213" s="42"/>
      <c r="Q213" s="43"/>
      <c r="S213" s="49"/>
      <c r="AA213" s="50"/>
    </row>
    <row r="214" spans="1:27" x14ac:dyDescent="0.25">
      <c r="A214" s="2">
        <f t="shared" si="40"/>
        <v>6300</v>
      </c>
      <c r="B214" s="41"/>
      <c r="C214" s="41"/>
      <c r="D214" s="41"/>
      <c r="E214" s="22"/>
      <c r="F214" s="42"/>
      <c r="G214" s="42"/>
      <c r="H214" s="42"/>
      <c r="I214" s="23"/>
      <c r="J214" s="41"/>
      <c r="K214" s="41"/>
      <c r="L214" s="41"/>
      <c r="M214" s="22"/>
      <c r="N214" s="42"/>
      <c r="O214" s="42"/>
      <c r="P214" s="42"/>
      <c r="Q214" s="43"/>
      <c r="S214" s="53"/>
      <c r="T214" s="54"/>
      <c r="U214" s="54"/>
      <c r="V214" s="54"/>
      <c r="W214" s="54"/>
      <c r="X214" s="54"/>
      <c r="Y214" s="54"/>
      <c r="Z214" s="54"/>
      <c r="AA214" s="55"/>
    </row>
    <row r="216" spans="1:27" ht="18.75" x14ac:dyDescent="0.25">
      <c r="D216" s="246" t="s">
        <v>39</v>
      </c>
      <c r="E216" s="246"/>
      <c r="F216" s="246"/>
      <c r="G216" s="246"/>
      <c r="H216" s="246"/>
      <c r="I216" s="246"/>
      <c r="J216" s="246"/>
    </row>
    <row r="217" spans="1:27" x14ac:dyDescent="0.25">
      <c r="D217" s="266" t="s">
        <v>2</v>
      </c>
      <c r="E217" s="266"/>
      <c r="F217" s="266"/>
      <c r="G217" s="266"/>
      <c r="H217" s="266"/>
      <c r="I217" s="266"/>
      <c r="J217" s="266"/>
    </row>
    <row r="218" spans="1:27" x14ac:dyDescent="0.25">
      <c r="D218" s="266" t="s">
        <v>3</v>
      </c>
      <c r="E218" s="266"/>
      <c r="F218" s="266"/>
      <c r="G218" s="266" t="s">
        <v>22</v>
      </c>
      <c r="H218" s="266"/>
      <c r="I218" s="266"/>
      <c r="J218" s="266"/>
    </row>
    <row r="219" spans="1:27" x14ac:dyDescent="0.25">
      <c r="D219" s="266" t="s">
        <v>23</v>
      </c>
      <c r="E219" s="266"/>
      <c r="F219" s="266"/>
      <c r="G219" s="266" t="s">
        <v>22</v>
      </c>
      <c r="H219" s="266"/>
      <c r="I219" s="266"/>
      <c r="J219" s="266"/>
    </row>
    <row r="221" spans="1:27" x14ac:dyDescent="0.25">
      <c r="A221" s="227" t="s">
        <v>5</v>
      </c>
      <c r="B221" s="229" t="s">
        <v>6</v>
      </c>
      <c r="C221" s="230"/>
      <c r="D221" s="230"/>
      <c r="E221" s="230"/>
      <c r="F221" s="230"/>
      <c r="G221" s="230"/>
      <c r="H221" s="230"/>
      <c r="I221" s="230"/>
      <c r="J221" s="230"/>
      <c r="K221" s="231"/>
      <c r="L221" s="227" t="s">
        <v>7</v>
      </c>
      <c r="M221" s="227"/>
      <c r="N221" s="227"/>
      <c r="O221" s="227"/>
      <c r="P221" s="227"/>
      <c r="Q221" s="227"/>
      <c r="R221" s="227"/>
      <c r="S221" s="227"/>
      <c r="T221" s="227"/>
      <c r="U221" s="227"/>
      <c r="W221" s="45"/>
      <c r="X221" s="46"/>
      <c r="Y221" s="46"/>
      <c r="Z221" s="46"/>
      <c r="AA221" s="47"/>
    </row>
    <row r="222" spans="1:27" x14ac:dyDescent="0.25">
      <c r="A222" s="227"/>
      <c r="B222" s="229" t="s">
        <v>8</v>
      </c>
      <c r="C222" s="230"/>
      <c r="D222" s="230"/>
      <c r="E222" s="230"/>
      <c r="F222" s="231"/>
      <c r="G222" s="267" t="s">
        <v>9</v>
      </c>
      <c r="H222" s="277"/>
      <c r="I222" s="277"/>
      <c r="J222" s="277"/>
      <c r="K222" s="277"/>
      <c r="L222" s="227" t="s">
        <v>8</v>
      </c>
      <c r="M222" s="227"/>
      <c r="N222" s="227"/>
      <c r="O222" s="227"/>
      <c r="P222" s="227"/>
      <c r="Q222" s="259" t="s">
        <v>9</v>
      </c>
      <c r="R222" s="259"/>
      <c r="S222" s="259"/>
      <c r="T222" s="259"/>
      <c r="U222" s="259"/>
      <c r="W222" s="49"/>
      <c r="AA222" s="50"/>
    </row>
    <row r="223" spans="1:27" x14ac:dyDescent="0.25">
      <c r="A223" s="227"/>
      <c r="B223" s="4" t="s">
        <v>24</v>
      </c>
      <c r="C223" s="4" t="s">
        <v>27</v>
      </c>
      <c r="D223" s="4" t="s">
        <v>40</v>
      </c>
      <c r="E223" s="4" t="s">
        <v>41</v>
      </c>
      <c r="F223" s="4" t="s">
        <v>26</v>
      </c>
      <c r="G223" s="6" t="s">
        <v>24</v>
      </c>
      <c r="H223" s="6" t="s">
        <v>27</v>
      </c>
      <c r="I223" s="6" t="s">
        <v>40</v>
      </c>
      <c r="J223" s="6" t="s">
        <v>41</v>
      </c>
      <c r="K223" s="28" t="s">
        <v>26</v>
      </c>
      <c r="L223" s="4" t="s">
        <v>24</v>
      </c>
      <c r="M223" s="4" t="s">
        <v>27</v>
      </c>
      <c r="N223" s="4" t="s">
        <v>40</v>
      </c>
      <c r="O223" s="4" t="s">
        <v>41</v>
      </c>
      <c r="P223" s="4" t="s">
        <v>26</v>
      </c>
      <c r="Q223" s="6" t="s">
        <v>24</v>
      </c>
      <c r="R223" s="6" t="s">
        <v>27</v>
      </c>
      <c r="S223" s="6" t="s">
        <v>40</v>
      </c>
      <c r="T223" s="6" t="s">
        <v>41</v>
      </c>
      <c r="U223" s="28" t="s">
        <v>26</v>
      </c>
      <c r="W223" s="49"/>
      <c r="AA223" s="50"/>
    </row>
    <row r="224" spans="1:27" x14ac:dyDescent="0.25">
      <c r="A224" s="2">
        <v>160</v>
      </c>
      <c r="B224" s="2"/>
      <c r="C224" s="2"/>
      <c r="D224" s="2">
        <v>220</v>
      </c>
      <c r="E224" s="2">
        <v>500</v>
      </c>
      <c r="F224" s="56"/>
      <c r="G224" s="21"/>
      <c r="H224" s="21"/>
      <c r="I224" s="21">
        <v>210</v>
      </c>
      <c r="J224" s="21">
        <v>500</v>
      </c>
      <c r="K224" s="51"/>
      <c r="L224" s="2"/>
      <c r="M224" s="2"/>
      <c r="N224" s="2">
        <v>220</v>
      </c>
      <c r="O224" s="2">
        <v>500</v>
      </c>
      <c r="P224" s="56"/>
      <c r="Q224" s="21"/>
      <c r="R224" s="21"/>
      <c r="S224" s="21">
        <v>210</v>
      </c>
      <c r="T224" s="21">
        <v>500</v>
      </c>
      <c r="U224" s="51"/>
      <c r="W224" s="49"/>
      <c r="AA224" s="50"/>
    </row>
    <row r="225" spans="1:27" x14ac:dyDescent="0.25">
      <c r="A225" s="2">
        <v>250</v>
      </c>
      <c r="B225" s="2"/>
      <c r="C225" s="2"/>
      <c r="D225" s="2">
        <v>220</v>
      </c>
      <c r="E225" s="2">
        <v>500</v>
      </c>
      <c r="F225" s="56"/>
      <c r="G225" s="21"/>
      <c r="H225" s="21"/>
      <c r="I225" s="21">
        <v>210</v>
      </c>
      <c r="J225" s="21">
        <v>500</v>
      </c>
      <c r="K225" s="51"/>
      <c r="L225" s="2"/>
      <c r="M225" s="2"/>
      <c r="N225" s="2">
        <v>220</v>
      </c>
      <c r="O225" s="2">
        <v>500</v>
      </c>
      <c r="P225" s="56"/>
      <c r="Q225" s="21"/>
      <c r="R225" s="21"/>
      <c r="S225" s="21">
        <v>210</v>
      </c>
      <c r="T225" s="21">
        <v>500</v>
      </c>
      <c r="U225" s="51"/>
      <c r="W225" s="49"/>
      <c r="AA225" s="50"/>
    </row>
    <row r="226" spans="1:27" x14ac:dyDescent="0.25">
      <c r="A226" s="2">
        <f t="shared" ref="A226:A237" si="41">A14</f>
        <v>400</v>
      </c>
      <c r="B226" s="2"/>
      <c r="C226" s="2"/>
      <c r="D226" s="2">
        <v>220</v>
      </c>
      <c r="E226" s="2">
        <v>500</v>
      </c>
      <c r="F226" s="56"/>
      <c r="G226" s="21"/>
      <c r="H226" s="21"/>
      <c r="I226" s="21">
        <v>210</v>
      </c>
      <c r="J226" s="21">
        <v>500</v>
      </c>
      <c r="K226" s="51"/>
      <c r="L226" s="2"/>
      <c r="M226" s="2"/>
      <c r="N226" s="2">
        <v>220</v>
      </c>
      <c r="O226" s="2">
        <v>500</v>
      </c>
      <c r="P226" s="56"/>
      <c r="Q226" s="21"/>
      <c r="R226" s="21"/>
      <c r="S226" s="21">
        <v>210</v>
      </c>
      <c r="T226" s="21">
        <v>500</v>
      </c>
      <c r="U226" s="51"/>
      <c r="W226" s="49"/>
      <c r="AA226" s="50"/>
    </row>
    <row r="227" spans="1:27" x14ac:dyDescent="0.25">
      <c r="A227" s="2">
        <f t="shared" si="41"/>
        <v>630</v>
      </c>
      <c r="B227" s="2"/>
      <c r="C227" s="2"/>
      <c r="D227" s="2">
        <v>220</v>
      </c>
      <c r="E227" s="2">
        <v>500</v>
      </c>
      <c r="F227" s="56"/>
      <c r="G227" s="21"/>
      <c r="H227" s="21"/>
      <c r="I227" s="21">
        <v>210</v>
      </c>
      <c r="J227" s="21">
        <v>500</v>
      </c>
      <c r="K227" s="51"/>
      <c r="L227" s="2"/>
      <c r="M227" s="2"/>
      <c r="N227" s="2">
        <v>220</v>
      </c>
      <c r="O227" s="2">
        <v>500</v>
      </c>
      <c r="P227" s="56"/>
      <c r="Q227" s="21"/>
      <c r="R227" s="21"/>
      <c r="S227" s="21">
        <v>210</v>
      </c>
      <c r="T227" s="21">
        <v>500</v>
      </c>
      <c r="U227" s="51"/>
      <c r="W227" s="49"/>
      <c r="AA227" s="50"/>
    </row>
    <row r="228" spans="1:27" x14ac:dyDescent="0.25">
      <c r="A228" s="2">
        <f t="shared" si="41"/>
        <v>800</v>
      </c>
      <c r="B228" s="2"/>
      <c r="C228" s="2"/>
      <c r="D228" s="2">
        <v>220</v>
      </c>
      <c r="E228" s="2">
        <v>500</v>
      </c>
      <c r="F228" s="56"/>
      <c r="G228" s="21"/>
      <c r="H228" s="21"/>
      <c r="I228" s="21">
        <v>210</v>
      </c>
      <c r="J228" s="21">
        <v>500</v>
      </c>
      <c r="K228" s="51"/>
      <c r="L228" s="2"/>
      <c r="M228" s="2"/>
      <c r="N228" s="2">
        <v>220</v>
      </c>
      <c r="O228" s="2">
        <v>500</v>
      </c>
      <c r="P228" s="56"/>
      <c r="Q228" s="21"/>
      <c r="R228" s="21"/>
      <c r="S228" s="21">
        <v>210</v>
      </c>
      <c r="T228" s="21">
        <v>500</v>
      </c>
      <c r="U228" s="51"/>
      <c r="W228" s="49"/>
      <c r="AA228" s="50"/>
    </row>
    <row r="229" spans="1:27" x14ac:dyDescent="0.25">
      <c r="A229" s="2">
        <f t="shared" si="41"/>
        <v>1000</v>
      </c>
      <c r="B229" s="2"/>
      <c r="C229" s="2"/>
      <c r="D229" s="2">
        <v>245</v>
      </c>
      <c r="E229" s="2">
        <v>500</v>
      </c>
      <c r="F229" s="56"/>
      <c r="G229" s="21"/>
      <c r="H229" s="21"/>
      <c r="I229" s="21">
        <v>210</v>
      </c>
      <c r="J229" s="21">
        <v>500</v>
      </c>
      <c r="K229" s="51"/>
      <c r="L229" s="2"/>
      <c r="M229" s="2"/>
      <c r="N229" s="2">
        <v>245</v>
      </c>
      <c r="O229" s="2">
        <v>500</v>
      </c>
      <c r="P229" s="56"/>
      <c r="Q229" s="21"/>
      <c r="R229" s="21"/>
      <c r="S229" s="21">
        <v>210</v>
      </c>
      <c r="T229" s="21">
        <v>500</v>
      </c>
      <c r="U229" s="51"/>
      <c r="W229" s="49"/>
      <c r="AA229" s="50"/>
    </row>
    <row r="230" spans="1:27" x14ac:dyDescent="0.25">
      <c r="A230" s="2">
        <f t="shared" si="41"/>
        <v>1250</v>
      </c>
      <c r="B230" s="2"/>
      <c r="C230" s="2"/>
      <c r="D230" s="2">
        <v>280</v>
      </c>
      <c r="E230" s="2">
        <v>500</v>
      </c>
      <c r="F230" s="56"/>
      <c r="G230" s="21"/>
      <c r="H230" s="21"/>
      <c r="I230" s="21">
        <v>220</v>
      </c>
      <c r="J230" s="21">
        <v>500</v>
      </c>
      <c r="K230" s="51"/>
      <c r="L230" s="2"/>
      <c r="M230" s="2"/>
      <c r="N230" s="2">
        <v>280</v>
      </c>
      <c r="O230" s="2">
        <v>500</v>
      </c>
      <c r="P230" s="56"/>
      <c r="Q230" s="21"/>
      <c r="R230" s="21"/>
      <c r="S230" s="21">
        <v>220</v>
      </c>
      <c r="T230" s="21">
        <v>500</v>
      </c>
      <c r="U230" s="51"/>
      <c r="W230" s="49"/>
      <c r="AA230" s="50"/>
    </row>
    <row r="231" spans="1:27" x14ac:dyDescent="0.25">
      <c r="A231" s="2">
        <f t="shared" si="41"/>
        <v>1600</v>
      </c>
      <c r="B231" s="2"/>
      <c r="C231" s="2"/>
      <c r="D231" s="2">
        <v>310</v>
      </c>
      <c r="E231" s="2">
        <v>500</v>
      </c>
      <c r="F231" s="56"/>
      <c r="G231" s="21"/>
      <c r="H231" s="21"/>
      <c r="I231" s="21">
        <v>245</v>
      </c>
      <c r="J231" s="21">
        <v>500</v>
      </c>
      <c r="K231" s="51"/>
      <c r="L231" s="2"/>
      <c r="M231" s="2"/>
      <c r="N231" s="2">
        <v>310</v>
      </c>
      <c r="O231" s="2">
        <v>500</v>
      </c>
      <c r="P231" s="56"/>
      <c r="Q231" s="21"/>
      <c r="R231" s="21"/>
      <c r="S231" s="21">
        <v>245</v>
      </c>
      <c r="T231" s="21">
        <v>500</v>
      </c>
      <c r="U231" s="51"/>
      <c r="W231" s="49"/>
      <c r="AA231" s="50"/>
    </row>
    <row r="232" spans="1:27" x14ac:dyDescent="0.25">
      <c r="A232" s="2">
        <f t="shared" si="41"/>
        <v>2000</v>
      </c>
      <c r="B232" s="2"/>
      <c r="C232" s="2"/>
      <c r="D232" s="2">
        <v>350</v>
      </c>
      <c r="E232" s="2">
        <v>500</v>
      </c>
      <c r="F232" s="56"/>
      <c r="G232" s="21"/>
      <c r="H232" s="21"/>
      <c r="I232" s="21">
        <v>280</v>
      </c>
      <c r="J232" s="21">
        <v>500</v>
      </c>
      <c r="K232" s="51"/>
      <c r="L232" s="2"/>
      <c r="M232" s="2"/>
      <c r="N232" s="2">
        <v>350</v>
      </c>
      <c r="O232" s="2">
        <v>500</v>
      </c>
      <c r="P232" s="56"/>
      <c r="Q232" s="21"/>
      <c r="R232" s="21"/>
      <c r="S232" s="21">
        <v>280</v>
      </c>
      <c r="T232" s="21">
        <v>500</v>
      </c>
      <c r="U232" s="51"/>
      <c r="W232" s="49"/>
      <c r="AA232" s="50"/>
    </row>
    <row r="233" spans="1:27" x14ac:dyDescent="0.25">
      <c r="A233" s="2">
        <f t="shared" si="41"/>
        <v>2500</v>
      </c>
      <c r="B233" s="2"/>
      <c r="C233" s="2"/>
      <c r="D233" s="2">
        <v>460</v>
      </c>
      <c r="E233" s="2">
        <v>500</v>
      </c>
      <c r="F233" s="56"/>
      <c r="G233" s="21"/>
      <c r="H233" s="21"/>
      <c r="I233" s="21">
        <v>310</v>
      </c>
      <c r="J233" s="21">
        <v>500</v>
      </c>
      <c r="K233" s="51"/>
      <c r="L233" s="2"/>
      <c r="M233" s="2"/>
      <c r="N233" s="2">
        <v>460</v>
      </c>
      <c r="O233" s="2">
        <v>500</v>
      </c>
      <c r="P233" s="56"/>
      <c r="Q233" s="21"/>
      <c r="R233" s="21"/>
      <c r="S233" s="21">
        <v>310</v>
      </c>
      <c r="T233" s="21">
        <v>500</v>
      </c>
      <c r="U233" s="51"/>
      <c r="W233" s="49"/>
      <c r="AA233" s="50"/>
    </row>
    <row r="234" spans="1:27" x14ac:dyDescent="0.25">
      <c r="A234" s="2">
        <f t="shared" si="41"/>
        <v>3200</v>
      </c>
      <c r="B234" s="2"/>
      <c r="C234" s="2"/>
      <c r="D234" s="2">
        <v>520</v>
      </c>
      <c r="E234" s="2">
        <v>500</v>
      </c>
      <c r="F234" s="56"/>
      <c r="G234" s="21"/>
      <c r="H234" s="21"/>
      <c r="I234" s="21">
        <v>400</v>
      </c>
      <c r="J234" s="21">
        <v>500</v>
      </c>
      <c r="K234" s="51"/>
      <c r="L234" s="2"/>
      <c r="M234" s="2"/>
      <c r="N234" s="2">
        <v>520</v>
      </c>
      <c r="O234" s="2">
        <v>500</v>
      </c>
      <c r="P234" s="56"/>
      <c r="Q234" s="21"/>
      <c r="R234" s="21"/>
      <c r="S234" s="21">
        <v>400</v>
      </c>
      <c r="T234" s="21">
        <v>500</v>
      </c>
      <c r="U234" s="51"/>
      <c r="W234" s="49"/>
      <c r="AA234" s="50"/>
    </row>
    <row r="235" spans="1:27" x14ac:dyDescent="0.25">
      <c r="A235" s="2">
        <f t="shared" si="41"/>
        <v>4000</v>
      </c>
      <c r="B235" s="2"/>
      <c r="C235" s="2"/>
      <c r="D235" s="2">
        <v>600</v>
      </c>
      <c r="E235" s="2">
        <v>500</v>
      </c>
      <c r="F235" s="56"/>
      <c r="G235" s="21"/>
      <c r="H235" s="21"/>
      <c r="I235" s="21">
        <v>520</v>
      </c>
      <c r="J235" s="21">
        <v>500</v>
      </c>
      <c r="K235" s="51"/>
      <c r="L235" s="2"/>
      <c r="M235" s="2"/>
      <c r="N235" s="2">
        <v>600</v>
      </c>
      <c r="O235" s="2">
        <v>500</v>
      </c>
      <c r="P235" s="56"/>
      <c r="Q235" s="21"/>
      <c r="R235" s="21"/>
      <c r="S235" s="21">
        <v>520</v>
      </c>
      <c r="T235" s="21">
        <v>500</v>
      </c>
      <c r="U235" s="51"/>
      <c r="W235" s="49"/>
      <c r="AA235" s="50"/>
    </row>
    <row r="236" spans="1:27" x14ac:dyDescent="0.25">
      <c r="A236" s="2">
        <f t="shared" si="41"/>
        <v>5000</v>
      </c>
      <c r="B236" s="2"/>
      <c r="C236" s="2"/>
      <c r="D236" s="2">
        <v>820</v>
      </c>
      <c r="E236" s="2">
        <v>500</v>
      </c>
      <c r="F236" s="56"/>
      <c r="G236" s="21"/>
      <c r="H236" s="21"/>
      <c r="I236" s="21">
        <v>730</v>
      </c>
      <c r="J236" s="21">
        <v>500</v>
      </c>
      <c r="K236" s="51"/>
      <c r="L236" s="2"/>
      <c r="M236" s="2"/>
      <c r="N236" s="2">
        <v>820</v>
      </c>
      <c r="O236" s="2">
        <v>500</v>
      </c>
      <c r="P236" s="56"/>
      <c r="Q236" s="21"/>
      <c r="R236" s="21"/>
      <c r="S236" s="21">
        <v>730</v>
      </c>
      <c r="T236" s="21">
        <v>500</v>
      </c>
      <c r="U236" s="51"/>
      <c r="W236" s="49"/>
      <c r="AA236" s="50"/>
    </row>
    <row r="237" spans="1:27" x14ac:dyDescent="0.25">
      <c r="A237" s="2">
        <f t="shared" si="41"/>
        <v>6300</v>
      </c>
      <c r="B237" s="2"/>
      <c r="C237" s="2"/>
      <c r="D237" s="2">
        <v>940</v>
      </c>
      <c r="E237" s="2">
        <v>500</v>
      </c>
      <c r="F237" s="56"/>
      <c r="G237" s="21"/>
      <c r="H237" s="21"/>
      <c r="I237" s="21">
        <v>820</v>
      </c>
      <c r="J237" s="21">
        <v>500</v>
      </c>
      <c r="K237" s="51"/>
      <c r="L237" s="2"/>
      <c r="M237" s="2"/>
      <c r="N237" s="2">
        <v>940</v>
      </c>
      <c r="O237" s="2">
        <v>500</v>
      </c>
      <c r="P237" s="56"/>
      <c r="Q237" s="21"/>
      <c r="R237" s="21"/>
      <c r="S237" s="21">
        <v>820</v>
      </c>
      <c r="T237" s="21">
        <v>500</v>
      </c>
      <c r="U237" s="51"/>
      <c r="W237" s="49"/>
      <c r="AA237" s="50"/>
    </row>
    <row r="238" spans="1:27" x14ac:dyDescent="0.25">
      <c r="W238" s="49"/>
      <c r="AA238" s="50"/>
    </row>
    <row r="239" spans="1:27" ht="18.75" x14ac:dyDescent="0.25">
      <c r="D239" s="246" t="s">
        <v>42</v>
      </c>
      <c r="E239" s="246"/>
      <c r="F239" s="246"/>
      <c r="G239" s="246"/>
      <c r="H239" s="246"/>
      <c r="I239" s="246"/>
      <c r="J239" s="246"/>
      <c r="W239" s="49"/>
      <c r="AA239" s="50"/>
    </row>
    <row r="240" spans="1:27" ht="18.75" customHeight="1" x14ac:dyDescent="0.25">
      <c r="D240" s="247" t="s">
        <v>2</v>
      </c>
      <c r="E240" s="248"/>
      <c r="F240" s="248"/>
      <c r="G240" s="248"/>
      <c r="H240" s="248"/>
      <c r="I240" s="248"/>
      <c r="J240" s="249"/>
      <c r="W240" s="53"/>
      <c r="X240" s="54"/>
      <c r="Y240" s="54"/>
      <c r="Z240" s="54"/>
      <c r="AA240" s="55"/>
    </row>
    <row r="241" spans="1:37" x14ac:dyDescent="0.25">
      <c r="D241" s="266" t="s">
        <v>3</v>
      </c>
      <c r="E241" s="266"/>
      <c r="F241" s="266"/>
      <c r="G241" s="266" t="s">
        <v>22</v>
      </c>
      <c r="H241" s="266"/>
      <c r="I241" s="266"/>
      <c r="J241" s="266"/>
    </row>
    <row r="242" spans="1:37" x14ac:dyDescent="0.25">
      <c r="D242" s="266" t="s">
        <v>23</v>
      </c>
      <c r="E242" s="266"/>
      <c r="F242" s="266"/>
      <c r="G242" s="266" t="s">
        <v>22</v>
      </c>
      <c r="H242" s="266"/>
      <c r="I242" s="266"/>
      <c r="J242" s="266"/>
    </row>
    <row r="243" spans="1:37" x14ac:dyDescent="0.25">
      <c r="D243" s="266" t="s">
        <v>31</v>
      </c>
      <c r="E243" s="266"/>
      <c r="F243" s="266"/>
      <c r="G243" s="266" t="s">
        <v>22</v>
      </c>
      <c r="H243" s="266"/>
      <c r="I243" s="266"/>
      <c r="J243" s="266"/>
    </row>
    <row r="245" spans="1:37" x14ac:dyDescent="0.25">
      <c r="A245" s="229" t="s">
        <v>5</v>
      </c>
      <c r="B245" s="227" t="s">
        <v>6</v>
      </c>
      <c r="C245" s="227"/>
      <c r="D245" s="227"/>
      <c r="E245" s="227"/>
      <c r="F245" s="227"/>
      <c r="G245" s="227"/>
      <c r="H245" s="227"/>
      <c r="I245" s="227"/>
      <c r="J245" s="227"/>
      <c r="K245" s="227"/>
      <c r="L245" s="227"/>
      <c r="M245" s="227"/>
      <c r="N245" s="227" t="s">
        <v>7</v>
      </c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AA245" s="45"/>
      <c r="AB245" s="46"/>
      <c r="AC245" s="46"/>
      <c r="AD245" s="46"/>
      <c r="AE245" s="46"/>
      <c r="AF245" s="46"/>
      <c r="AG245" s="46"/>
      <c r="AH245" s="46"/>
      <c r="AI245" s="46"/>
      <c r="AJ245" s="46"/>
      <c r="AK245" s="47"/>
    </row>
    <row r="246" spans="1:37" x14ac:dyDescent="0.25">
      <c r="A246" s="227"/>
      <c r="B246" s="229" t="s">
        <v>8</v>
      </c>
      <c r="C246" s="230"/>
      <c r="D246" s="230"/>
      <c r="E246" s="230"/>
      <c r="F246" s="230"/>
      <c r="G246" s="230"/>
      <c r="H246" s="225" t="s">
        <v>9</v>
      </c>
      <c r="I246" s="225"/>
      <c r="J246" s="225"/>
      <c r="K246" s="225"/>
      <c r="L246" s="225"/>
      <c r="M246" s="226"/>
      <c r="N246" s="229" t="s">
        <v>8</v>
      </c>
      <c r="O246" s="230"/>
      <c r="P246" s="230"/>
      <c r="Q246" s="230"/>
      <c r="R246" s="230"/>
      <c r="S246" s="230"/>
      <c r="T246" s="225" t="s">
        <v>9</v>
      </c>
      <c r="U246" s="225"/>
      <c r="V246" s="225"/>
      <c r="W246" s="225"/>
      <c r="X246" s="225"/>
      <c r="Y246" s="226"/>
      <c r="AA246" s="49"/>
      <c r="AK246" s="50"/>
    </row>
    <row r="247" spans="1:37" x14ac:dyDescent="0.25">
      <c r="A247" s="227"/>
      <c r="B247" s="4" t="s">
        <v>24</v>
      </c>
      <c r="C247" s="4" t="s">
        <v>27</v>
      </c>
      <c r="D247" s="2" t="s">
        <v>36</v>
      </c>
      <c r="E247" s="4" t="s">
        <v>40</v>
      </c>
      <c r="F247" s="4" t="s">
        <v>41</v>
      </c>
      <c r="G247" s="4" t="s">
        <v>26</v>
      </c>
      <c r="H247" s="6" t="s">
        <v>24</v>
      </c>
      <c r="I247" s="6" t="s">
        <v>27</v>
      </c>
      <c r="J247" s="6" t="s">
        <v>36</v>
      </c>
      <c r="K247" s="6" t="s">
        <v>40</v>
      </c>
      <c r="L247" s="6" t="s">
        <v>41</v>
      </c>
      <c r="M247" s="6" t="s">
        <v>26</v>
      </c>
      <c r="N247" s="4" t="s">
        <v>24</v>
      </c>
      <c r="O247" s="4" t="s">
        <v>27</v>
      </c>
      <c r="P247" s="4" t="s">
        <v>36</v>
      </c>
      <c r="Q247" s="4" t="s">
        <v>40</v>
      </c>
      <c r="R247" s="4" t="s">
        <v>41</v>
      </c>
      <c r="S247" s="4" t="s">
        <v>26</v>
      </c>
      <c r="T247" s="6" t="s">
        <v>24</v>
      </c>
      <c r="U247" s="6" t="s">
        <v>27</v>
      </c>
      <c r="V247" s="6" t="s">
        <v>36</v>
      </c>
      <c r="W247" s="6" t="s">
        <v>40</v>
      </c>
      <c r="X247" s="6" t="s">
        <v>41</v>
      </c>
      <c r="Y247" s="6" t="s">
        <v>26</v>
      </c>
      <c r="AA247" s="49"/>
      <c r="AK247" s="50"/>
    </row>
    <row r="248" spans="1:37" x14ac:dyDescent="0.25">
      <c r="A248" s="2">
        <v>160</v>
      </c>
      <c r="B248" s="8"/>
      <c r="C248" s="8"/>
      <c r="D248" s="57"/>
      <c r="E248" s="2">
        <v>220</v>
      </c>
      <c r="F248" s="2">
        <v>500</v>
      </c>
      <c r="G248" s="11"/>
      <c r="H248" s="9"/>
      <c r="I248" s="58"/>
      <c r="J248" s="3"/>
      <c r="K248" s="21">
        <v>210</v>
      </c>
      <c r="L248" s="21">
        <v>500</v>
      </c>
      <c r="M248" s="59"/>
      <c r="N248" s="8">
        <f t="shared" ref="N248:P285" si="42">B248</f>
        <v>0</v>
      </c>
      <c r="O248" s="57">
        <f t="shared" si="42"/>
        <v>0</v>
      </c>
      <c r="P248" s="57">
        <f t="shared" si="42"/>
        <v>0</v>
      </c>
      <c r="Q248" s="2">
        <v>220</v>
      </c>
      <c r="R248" s="2">
        <v>500</v>
      </c>
      <c r="S248" s="60"/>
      <c r="T248" s="9">
        <f t="shared" ref="T248:T285" si="43">B248</f>
        <v>0</v>
      </c>
      <c r="U248" s="58">
        <f t="shared" ref="U248:V285" si="44">I248</f>
        <v>0</v>
      </c>
      <c r="V248" s="58">
        <f t="shared" si="44"/>
        <v>0</v>
      </c>
      <c r="W248" s="21">
        <v>210</v>
      </c>
      <c r="X248" s="21">
        <v>500</v>
      </c>
      <c r="Y248" s="6"/>
      <c r="AA248" s="49"/>
      <c r="AK248" s="50"/>
    </row>
    <row r="249" spans="1:37" x14ac:dyDescent="0.25">
      <c r="A249" s="2">
        <v>250</v>
      </c>
      <c r="B249" s="8"/>
      <c r="C249" s="8"/>
      <c r="D249" s="57"/>
      <c r="E249" s="2">
        <v>220</v>
      </c>
      <c r="F249" s="2">
        <v>500</v>
      </c>
      <c r="G249" s="11"/>
      <c r="H249" s="9"/>
      <c r="I249" s="58"/>
      <c r="J249" s="3"/>
      <c r="K249" s="21">
        <v>210</v>
      </c>
      <c r="L249" s="21">
        <v>500</v>
      </c>
      <c r="M249" s="59"/>
      <c r="N249" s="8">
        <f t="shared" si="42"/>
        <v>0</v>
      </c>
      <c r="O249" s="57">
        <f t="shared" si="42"/>
        <v>0</v>
      </c>
      <c r="P249" s="57">
        <f t="shared" si="42"/>
        <v>0</v>
      </c>
      <c r="Q249" s="2">
        <v>220</v>
      </c>
      <c r="R249" s="2">
        <v>500</v>
      </c>
      <c r="S249" s="60"/>
      <c r="T249" s="9">
        <f t="shared" si="43"/>
        <v>0</v>
      </c>
      <c r="U249" s="58">
        <f t="shared" si="44"/>
        <v>0</v>
      </c>
      <c r="V249" s="58">
        <f t="shared" si="44"/>
        <v>0</v>
      </c>
      <c r="W249" s="21">
        <v>210</v>
      </c>
      <c r="X249" s="21">
        <v>500</v>
      </c>
      <c r="Y249" s="6"/>
      <c r="AA249" s="49"/>
      <c r="AK249" s="50"/>
    </row>
    <row r="250" spans="1:37" x14ac:dyDescent="0.25">
      <c r="A250" s="2">
        <f t="shared" ref="A250:A261" si="45">A14</f>
        <v>400</v>
      </c>
      <c r="B250" s="8"/>
      <c r="C250" s="8"/>
      <c r="D250" s="57"/>
      <c r="E250" s="2">
        <v>220</v>
      </c>
      <c r="F250" s="2">
        <v>500</v>
      </c>
      <c r="G250" s="11"/>
      <c r="H250" s="9"/>
      <c r="I250" s="58"/>
      <c r="J250" s="3"/>
      <c r="K250" s="21">
        <v>210</v>
      </c>
      <c r="L250" s="21">
        <v>500</v>
      </c>
      <c r="M250" s="59"/>
      <c r="N250" s="8">
        <f t="shared" si="42"/>
        <v>0</v>
      </c>
      <c r="O250" s="57">
        <f t="shared" si="42"/>
        <v>0</v>
      </c>
      <c r="P250" s="57">
        <f t="shared" si="42"/>
        <v>0</v>
      </c>
      <c r="Q250" s="2">
        <v>220</v>
      </c>
      <c r="R250" s="2">
        <v>500</v>
      </c>
      <c r="S250" s="60"/>
      <c r="T250" s="9">
        <f t="shared" si="43"/>
        <v>0</v>
      </c>
      <c r="U250" s="58">
        <f t="shared" si="44"/>
        <v>0</v>
      </c>
      <c r="V250" s="58">
        <f t="shared" si="44"/>
        <v>0</v>
      </c>
      <c r="W250" s="21">
        <v>210</v>
      </c>
      <c r="X250" s="21">
        <v>500</v>
      </c>
      <c r="Y250" s="6"/>
      <c r="AA250" s="49"/>
      <c r="AK250" s="50"/>
    </row>
    <row r="251" spans="1:37" x14ac:dyDescent="0.25">
      <c r="A251" s="2">
        <f t="shared" si="45"/>
        <v>630</v>
      </c>
      <c r="B251" s="8"/>
      <c r="C251" s="8"/>
      <c r="D251" s="57"/>
      <c r="E251" s="2">
        <v>220</v>
      </c>
      <c r="F251" s="2">
        <v>500</v>
      </c>
      <c r="G251" s="11"/>
      <c r="H251" s="9"/>
      <c r="I251" s="58"/>
      <c r="J251" s="3"/>
      <c r="K251" s="21">
        <v>210</v>
      </c>
      <c r="L251" s="21">
        <v>500</v>
      </c>
      <c r="M251" s="59"/>
      <c r="N251" s="8">
        <f t="shared" si="42"/>
        <v>0</v>
      </c>
      <c r="O251" s="57">
        <f t="shared" si="42"/>
        <v>0</v>
      </c>
      <c r="P251" s="57">
        <f t="shared" si="42"/>
        <v>0</v>
      </c>
      <c r="Q251" s="2">
        <v>220</v>
      </c>
      <c r="R251" s="2">
        <v>500</v>
      </c>
      <c r="S251" s="60"/>
      <c r="T251" s="9">
        <f t="shared" si="43"/>
        <v>0</v>
      </c>
      <c r="U251" s="58">
        <f t="shared" si="44"/>
        <v>0</v>
      </c>
      <c r="V251" s="58">
        <f t="shared" si="44"/>
        <v>0</v>
      </c>
      <c r="W251" s="21">
        <v>210</v>
      </c>
      <c r="X251" s="21">
        <v>500</v>
      </c>
      <c r="Y251" s="6"/>
      <c r="AA251" s="49"/>
      <c r="AK251" s="50"/>
    </row>
    <row r="252" spans="1:37" x14ac:dyDescent="0.25">
      <c r="A252" s="2">
        <f t="shared" si="45"/>
        <v>800</v>
      </c>
      <c r="B252" s="8"/>
      <c r="C252" s="8"/>
      <c r="D252" s="57"/>
      <c r="E252" s="2">
        <v>220</v>
      </c>
      <c r="F252" s="2">
        <v>500</v>
      </c>
      <c r="G252" s="11"/>
      <c r="H252" s="9"/>
      <c r="I252" s="58"/>
      <c r="J252" s="3"/>
      <c r="K252" s="21">
        <v>210</v>
      </c>
      <c r="L252" s="21">
        <v>500</v>
      </c>
      <c r="M252" s="59"/>
      <c r="N252" s="8">
        <f t="shared" si="42"/>
        <v>0</v>
      </c>
      <c r="O252" s="57">
        <f t="shared" si="42"/>
        <v>0</v>
      </c>
      <c r="P252" s="57">
        <f t="shared" si="42"/>
        <v>0</v>
      </c>
      <c r="Q252" s="2">
        <v>220</v>
      </c>
      <c r="R252" s="2">
        <v>500</v>
      </c>
      <c r="S252" s="60"/>
      <c r="T252" s="9">
        <f t="shared" si="43"/>
        <v>0</v>
      </c>
      <c r="U252" s="58">
        <f t="shared" si="44"/>
        <v>0</v>
      </c>
      <c r="V252" s="58">
        <f>J252</f>
        <v>0</v>
      </c>
      <c r="W252" s="21">
        <v>210</v>
      </c>
      <c r="X252" s="21">
        <v>500</v>
      </c>
      <c r="Y252" s="61"/>
      <c r="AA252" s="49"/>
      <c r="AK252" s="50"/>
    </row>
    <row r="253" spans="1:37" x14ac:dyDescent="0.25">
      <c r="A253" s="2">
        <f t="shared" si="45"/>
        <v>1000</v>
      </c>
      <c r="B253" s="8"/>
      <c r="C253" s="8"/>
      <c r="D253" s="57"/>
      <c r="E253" s="2">
        <v>245</v>
      </c>
      <c r="F253" s="2">
        <v>500</v>
      </c>
      <c r="G253" s="11"/>
      <c r="H253" s="9"/>
      <c r="I253" s="58"/>
      <c r="J253" s="3"/>
      <c r="K253" s="21">
        <v>210</v>
      </c>
      <c r="L253" s="21">
        <v>500</v>
      </c>
      <c r="M253" s="59"/>
      <c r="N253" s="8">
        <f t="shared" si="42"/>
        <v>0</v>
      </c>
      <c r="O253" s="57">
        <f t="shared" si="42"/>
        <v>0</v>
      </c>
      <c r="P253" s="57">
        <f t="shared" si="42"/>
        <v>0</v>
      </c>
      <c r="Q253" s="2">
        <v>245</v>
      </c>
      <c r="R253" s="2">
        <v>500</v>
      </c>
      <c r="S253" s="60"/>
      <c r="T253" s="9">
        <f t="shared" si="43"/>
        <v>0</v>
      </c>
      <c r="U253" s="58">
        <f t="shared" si="44"/>
        <v>0</v>
      </c>
      <c r="V253" s="58">
        <f t="shared" si="44"/>
        <v>0</v>
      </c>
      <c r="W253" s="21">
        <v>210</v>
      </c>
      <c r="X253" s="21">
        <v>500</v>
      </c>
      <c r="Y253" s="61"/>
      <c r="AA253" s="49"/>
      <c r="AK253" s="50"/>
    </row>
    <row r="254" spans="1:37" x14ac:dyDescent="0.25">
      <c r="A254" s="2">
        <f t="shared" si="45"/>
        <v>1250</v>
      </c>
      <c r="B254" s="8"/>
      <c r="C254" s="8"/>
      <c r="D254" s="57"/>
      <c r="E254" s="2">
        <v>280</v>
      </c>
      <c r="F254" s="2">
        <v>500</v>
      </c>
      <c r="G254" s="11"/>
      <c r="H254" s="9"/>
      <c r="I254" s="58"/>
      <c r="J254" s="3"/>
      <c r="K254" s="21">
        <v>220</v>
      </c>
      <c r="L254" s="21">
        <v>500</v>
      </c>
      <c r="M254" s="59"/>
      <c r="N254" s="8">
        <f t="shared" si="42"/>
        <v>0</v>
      </c>
      <c r="O254" s="57">
        <f t="shared" si="42"/>
        <v>0</v>
      </c>
      <c r="P254" s="57">
        <f t="shared" si="42"/>
        <v>0</v>
      </c>
      <c r="Q254" s="2">
        <v>280</v>
      </c>
      <c r="R254" s="2">
        <v>500</v>
      </c>
      <c r="S254" s="60"/>
      <c r="T254" s="9">
        <f t="shared" si="43"/>
        <v>0</v>
      </c>
      <c r="U254" s="58">
        <f t="shared" si="44"/>
        <v>0</v>
      </c>
      <c r="V254" s="58">
        <f t="shared" si="44"/>
        <v>0</v>
      </c>
      <c r="W254" s="21">
        <v>220</v>
      </c>
      <c r="X254" s="21">
        <v>500</v>
      </c>
      <c r="Y254" s="61"/>
      <c r="AA254" s="49"/>
      <c r="AK254" s="50"/>
    </row>
    <row r="255" spans="1:37" x14ac:dyDescent="0.25">
      <c r="A255" s="2">
        <f t="shared" si="45"/>
        <v>1600</v>
      </c>
      <c r="B255" s="8"/>
      <c r="C255" s="8"/>
      <c r="D255" s="57"/>
      <c r="E255" s="2">
        <v>310</v>
      </c>
      <c r="F255" s="2">
        <v>500</v>
      </c>
      <c r="G255" s="11"/>
      <c r="H255" s="9"/>
      <c r="I255" s="58"/>
      <c r="J255" s="3"/>
      <c r="K255" s="21">
        <v>245</v>
      </c>
      <c r="L255" s="21">
        <v>500</v>
      </c>
      <c r="M255" s="59"/>
      <c r="N255" s="8">
        <f t="shared" si="42"/>
        <v>0</v>
      </c>
      <c r="O255" s="57">
        <f t="shared" si="42"/>
        <v>0</v>
      </c>
      <c r="P255" s="57">
        <f t="shared" si="42"/>
        <v>0</v>
      </c>
      <c r="Q255" s="2">
        <v>310</v>
      </c>
      <c r="R255" s="2">
        <v>500</v>
      </c>
      <c r="S255" s="60"/>
      <c r="T255" s="9">
        <f t="shared" si="43"/>
        <v>0</v>
      </c>
      <c r="U255" s="58">
        <f t="shared" si="44"/>
        <v>0</v>
      </c>
      <c r="V255" s="58">
        <f t="shared" si="44"/>
        <v>0</v>
      </c>
      <c r="W255" s="21">
        <v>245</v>
      </c>
      <c r="X255" s="21">
        <v>500</v>
      </c>
      <c r="Y255" s="61"/>
      <c r="AA255" s="49"/>
      <c r="AK255" s="50"/>
    </row>
    <row r="256" spans="1:37" x14ac:dyDescent="0.25">
      <c r="A256" s="2">
        <f t="shared" si="45"/>
        <v>2000</v>
      </c>
      <c r="B256" s="8"/>
      <c r="C256" s="8"/>
      <c r="D256" s="57"/>
      <c r="E256" s="2">
        <v>350</v>
      </c>
      <c r="F256" s="2">
        <v>500</v>
      </c>
      <c r="G256" s="11"/>
      <c r="H256" s="9"/>
      <c r="I256" s="58"/>
      <c r="J256" s="3"/>
      <c r="K256" s="21">
        <v>280</v>
      </c>
      <c r="L256" s="21">
        <v>500</v>
      </c>
      <c r="M256" s="59"/>
      <c r="N256" s="8">
        <f t="shared" si="42"/>
        <v>0</v>
      </c>
      <c r="O256" s="57">
        <f t="shared" si="42"/>
        <v>0</v>
      </c>
      <c r="P256" s="57">
        <f t="shared" si="42"/>
        <v>0</v>
      </c>
      <c r="Q256" s="2">
        <v>350</v>
      </c>
      <c r="R256" s="2">
        <v>500</v>
      </c>
      <c r="S256" s="60"/>
      <c r="T256" s="9">
        <f t="shared" si="43"/>
        <v>0</v>
      </c>
      <c r="U256" s="58">
        <f t="shared" si="44"/>
        <v>0</v>
      </c>
      <c r="V256" s="58">
        <f t="shared" si="44"/>
        <v>0</v>
      </c>
      <c r="W256" s="21">
        <v>280</v>
      </c>
      <c r="X256" s="21">
        <v>500</v>
      </c>
      <c r="Y256" s="61"/>
      <c r="AA256" s="49"/>
      <c r="AK256" s="50"/>
    </row>
    <row r="257" spans="1:37" x14ac:dyDescent="0.25">
      <c r="A257" s="2">
        <f t="shared" si="45"/>
        <v>2500</v>
      </c>
      <c r="B257" s="8"/>
      <c r="C257" s="8"/>
      <c r="D257" s="57"/>
      <c r="E257" s="2">
        <v>460</v>
      </c>
      <c r="F257" s="2">
        <v>500</v>
      </c>
      <c r="G257" s="11"/>
      <c r="H257" s="9"/>
      <c r="I257" s="58"/>
      <c r="J257" s="3"/>
      <c r="K257" s="21">
        <v>310</v>
      </c>
      <c r="L257" s="21">
        <v>500</v>
      </c>
      <c r="M257" s="59"/>
      <c r="N257" s="8">
        <f t="shared" si="42"/>
        <v>0</v>
      </c>
      <c r="O257" s="57">
        <f t="shared" si="42"/>
        <v>0</v>
      </c>
      <c r="P257" s="57">
        <f t="shared" si="42"/>
        <v>0</v>
      </c>
      <c r="Q257" s="2">
        <v>460</v>
      </c>
      <c r="R257" s="2">
        <v>500</v>
      </c>
      <c r="S257" s="60"/>
      <c r="T257" s="9">
        <f t="shared" si="43"/>
        <v>0</v>
      </c>
      <c r="U257" s="58">
        <f t="shared" si="44"/>
        <v>0</v>
      </c>
      <c r="V257" s="58">
        <f t="shared" si="44"/>
        <v>0</v>
      </c>
      <c r="W257" s="21">
        <v>310</v>
      </c>
      <c r="X257" s="21">
        <v>500</v>
      </c>
      <c r="Y257" s="61"/>
      <c r="AA257" s="49"/>
      <c r="AK257" s="50"/>
    </row>
    <row r="258" spans="1:37" x14ac:dyDescent="0.25">
      <c r="A258" s="2">
        <f t="shared" si="45"/>
        <v>3200</v>
      </c>
      <c r="B258" s="8"/>
      <c r="C258" s="8"/>
      <c r="D258" s="57"/>
      <c r="E258" s="2">
        <v>520</v>
      </c>
      <c r="F258" s="2">
        <v>500</v>
      </c>
      <c r="G258" s="11"/>
      <c r="H258" s="9"/>
      <c r="I258" s="58"/>
      <c r="J258" s="3"/>
      <c r="K258" s="21">
        <v>400</v>
      </c>
      <c r="L258" s="21">
        <v>500</v>
      </c>
      <c r="M258" s="59"/>
      <c r="N258" s="8">
        <f t="shared" si="42"/>
        <v>0</v>
      </c>
      <c r="O258" s="57">
        <f t="shared" si="42"/>
        <v>0</v>
      </c>
      <c r="P258" s="57">
        <f t="shared" si="42"/>
        <v>0</v>
      </c>
      <c r="Q258" s="2">
        <v>520</v>
      </c>
      <c r="R258" s="2">
        <v>500</v>
      </c>
      <c r="S258" s="60"/>
      <c r="T258" s="9">
        <f t="shared" si="43"/>
        <v>0</v>
      </c>
      <c r="U258" s="58">
        <f t="shared" si="44"/>
        <v>0</v>
      </c>
      <c r="V258" s="58">
        <f t="shared" si="44"/>
        <v>0</v>
      </c>
      <c r="W258" s="21">
        <v>400</v>
      </c>
      <c r="X258" s="21">
        <v>500</v>
      </c>
      <c r="Y258" s="61"/>
      <c r="AA258" s="49"/>
      <c r="AK258" s="50"/>
    </row>
    <row r="259" spans="1:37" x14ac:dyDescent="0.25">
      <c r="A259" s="2">
        <f t="shared" si="45"/>
        <v>4000</v>
      </c>
      <c r="B259" s="8"/>
      <c r="C259" s="8"/>
      <c r="D259" s="57"/>
      <c r="E259" s="2">
        <v>600</v>
      </c>
      <c r="F259" s="2">
        <v>500</v>
      </c>
      <c r="G259" s="11"/>
      <c r="H259" s="9"/>
      <c r="I259" s="58"/>
      <c r="J259" s="3"/>
      <c r="K259" s="21">
        <v>520</v>
      </c>
      <c r="L259" s="21">
        <v>500</v>
      </c>
      <c r="M259" s="59"/>
      <c r="N259" s="8">
        <f t="shared" si="42"/>
        <v>0</v>
      </c>
      <c r="O259" s="57">
        <f t="shared" si="42"/>
        <v>0</v>
      </c>
      <c r="P259" s="57">
        <f t="shared" si="42"/>
        <v>0</v>
      </c>
      <c r="Q259" s="2">
        <v>600</v>
      </c>
      <c r="R259" s="2">
        <v>500</v>
      </c>
      <c r="S259" s="60"/>
      <c r="T259" s="9">
        <f t="shared" si="43"/>
        <v>0</v>
      </c>
      <c r="U259" s="58">
        <f t="shared" si="44"/>
        <v>0</v>
      </c>
      <c r="V259" s="58">
        <f t="shared" si="44"/>
        <v>0</v>
      </c>
      <c r="W259" s="21">
        <v>520</v>
      </c>
      <c r="X259" s="21">
        <v>500</v>
      </c>
      <c r="Y259" s="61"/>
      <c r="AA259" s="49"/>
      <c r="AK259" s="50"/>
    </row>
    <row r="260" spans="1:37" x14ac:dyDescent="0.25">
      <c r="A260" s="2">
        <f t="shared" si="45"/>
        <v>5000</v>
      </c>
      <c r="B260" s="8"/>
      <c r="C260" s="8"/>
      <c r="D260" s="57"/>
      <c r="E260" s="2">
        <v>820</v>
      </c>
      <c r="F260" s="2">
        <v>500</v>
      </c>
      <c r="G260" s="11"/>
      <c r="H260" s="9"/>
      <c r="I260" s="58"/>
      <c r="J260" s="3"/>
      <c r="K260" s="21">
        <v>730</v>
      </c>
      <c r="L260" s="21">
        <v>500</v>
      </c>
      <c r="M260" s="59"/>
      <c r="N260" s="8">
        <f t="shared" si="42"/>
        <v>0</v>
      </c>
      <c r="O260" s="57">
        <f t="shared" si="42"/>
        <v>0</v>
      </c>
      <c r="P260" s="57">
        <f t="shared" si="42"/>
        <v>0</v>
      </c>
      <c r="Q260" s="2">
        <v>820</v>
      </c>
      <c r="R260" s="2">
        <v>500</v>
      </c>
      <c r="S260" s="60"/>
      <c r="T260" s="9">
        <f t="shared" si="43"/>
        <v>0</v>
      </c>
      <c r="U260" s="58">
        <f t="shared" si="44"/>
        <v>0</v>
      </c>
      <c r="V260" s="58">
        <f t="shared" si="44"/>
        <v>0</v>
      </c>
      <c r="W260" s="21">
        <v>730</v>
      </c>
      <c r="X260" s="21">
        <v>500</v>
      </c>
      <c r="Y260" s="61"/>
      <c r="AA260" s="49"/>
      <c r="AK260" s="50"/>
    </row>
    <row r="261" spans="1:37" x14ac:dyDescent="0.25">
      <c r="A261" s="2">
        <f t="shared" si="45"/>
        <v>6300</v>
      </c>
      <c r="B261" s="8"/>
      <c r="C261" s="8"/>
      <c r="D261" s="57"/>
      <c r="E261" s="2">
        <v>940</v>
      </c>
      <c r="F261" s="2">
        <v>500</v>
      </c>
      <c r="G261" s="11"/>
      <c r="H261" s="9"/>
      <c r="I261" s="58"/>
      <c r="J261" s="3"/>
      <c r="K261" s="21">
        <v>820</v>
      </c>
      <c r="L261" s="21">
        <v>500</v>
      </c>
      <c r="M261" s="59"/>
      <c r="N261" s="8">
        <f t="shared" si="42"/>
        <v>0</v>
      </c>
      <c r="O261" s="57">
        <f t="shared" si="42"/>
        <v>0</v>
      </c>
      <c r="P261" s="57">
        <f t="shared" si="42"/>
        <v>0</v>
      </c>
      <c r="Q261" s="2">
        <v>940</v>
      </c>
      <c r="R261" s="2">
        <v>500</v>
      </c>
      <c r="S261" s="60"/>
      <c r="T261" s="9">
        <f t="shared" si="43"/>
        <v>0</v>
      </c>
      <c r="U261" s="58">
        <f t="shared" si="44"/>
        <v>0</v>
      </c>
      <c r="V261" s="58">
        <f t="shared" si="44"/>
        <v>0</v>
      </c>
      <c r="W261" s="21">
        <v>820</v>
      </c>
      <c r="X261" s="21">
        <v>500</v>
      </c>
      <c r="Y261" s="61"/>
      <c r="AA261" s="53"/>
      <c r="AB261" s="54"/>
      <c r="AC261" s="54"/>
      <c r="AD261" s="54"/>
      <c r="AE261" s="54"/>
      <c r="AF261" s="54"/>
      <c r="AG261" s="54"/>
      <c r="AH261" s="54"/>
      <c r="AI261" s="54"/>
      <c r="AJ261" s="54"/>
      <c r="AK261" s="55"/>
    </row>
    <row r="263" spans="1:37" ht="18.75" x14ac:dyDescent="0.25">
      <c r="D263" s="246" t="s">
        <v>43</v>
      </c>
      <c r="E263" s="246"/>
      <c r="F263" s="246"/>
      <c r="G263" s="246"/>
      <c r="H263" s="246"/>
      <c r="I263" s="246"/>
      <c r="J263" s="246"/>
    </row>
    <row r="264" spans="1:37" x14ac:dyDescent="0.25">
      <c r="D264" s="247" t="s">
        <v>2</v>
      </c>
      <c r="E264" s="248"/>
      <c r="F264" s="248"/>
      <c r="G264" s="248"/>
      <c r="H264" s="248"/>
      <c r="I264" s="248"/>
      <c r="J264" s="249"/>
    </row>
    <row r="265" spans="1:37" x14ac:dyDescent="0.25">
      <c r="D265" s="266" t="s">
        <v>3</v>
      </c>
      <c r="E265" s="266"/>
      <c r="F265" s="266"/>
      <c r="G265" s="266" t="s">
        <v>22</v>
      </c>
      <c r="H265" s="266"/>
      <c r="I265" s="266"/>
      <c r="J265" s="266"/>
    </row>
    <row r="266" spans="1:37" x14ac:dyDescent="0.25">
      <c r="D266" s="266" t="s">
        <v>23</v>
      </c>
      <c r="E266" s="266"/>
      <c r="F266" s="266"/>
      <c r="G266" s="266" t="s">
        <v>22</v>
      </c>
      <c r="H266" s="266"/>
      <c r="I266" s="266"/>
      <c r="J266" s="266"/>
    </row>
    <row r="267" spans="1:37" x14ac:dyDescent="0.25">
      <c r="D267" s="266" t="s">
        <v>31</v>
      </c>
      <c r="E267" s="266"/>
      <c r="F267" s="266"/>
      <c r="G267" s="266" t="s">
        <v>22</v>
      </c>
      <c r="H267" s="266"/>
      <c r="I267" s="266"/>
      <c r="J267" s="266"/>
    </row>
    <row r="268" spans="1:37" x14ac:dyDescent="0.25">
      <c r="AA268" s="45"/>
      <c r="AB268" s="46"/>
      <c r="AC268" s="46"/>
      <c r="AD268" s="47"/>
    </row>
    <row r="269" spans="1:37" x14ac:dyDescent="0.25">
      <c r="A269" s="229" t="s">
        <v>5</v>
      </c>
      <c r="B269" s="227" t="s">
        <v>6</v>
      </c>
      <c r="C269" s="227"/>
      <c r="D269" s="227"/>
      <c r="E269" s="227"/>
      <c r="F269" s="227"/>
      <c r="G269" s="227"/>
      <c r="H269" s="227"/>
      <c r="I269" s="227"/>
      <c r="J269" s="227"/>
      <c r="K269" s="227"/>
      <c r="L269" s="227"/>
      <c r="M269" s="227"/>
      <c r="N269" s="227" t="s">
        <v>7</v>
      </c>
      <c r="O269" s="227"/>
      <c r="P269" s="227"/>
      <c r="Q269" s="227"/>
      <c r="R269" s="227"/>
      <c r="S269" s="227"/>
      <c r="T269" s="227"/>
      <c r="U269" s="227"/>
      <c r="V269" s="227"/>
      <c r="W269" s="227"/>
      <c r="X269" s="227"/>
      <c r="Y269" s="227"/>
      <c r="AA269" s="49"/>
      <c r="AD269" s="50"/>
    </row>
    <row r="270" spans="1:37" x14ac:dyDescent="0.25">
      <c r="A270" s="227"/>
      <c r="B270" s="229" t="s">
        <v>8</v>
      </c>
      <c r="C270" s="230"/>
      <c r="D270" s="230"/>
      <c r="E270" s="230"/>
      <c r="F270" s="230"/>
      <c r="G270" s="230"/>
      <c r="H270" s="225" t="s">
        <v>9</v>
      </c>
      <c r="I270" s="225"/>
      <c r="J270" s="225"/>
      <c r="K270" s="225"/>
      <c r="L270" s="225"/>
      <c r="M270" s="226"/>
      <c r="N270" s="229" t="s">
        <v>8</v>
      </c>
      <c r="O270" s="230"/>
      <c r="P270" s="230"/>
      <c r="Q270" s="230"/>
      <c r="R270" s="230"/>
      <c r="S270" s="230"/>
      <c r="T270" s="225" t="s">
        <v>9</v>
      </c>
      <c r="U270" s="225"/>
      <c r="V270" s="225"/>
      <c r="W270" s="225"/>
      <c r="X270" s="225"/>
      <c r="Y270" s="225"/>
      <c r="AA270" s="49"/>
      <c r="AD270" s="50"/>
    </row>
    <row r="271" spans="1:37" x14ac:dyDescent="0.25">
      <c r="A271" s="227"/>
      <c r="B271" s="4" t="s">
        <v>24</v>
      </c>
      <c r="C271" s="4" t="s">
        <v>27</v>
      </c>
      <c r="D271" s="2" t="s">
        <v>36</v>
      </c>
      <c r="E271" s="4" t="s">
        <v>40</v>
      </c>
      <c r="F271" s="4" t="s">
        <v>41</v>
      </c>
      <c r="G271" s="4" t="s">
        <v>26</v>
      </c>
      <c r="H271" s="6" t="s">
        <v>24</v>
      </c>
      <c r="I271" s="6" t="s">
        <v>27</v>
      </c>
      <c r="J271" s="6" t="s">
        <v>36</v>
      </c>
      <c r="K271" s="6" t="s">
        <v>40</v>
      </c>
      <c r="L271" s="6" t="s">
        <v>41</v>
      </c>
      <c r="M271" s="6" t="s">
        <v>26</v>
      </c>
      <c r="N271" s="4" t="s">
        <v>24</v>
      </c>
      <c r="O271" s="4" t="s">
        <v>27</v>
      </c>
      <c r="P271" s="4" t="s">
        <v>36</v>
      </c>
      <c r="Q271" s="4" t="s">
        <v>40</v>
      </c>
      <c r="R271" s="4" t="s">
        <v>41</v>
      </c>
      <c r="S271" s="4" t="s">
        <v>26</v>
      </c>
      <c r="T271" s="6" t="s">
        <v>24</v>
      </c>
      <c r="U271" s="6" t="s">
        <v>27</v>
      </c>
      <c r="V271" s="6" t="s">
        <v>36</v>
      </c>
      <c r="W271" s="6" t="s">
        <v>40</v>
      </c>
      <c r="X271" s="6" t="s">
        <v>41</v>
      </c>
      <c r="Y271" s="6" t="s">
        <v>26</v>
      </c>
      <c r="AA271" s="49"/>
      <c r="AD271" s="50"/>
    </row>
    <row r="272" spans="1:37" x14ac:dyDescent="0.25">
      <c r="A272" s="2">
        <v>160</v>
      </c>
      <c r="B272" s="8"/>
      <c r="C272" s="8"/>
      <c r="D272" s="57"/>
      <c r="E272" s="2">
        <v>220</v>
      </c>
      <c r="F272" s="2">
        <v>500</v>
      </c>
      <c r="G272" s="11"/>
      <c r="H272" s="9"/>
      <c r="I272" s="58"/>
      <c r="J272" s="3"/>
      <c r="K272" s="21">
        <v>210</v>
      </c>
      <c r="L272" s="21">
        <v>500</v>
      </c>
      <c r="M272" s="59"/>
      <c r="N272" s="8">
        <f t="shared" si="42"/>
        <v>0</v>
      </c>
      <c r="O272" s="57">
        <f t="shared" si="42"/>
        <v>0</v>
      </c>
      <c r="P272" s="57">
        <f t="shared" si="42"/>
        <v>0</v>
      </c>
      <c r="Q272" s="2">
        <v>220</v>
      </c>
      <c r="R272" s="2">
        <v>500</v>
      </c>
      <c r="S272" s="60"/>
      <c r="T272" s="9">
        <f t="shared" si="43"/>
        <v>0</v>
      </c>
      <c r="U272" s="58">
        <f t="shared" si="44"/>
        <v>0</v>
      </c>
      <c r="V272" s="58">
        <f t="shared" si="44"/>
        <v>0</v>
      </c>
      <c r="W272" s="21">
        <v>210</v>
      </c>
      <c r="X272" s="21">
        <v>500</v>
      </c>
      <c r="Y272" s="6"/>
      <c r="AA272" s="49"/>
      <c r="AD272" s="50"/>
    </row>
    <row r="273" spans="1:30" x14ac:dyDescent="0.25">
      <c r="A273" s="2">
        <v>250</v>
      </c>
      <c r="B273" s="8"/>
      <c r="C273" s="8"/>
      <c r="D273" s="57"/>
      <c r="E273" s="2">
        <v>220</v>
      </c>
      <c r="F273" s="2">
        <v>500</v>
      </c>
      <c r="G273" s="11"/>
      <c r="H273" s="9"/>
      <c r="I273" s="58"/>
      <c r="J273" s="3"/>
      <c r="K273" s="21">
        <v>210</v>
      </c>
      <c r="L273" s="21">
        <v>500</v>
      </c>
      <c r="M273" s="59"/>
      <c r="N273" s="8">
        <f t="shared" si="42"/>
        <v>0</v>
      </c>
      <c r="O273" s="57">
        <f t="shared" si="42"/>
        <v>0</v>
      </c>
      <c r="P273" s="57">
        <f t="shared" si="42"/>
        <v>0</v>
      </c>
      <c r="Q273" s="2">
        <v>220</v>
      </c>
      <c r="R273" s="2">
        <v>500</v>
      </c>
      <c r="S273" s="60"/>
      <c r="T273" s="9">
        <f t="shared" si="43"/>
        <v>0</v>
      </c>
      <c r="U273" s="58">
        <f t="shared" si="44"/>
        <v>0</v>
      </c>
      <c r="V273" s="58">
        <f t="shared" si="44"/>
        <v>0</v>
      </c>
      <c r="W273" s="21">
        <v>210</v>
      </c>
      <c r="X273" s="21">
        <v>500</v>
      </c>
      <c r="Y273" s="6"/>
      <c r="AA273" s="49"/>
      <c r="AD273" s="50"/>
    </row>
    <row r="274" spans="1:30" x14ac:dyDescent="0.25">
      <c r="A274" s="2">
        <f t="shared" ref="A274:A285" si="46">A14</f>
        <v>400</v>
      </c>
      <c r="B274" s="8"/>
      <c r="C274" s="8"/>
      <c r="D274" s="57"/>
      <c r="E274" s="2">
        <v>220</v>
      </c>
      <c r="F274" s="2">
        <v>500</v>
      </c>
      <c r="G274" s="11"/>
      <c r="H274" s="9"/>
      <c r="I274" s="58"/>
      <c r="J274" s="3"/>
      <c r="K274" s="21">
        <v>210</v>
      </c>
      <c r="L274" s="21">
        <v>500</v>
      </c>
      <c r="M274" s="59"/>
      <c r="N274" s="8">
        <f t="shared" si="42"/>
        <v>0</v>
      </c>
      <c r="O274" s="57">
        <f t="shared" si="42"/>
        <v>0</v>
      </c>
      <c r="P274" s="57">
        <f t="shared" si="42"/>
        <v>0</v>
      </c>
      <c r="Q274" s="2">
        <v>220</v>
      </c>
      <c r="R274" s="2">
        <v>500</v>
      </c>
      <c r="S274" s="60"/>
      <c r="T274" s="9">
        <f t="shared" si="43"/>
        <v>0</v>
      </c>
      <c r="U274" s="58">
        <f t="shared" si="44"/>
        <v>0</v>
      </c>
      <c r="V274" s="58">
        <f t="shared" si="44"/>
        <v>0</v>
      </c>
      <c r="W274" s="21">
        <v>210</v>
      </c>
      <c r="X274" s="21">
        <v>500</v>
      </c>
      <c r="Y274" s="6"/>
      <c r="AA274" s="49"/>
      <c r="AD274" s="50"/>
    </row>
    <row r="275" spans="1:30" x14ac:dyDescent="0.25">
      <c r="A275" s="2">
        <f t="shared" si="46"/>
        <v>630</v>
      </c>
      <c r="B275" s="8"/>
      <c r="C275" s="8"/>
      <c r="D275" s="57"/>
      <c r="E275" s="2">
        <v>220</v>
      </c>
      <c r="F275" s="2">
        <v>500</v>
      </c>
      <c r="G275" s="11"/>
      <c r="H275" s="9"/>
      <c r="I275" s="58"/>
      <c r="J275" s="3"/>
      <c r="K275" s="21">
        <v>210</v>
      </c>
      <c r="L275" s="21">
        <v>500</v>
      </c>
      <c r="M275" s="59"/>
      <c r="N275" s="8">
        <f t="shared" si="42"/>
        <v>0</v>
      </c>
      <c r="O275" s="57">
        <f t="shared" si="42"/>
        <v>0</v>
      </c>
      <c r="P275" s="57">
        <f t="shared" si="42"/>
        <v>0</v>
      </c>
      <c r="Q275" s="2">
        <v>220</v>
      </c>
      <c r="R275" s="2">
        <v>500</v>
      </c>
      <c r="S275" s="60"/>
      <c r="T275" s="9">
        <f t="shared" si="43"/>
        <v>0</v>
      </c>
      <c r="U275" s="58">
        <f t="shared" si="44"/>
        <v>0</v>
      </c>
      <c r="V275" s="58">
        <f t="shared" si="44"/>
        <v>0</v>
      </c>
      <c r="W275" s="21">
        <v>210</v>
      </c>
      <c r="X275" s="21">
        <v>500</v>
      </c>
      <c r="Y275" s="6"/>
      <c r="AA275" s="49"/>
      <c r="AD275" s="50"/>
    </row>
    <row r="276" spans="1:30" x14ac:dyDescent="0.25">
      <c r="A276" s="2">
        <f t="shared" si="46"/>
        <v>800</v>
      </c>
      <c r="B276" s="8"/>
      <c r="C276" s="8"/>
      <c r="D276" s="57"/>
      <c r="E276" s="2">
        <v>220</v>
      </c>
      <c r="F276" s="2">
        <v>500</v>
      </c>
      <c r="G276" s="11"/>
      <c r="H276" s="9"/>
      <c r="I276" s="58"/>
      <c r="J276" s="3"/>
      <c r="K276" s="21">
        <v>210</v>
      </c>
      <c r="L276" s="21">
        <v>500</v>
      </c>
      <c r="M276" s="59"/>
      <c r="N276" s="8">
        <f t="shared" si="42"/>
        <v>0</v>
      </c>
      <c r="O276" s="57">
        <f t="shared" si="42"/>
        <v>0</v>
      </c>
      <c r="P276" s="57">
        <f t="shared" si="42"/>
        <v>0</v>
      </c>
      <c r="Q276" s="2">
        <v>220</v>
      </c>
      <c r="R276" s="2">
        <v>500</v>
      </c>
      <c r="S276" s="60"/>
      <c r="T276" s="9">
        <f t="shared" si="43"/>
        <v>0</v>
      </c>
      <c r="U276" s="58">
        <f t="shared" si="44"/>
        <v>0</v>
      </c>
      <c r="V276" s="58">
        <f t="shared" si="44"/>
        <v>0</v>
      </c>
      <c r="W276" s="21">
        <v>210</v>
      </c>
      <c r="X276" s="21">
        <v>500</v>
      </c>
      <c r="Y276" s="61"/>
      <c r="AA276" s="49"/>
      <c r="AD276" s="50"/>
    </row>
    <row r="277" spans="1:30" x14ac:dyDescent="0.25">
      <c r="A277" s="2">
        <f t="shared" si="46"/>
        <v>1000</v>
      </c>
      <c r="B277" s="8"/>
      <c r="C277" s="8"/>
      <c r="D277" s="57"/>
      <c r="E277" s="2">
        <v>245</v>
      </c>
      <c r="F277" s="2">
        <v>500</v>
      </c>
      <c r="G277" s="11"/>
      <c r="H277" s="9"/>
      <c r="I277" s="58"/>
      <c r="J277" s="3"/>
      <c r="K277" s="21">
        <v>210</v>
      </c>
      <c r="L277" s="21">
        <v>500</v>
      </c>
      <c r="M277" s="59"/>
      <c r="N277" s="8">
        <f t="shared" si="42"/>
        <v>0</v>
      </c>
      <c r="O277" s="57">
        <f t="shared" si="42"/>
        <v>0</v>
      </c>
      <c r="P277" s="57">
        <f t="shared" si="42"/>
        <v>0</v>
      </c>
      <c r="Q277" s="2">
        <v>245</v>
      </c>
      <c r="R277" s="2">
        <v>500</v>
      </c>
      <c r="S277" s="60"/>
      <c r="T277" s="9">
        <f t="shared" si="43"/>
        <v>0</v>
      </c>
      <c r="U277" s="58">
        <f t="shared" si="44"/>
        <v>0</v>
      </c>
      <c r="V277" s="58">
        <f t="shared" si="44"/>
        <v>0</v>
      </c>
      <c r="W277" s="21">
        <v>210</v>
      </c>
      <c r="X277" s="21">
        <v>500</v>
      </c>
      <c r="Y277" s="61"/>
      <c r="AA277" s="49"/>
      <c r="AD277" s="50"/>
    </row>
    <row r="278" spans="1:30" x14ac:dyDescent="0.25">
      <c r="A278" s="2">
        <f t="shared" si="46"/>
        <v>1250</v>
      </c>
      <c r="B278" s="8"/>
      <c r="C278" s="8"/>
      <c r="D278" s="57"/>
      <c r="E278" s="2">
        <v>280</v>
      </c>
      <c r="F278" s="2">
        <v>500</v>
      </c>
      <c r="G278" s="11"/>
      <c r="H278" s="9"/>
      <c r="I278" s="58"/>
      <c r="J278" s="3"/>
      <c r="K278" s="21">
        <v>220</v>
      </c>
      <c r="L278" s="21">
        <v>500</v>
      </c>
      <c r="M278" s="59"/>
      <c r="N278" s="8">
        <f t="shared" si="42"/>
        <v>0</v>
      </c>
      <c r="O278" s="57">
        <f t="shared" si="42"/>
        <v>0</v>
      </c>
      <c r="P278" s="57">
        <f t="shared" si="42"/>
        <v>0</v>
      </c>
      <c r="Q278" s="2">
        <v>280</v>
      </c>
      <c r="R278" s="2">
        <v>500</v>
      </c>
      <c r="S278" s="60"/>
      <c r="T278" s="9">
        <f t="shared" si="43"/>
        <v>0</v>
      </c>
      <c r="U278" s="58">
        <f t="shared" si="44"/>
        <v>0</v>
      </c>
      <c r="V278" s="58">
        <f t="shared" si="44"/>
        <v>0</v>
      </c>
      <c r="W278" s="21">
        <v>220</v>
      </c>
      <c r="X278" s="21">
        <v>500</v>
      </c>
      <c r="Y278" s="61"/>
      <c r="AA278" s="49"/>
      <c r="AD278" s="50"/>
    </row>
    <row r="279" spans="1:30" x14ac:dyDescent="0.25">
      <c r="A279" s="2">
        <f t="shared" si="46"/>
        <v>1600</v>
      </c>
      <c r="B279" s="8"/>
      <c r="C279" s="8"/>
      <c r="D279" s="57"/>
      <c r="E279" s="2">
        <v>310</v>
      </c>
      <c r="F279" s="2">
        <v>500</v>
      </c>
      <c r="G279" s="11"/>
      <c r="H279" s="9"/>
      <c r="I279" s="58"/>
      <c r="J279" s="3"/>
      <c r="K279" s="21">
        <v>245</v>
      </c>
      <c r="L279" s="21">
        <v>500</v>
      </c>
      <c r="M279" s="59"/>
      <c r="N279" s="8">
        <f t="shared" si="42"/>
        <v>0</v>
      </c>
      <c r="O279" s="57">
        <f t="shared" si="42"/>
        <v>0</v>
      </c>
      <c r="P279" s="57">
        <f t="shared" si="42"/>
        <v>0</v>
      </c>
      <c r="Q279" s="2">
        <v>310</v>
      </c>
      <c r="R279" s="2">
        <v>500</v>
      </c>
      <c r="S279" s="60"/>
      <c r="T279" s="9">
        <f t="shared" si="43"/>
        <v>0</v>
      </c>
      <c r="U279" s="58">
        <f t="shared" si="44"/>
        <v>0</v>
      </c>
      <c r="V279" s="58">
        <f t="shared" si="44"/>
        <v>0</v>
      </c>
      <c r="W279" s="21">
        <v>245</v>
      </c>
      <c r="X279" s="21">
        <v>500</v>
      </c>
      <c r="Y279" s="61"/>
      <c r="AA279" s="49"/>
      <c r="AD279" s="50"/>
    </row>
    <row r="280" spans="1:30" x14ac:dyDescent="0.25">
      <c r="A280" s="2">
        <f t="shared" si="46"/>
        <v>2000</v>
      </c>
      <c r="B280" s="8"/>
      <c r="C280" s="8"/>
      <c r="D280" s="57"/>
      <c r="E280" s="2">
        <v>350</v>
      </c>
      <c r="F280" s="2">
        <v>500</v>
      </c>
      <c r="G280" s="11"/>
      <c r="H280" s="9"/>
      <c r="I280" s="58"/>
      <c r="J280" s="3"/>
      <c r="K280" s="21">
        <v>280</v>
      </c>
      <c r="L280" s="21">
        <v>500</v>
      </c>
      <c r="M280" s="59"/>
      <c r="N280" s="8">
        <f t="shared" si="42"/>
        <v>0</v>
      </c>
      <c r="O280" s="57">
        <f t="shared" si="42"/>
        <v>0</v>
      </c>
      <c r="P280" s="57">
        <f t="shared" si="42"/>
        <v>0</v>
      </c>
      <c r="Q280" s="2">
        <v>350</v>
      </c>
      <c r="R280" s="2">
        <v>500</v>
      </c>
      <c r="S280" s="60"/>
      <c r="T280" s="9">
        <f t="shared" si="43"/>
        <v>0</v>
      </c>
      <c r="U280" s="58">
        <f t="shared" si="44"/>
        <v>0</v>
      </c>
      <c r="V280" s="58">
        <f t="shared" si="44"/>
        <v>0</v>
      </c>
      <c r="W280" s="21">
        <v>280</v>
      </c>
      <c r="X280" s="21">
        <v>500</v>
      </c>
      <c r="Y280" s="61"/>
      <c r="AA280" s="49"/>
      <c r="AD280" s="50"/>
    </row>
    <row r="281" spans="1:30" x14ac:dyDescent="0.25">
      <c r="A281" s="2">
        <f t="shared" si="46"/>
        <v>2500</v>
      </c>
      <c r="B281" s="8"/>
      <c r="C281" s="8"/>
      <c r="D281" s="57"/>
      <c r="E281" s="2">
        <v>460</v>
      </c>
      <c r="F281" s="2">
        <v>500</v>
      </c>
      <c r="G281" s="11"/>
      <c r="H281" s="9"/>
      <c r="I281" s="58"/>
      <c r="J281" s="3"/>
      <c r="K281" s="21">
        <v>310</v>
      </c>
      <c r="L281" s="21">
        <v>500</v>
      </c>
      <c r="M281" s="59"/>
      <c r="N281" s="8">
        <f t="shared" si="42"/>
        <v>0</v>
      </c>
      <c r="O281" s="57">
        <f t="shared" si="42"/>
        <v>0</v>
      </c>
      <c r="P281" s="57">
        <f t="shared" si="42"/>
        <v>0</v>
      </c>
      <c r="Q281" s="2">
        <v>460</v>
      </c>
      <c r="R281" s="2">
        <v>500</v>
      </c>
      <c r="S281" s="60"/>
      <c r="T281" s="9">
        <f t="shared" si="43"/>
        <v>0</v>
      </c>
      <c r="U281" s="58">
        <f t="shared" si="44"/>
        <v>0</v>
      </c>
      <c r="V281" s="58">
        <f t="shared" si="44"/>
        <v>0</v>
      </c>
      <c r="W281" s="21">
        <v>310</v>
      </c>
      <c r="X281" s="21">
        <v>500</v>
      </c>
      <c r="Y281" s="61"/>
      <c r="AA281" s="49"/>
      <c r="AD281" s="50"/>
    </row>
    <row r="282" spans="1:30" x14ac:dyDescent="0.25">
      <c r="A282" s="2">
        <f t="shared" si="46"/>
        <v>3200</v>
      </c>
      <c r="B282" s="8"/>
      <c r="C282" s="8"/>
      <c r="D282" s="57"/>
      <c r="E282" s="2">
        <v>520</v>
      </c>
      <c r="F282" s="2">
        <v>500</v>
      </c>
      <c r="G282" s="11"/>
      <c r="H282" s="9"/>
      <c r="I282" s="58"/>
      <c r="J282" s="3"/>
      <c r="K282" s="21">
        <v>400</v>
      </c>
      <c r="L282" s="21">
        <v>500</v>
      </c>
      <c r="M282" s="59"/>
      <c r="N282" s="8">
        <f t="shared" si="42"/>
        <v>0</v>
      </c>
      <c r="O282" s="57">
        <f t="shared" si="42"/>
        <v>0</v>
      </c>
      <c r="P282" s="57">
        <f t="shared" si="42"/>
        <v>0</v>
      </c>
      <c r="Q282" s="2">
        <v>520</v>
      </c>
      <c r="R282" s="2">
        <v>500</v>
      </c>
      <c r="S282" s="60"/>
      <c r="T282" s="9">
        <f t="shared" si="43"/>
        <v>0</v>
      </c>
      <c r="U282" s="58">
        <f t="shared" si="44"/>
        <v>0</v>
      </c>
      <c r="V282" s="58">
        <f t="shared" si="44"/>
        <v>0</v>
      </c>
      <c r="W282" s="21">
        <v>400</v>
      </c>
      <c r="X282" s="21">
        <v>500</v>
      </c>
      <c r="Y282" s="61"/>
      <c r="AA282" s="49"/>
      <c r="AD282" s="50"/>
    </row>
    <row r="283" spans="1:30" x14ac:dyDescent="0.25">
      <c r="A283" s="2">
        <f t="shared" si="46"/>
        <v>4000</v>
      </c>
      <c r="B283" s="8"/>
      <c r="C283" s="8"/>
      <c r="D283" s="57"/>
      <c r="E283" s="2">
        <v>600</v>
      </c>
      <c r="F283" s="2">
        <v>500</v>
      </c>
      <c r="G283" s="11"/>
      <c r="H283" s="9"/>
      <c r="I283" s="58"/>
      <c r="J283" s="3"/>
      <c r="K283" s="21">
        <v>520</v>
      </c>
      <c r="L283" s="21">
        <v>500</v>
      </c>
      <c r="M283" s="59"/>
      <c r="N283" s="8">
        <f t="shared" si="42"/>
        <v>0</v>
      </c>
      <c r="O283" s="57">
        <f t="shared" si="42"/>
        <v>0</v>
      </c>
      <c r="P283" s="57">
        <f t="shared" si="42"/>
        <v>0</v>
      </c>
      <c r="Q283" s="2">
        <v>600</v>
      </c>
      <c r="R283" s="2">
        <v>500</v>
      </c>
      <c r="S283" s="60"/>
      <c r="T283" s="9">
        <f t="shared" si="43"/>
        <v>0</v>
      </c>
      <c r="U283" s="58">
        <f t="shared" si="44"/>
        <v>0</v>
      </c>
      <c r="V283" s="58">
        <f t="shared" si="44"/>
        <v>0</v>
      </c>
      <c r="W283" s="21">
        <v>520</v>
      </c>
      <c r="X283" s="21">
        <v>500</v>
      </c>
      <c r="Y283" s="61"/>
      <c r="AA283" s="49"/>
      <c r="AD283" s="50"/>
    </row>
    <row r="284" spans="1:30" x14ac:dyDescent="0.25">
      <c r="A284" s="2">
        <f t="shared" si="46"/>
        <v>5000</v>
      </c>
      <c r="B284" s="8"/>
      <c r="C284" s="8"/>
      <c r="D284" s="57"/>
      <c r="E284" s="2">
        <v>820</v>
      </c>
      <c r="F284" s="2">
        <v>500</v>
      </c>
      <c r="G284" s="11"/>
      <c r="H284" s="9"/>
      <c r="I284" s="58"/>
      <c r="J284" s="3"/>
      <c r="K284" s="21">
        <v>730</v>
      </c>
      <c r="L284" s="21">
        <v>500</v>
      </c>
      <c r="M284" s="59"/>
      <c r="N284" s="8">
        <f t="shared" si="42"/>
        <v>0</v>
      </c>
      <c r="O284" s="57">
        <f t="shared" si="42"/>
        <v>0</v>
      </c>
      <c r="P284" s="57">
        <f t="shared" si="42"/>
        <v>0</v>
      </c>
      <c r="Q284" s="2">
        <v>820</v>
      </c>
      <c r="R284" s="2">
        <v>500</v>
      </c>
      <c r="S284" s="60"/>
      <c r="T284" s="9">
        <f t="shared" si="43"/>
        <v>0</v>
      </c>
      <c r="U284" s="58">
        <f t="shared" si="44"/>
        <v>0</v>
      </c>
      <c r="V284" s="58">
        <f t="shared" si="44"/>
        <v>0</v>
      </c>
      <c r="W284" s="21">
        <v>730</v>
      </c>
      <c r="X284" s="21">
        <v>500</v>
      </c>
      <c r="Y284" s="61"/>
      <c r="AA284" s="49"/>
      <c r="AD284" s="50"/>
    </row>
    <row r="285" spans="1:30" x14ac:dyDescent="0.25">
      <c r="A285" s="2">
        <f t="shared" si="46"/>
        <v>6300</v>
      </c>
      <c r="B285" s="8"/>
      <c r="C285" s="8"/>
      <c r="D285" s="57"/>
      <c r="E285" s="2">
        <v>940</v>
      </c>
      <c r="F285" s="2">
        <v>500</v>
      </c>
      <c r="G285" s="11"/>
      <c r="H285" s="9"/>
      <c r="I285" s="58"/>
      <c r="J285" s="3"/>
      <c r="K285" s="21">
        <v>820</v>
      </c>
      <c r="L285" s="21">
        <v>500</v>
      </c>
      <c r="M285" s="59"/>
      <c r="N285" s="8">
        <f t="shared" si="42"/>
        <v>0</v>
      </c>
      <c r="O285" s="57">
        <f t="shared" si="42"/>
        <v>0</v>
      </c>
      <c r="P285" s="57">
        <f t="shared" si="42"/>
        <v>0</v>
      </c>
      <c r="Q285" s="2">
        <v>940</v>
      </c>
      <c r="R285" s="2">
        <v>500</v>
      </c>
      <c r="S285" s="60"/>
      <c r="T285" s="9">
        <f t="shared" si="43"/>
        <v>0</v>
      </c>
      <c r="U285" s="58">
        <f t="shared" si="44"/>
        <v>0</v>
      </c>
      <c r="V285" s="58">
        <f t="shared" si="44"/>
        <v>0</v>
      </c>
      <c r="W285" s="21">
        <v>820</v>
      </c>
      <c r="X285" s="21">
        <v>500</v>
      </c>
      <c r="Y285" s="61"/>
      <c r="AA285" s="49"/>
      <c r="AD285" s="50"/>
    </row>
    <row r="286" spans="1:30" x14ac:dyDescent="0.25">
      <c r="AA286" s="53"/>
      <c r="AB286" s="54"/>
      <c r="AC286" s="54"/>
      <c r="AD286" s="55"/>
    </row>
  </sheetData>
  <mergeCells count="178">
    <mergeCell ref="D267:F267"/>
    <mergeCell ref="G267:J267"/>
    <mergeCell ref="A269:A271"/>
    <mergeCell ref="B269:M269"/>
    <mergeCell ref="N269:Y269"/>
    <mergeCell ref="B270:G270"/>
    <mergeCell ref="H270:M270"/>
    <mergeCell ref="N270:S270"/>
    <mergeCell ref="T270:Y270"/>
    <mergeCell ref="D263:J263"/>
    <mergeCell ref="D264:J264"/>
    <mergeCell ref="D265:F265"/>
    <mergeCell ref="G265:J265"/>
    <mergeCell ref="D266:F266"/>
    <mergeCell ref="G266:J266"/>
    <mergeCell ref="D243:F243"/>
    <mergeCell ref="G243:J243"/>
    <mergeCell ref="A245:A247"/>
    <mergeCell ref="B245:M245"/>
    <mergeCell ref="N245:Y245"/>
    <mergeCell ref="B246:G246"/>
    <mergeCell ref="H246:M246"/>
    <mergeCell ref="N246:S246"/>
    <mergeCell ref="T246:Y246"/>
    <mergeCell ref="D239:J239"/>
    <mergeCell ref="D240:J240"/>
    <mergeCell ref="D241:F241"/>
    <mergeCell ref="G241:J241"/>
    <mergeCell ref="D242:F242"/>
    <mergeCell ref="G242:J242"/>
    <mergeCell ref="A221:A223"/>
    <mergeCell ref="B221:K221"/>
    <mergeCell ref="L221:U221"/>
    <mergeCell ref="B222:F222"/>
    <mergeCell ref="G222:K222"/>
    <mergeCell ref="L222:P222"/>
    <mergeCell ref="Q222:U222"/>
    <mergeCell ref="D216:J216"/>
    <mergeCell ref="D217:J217"/>
    <mergeCell ref="D218:F218"/>
    <mergeCell ref="G218:J218"/>
    <mergeCell ref="D219:F219"/>
    <mergeCell ref="G219:J219"/>
    <mergeCell ref="D196:F196"/>
    <mergeCell ref="G196:J196"/>
    <mergeCell ref="A198:A200"/>
    <mergeCell ref="B198:I198"/>
    <mergeCell ref="J198:Q198"/>
    <mergeCell ref="B199:E199"/>
    <mergeCell ref="F199:I199"/>
    <mergeCell ref="J199:M199"/>
    <mergeCell ref="N199:Q199"/>
    <mergeCell ref="D192:J192"/>
    <mergeCell ref="D193:J193"/>
    <mergeCell ref="D194:F194"/>
    <mergeCell ref="G194:J194"/>
    <mergeCell ref="D195:F195"/>
    <mergeCell ref="G195:J195"/>
    <mergeCell ref="D172:F172"/>
    <mergeCell ref="G172:J172"/>
    <mergeCell ref="A174:A176"/>
    <mergeCell ref="B174:I174"/>
    <mergeCell ref="J174:Q174"/>
    <mergeCell ref="B175:E175"/>
    <mergeCell ref="G175:H175"/>
    <mergeCell ref="J175:M175"/>
    <mergeCell ref="N175:O175"/>
    <mergeCell ref="D168:J168"/>
    <mergeCell ref="D169:J169"/>
    <mergeCell ref="D170:F170"/>
    <mergeCell ref="G170:J170"/>
    <mergeCell ref="D171:F171"/>
    <mergeCell ref="G171:J171"/>
    <mergeCell ref="D148:F148"/>
    <mergeCell ref="G148:J148"/>
    <mergeCell ref="A150:A152"/>
    <mergeCell ref="B150:I150"/>
    <mergeCell ref="J150:Q150"/>
    <mergeCell ref="B151:E151"/>
    <mergeCell ref="F151:I151"/>
    <mergeCell ref="J151:M151"/>
    <mergeCell ref="N151:Q151"/>
    <mergeCell ref="D144:J144"/>
    <mergeCell ref="D145:J145"/>
    <mergeCell ref="D146:F146"/>
    <mergeCell ref="G146:J146"/>
    <mergeCell ref="D147:F147"/>
    <mergeCell ref="G147:J147"/>
    <mergeCell ref="D124:F124"/>
    <mergeCell ref="G124:J124"/>
    <mergeCell ref="A126:A128"/>
    <mergeCell ref="B126:I126"/>
    <mergeCell ref="J126:Q126"/>
    <mergeCell ref="B127:E127"/>
    <mergeCell ref="F127:I127"/>
    <mergeCell ref="J127:M127"/>
    <mergeCell ref="N127:Q127"/>
    <mergeCell ref="D120:J120"/>
    <mergeCell ref="D121:J121"/>
    <mergeCell ref="D122:F122"/>
    <mergeCell ref="G122:J122"/>
    <mergeCell ref="D123:F123"/>
    <mergeCell ref="G123:J123"/>
    <mergeCell ref="D100:F100"/>
    <mergeCell ref="G100:J100"/>
    <mergeCell ref="A102:A104"/>
    <mergeCell ref="B102:I102"/>
    <mergeCell ref="J102:Q102"/>
    <mergeCell ref="B103:E103"/>
    <mergeCell ref="F103:I103"/>
    <mergeCell ref="J103:M103"/>
    <mergeCell ref="N103:Q103"/>
    <mergeCell ref="D96:J96"/>
    <mergeCell ref="D97:J97"/>
    <mergeCell ref="D98:F98"/>
    <mergeCell ref="G98:J98"/>
    <mergeCell ref="D99:F99"/>
    <mergeCell ref="G99:J99"/>
    <mergeCell ref="D76:F76"/>
    <mergeCell ref="G76:J76"/>
    <mergeCell ref="A78:A80"/>
    <mergeCell ref="B78:G78"/>
    <mergeCell ref="H78:K78"/>
    <mergeCell ref="B79:D79"/>
    <mergeCell ref="E79:G79"/>
    <mergeCell ref="H79:J79"/>
    <mergeCell ref="K79:M79"/>
    <mergeCell ref="D73:J73"/>
    <mergeCell ref="D74:J74"/>
    <mergeCell ref="D75:F75"/>
    <mergeCell ref="G75:J75"/>
    <mergeCell ref="D51:J51"/>
    <mergeCell ref="D52:F52"/>
    <mergeCell ref="G52:J52"/>
    <mergeCell ref="D53:F53"/>
    <mergeCell ref="G53:J53"/>
    <mergeCell ref="N9:S9"/>
    <mergeCell ref="T9:Y9"/>
    <mergeCell ref="D10:F10"/>
    <mergeCell ref="J10:L10"/>
    <mergeCell ref="P10:R10"/>
    <mergeCell ref="A55:A57"/>
    <mergeCell ref="B55:G55"/>
    <mergeCell ref="H55:M55"/>
    <mergeCell ref="B56:D56"/>
    <mergeCell ref="E56:G56"/>
    <mergeCell ref="A46:A49"/>
    <mergeCell ref="B46:H46"/>
    <mergeCell ref="B47:H47"/>
    <mergeCell ref="B48:H48"/>
    <mergeCell ref="B49:H49"/>
    <mergeCell ref="D50:J50"/>
    <mergeCell ref="H56:J56"/>
    <mergeCell ref="K56:M56"/>
    <mergeCell ref="A1:Y1"/>
    <mergeCell ref="D3:J3"/>
    <mergeCell ref="D4:J4"/>
    <mergeCell ref="D5:J5"/>
    <mergeCell ref="D6:F6"/>
    <mergeCell ref="G6:J6"/>
    <mergeCell ref="A31:A33"/>
    <mergeCell ref="B31:G31"/>
    <mergeCell ref="H31:M31"/>
    <mergeCell ref="B32:D32"/>
    <mergeCell ref="E32:G32"/>
    <mergeCell ref="H32:J32"/>
    <mergeCell ref="K32:M32"/>
    <mergeCell ref="V10:X10"/>
    <mergeCell ref="A26:A29"/>
    <mergeCell ref="B26:N26"/>
    <mergeCell ref="B27:N27"/>
    <mergeCell ref="B28:N28"/>
    <mergeCell ref="B29:N29"/>
    <mergeCell ref="A8:A10"/>
    <mergeCell ref="B8:M8"/>
    <mergeCell ref="N8:Y8"/>
    <mergeCell ref="B9:G9"/>
    <mergeCell ref="H9:M9"/>
  </mergeCells>
  <pageMargins left="0.7" right="0.7" top="0.75" bottom="0.75" header="0.3" footer="0.3"/>
  <pageSetup paperSize="9" orientation="portrait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Стандартные размеры KLM-S</vt:lpstr>
      <vt:lpstr>Можно удалить 68</vt:lpstr>
      <vt:lpstr>Минимальные габариты IP55 и 68</vt:lpstr>
      <vt:lpstr>История изменений</vt:lpstr>
      <vt:lpstr>Максимальные размеры  IP55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plakushaya</dc:creator>
  <cp:lastModifiedBy>Bannikov</cp:lastModifiedBy>
  <cp:revision>1</cp:revision>
  <dcterms:created xsi:type="dcterms:W3CDTF">2018-01-19T06:41:26Z</dcterms:created>
  <dcterms:modified xsi:type="dcterms:W3CDTF">2026-08-05T07:19:47Z</dcterms:modified>
</cp:coreProperties>
</file>