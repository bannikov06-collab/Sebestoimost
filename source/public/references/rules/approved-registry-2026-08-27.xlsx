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-KLM\Desktop\Рабочая\Искуственный Интеллект\Мои программы\1C\"/>
    </mc:Choice>
  </mc:AlternateContent>
  <bookViews>
    <workbookView xWindow="0" yWindow="0" windowWidth="28770" windowHeight="9210" activeTab="1"/>
  </bookViews>
  <sheets>
    <sheet name="Сводка" sheetId="1" r:id="rId1"/>
    <sheet name="Требуются коды 1С" sheetId="2" r:id="rId2"/>
    <sheet name="Не определено как считать" sheetId="3" r:id="rId3"/>
    <sheet name="Источники и ограничения" sheetId="4" r:id="rId4"/>
  </sheets>
  <calcPr calcId="162913" refMode="R1C1"/>
</workbook>
</file>

<file path=xl/calcChain.xml><?xml version="1.0" encoding="utf-8"?>
<calcChain xmlns="http://schemas.openxmlformats.org/spreadsheetml/2006/main">
  <c r="B7" i="1" l="1"/>
  <c r="B6" i="1"/>
  <c r="B8" i="1" s="1"/>
  <c r="B5" i="1"/>
  <c r="B4" i="1"/>
</calcChain>
</file>

<file path=xl/sharedStrings.xml><?xml version="1.0" encoding="utf-8"?>
<sst xmlns="http://schemas.openxmlformats.org/spreadsheetml/2006/main" count="2146" uniqueCount="678">
  <si>
    <t>Реестр кодов 1С и неопределённых правил расчётной программы KLM</t>
  </si>
  <si>
    <t>Показатель</t>
  </si>
  <si>
    <t>Значение</t>
  </si>
  <si>
    <t>Построчных позиций для проверки кода 1С / решения</t>
  </si>
  <si>
    <t>Из них критических</t>
  </si>
  <si>
    <t>Неопределённых и утверждённых правил</t>
  </si>
  <si>
    <t>Из них уже утверждено</t>
  </si>
  <si>
    <t>Остаётся определить</t>
  </si>
  <si>
    <t>Контрольный набор</t>
  </si>
  <si>
    <t>3 заказа на производство + 2 предварительные спецификации</t>
  </si>
  <si>
    <t>Критерий точности</t>
  </si>
  <si>
    <t>Коды и количества — точно; стоимость — отклонение ≤1%</t>
  </si>
  <si>
    <t>Дата формирования</t>
  </si>
  <si>
    <t>Как пользоваться</t>
  </si>
  <si>
    <t>1</t>
  </si>
  <si>
    <t>Фильтровать лист «Требуются коды 1С» по контуру, приоритету и статусу.</t>
  </si>
  <si>
    <t>2</t>
  </si>
  <si>
    <t>Внести код 1С либо утверждённое решение. Для позиций без обозначения сначала уточнить точную номенклатуру.</t>
  </si>
  <si>
    <t>3</t>
  </si>
  <si>
    <t>Указать источник подтверждения: выгрузка 1С, КД, спецификация, технологический маршрут или решение ответственного.</t>
  </si>
  <si>
    <t>4</t>
  </si>
  <si>
    <t>Переводить строку в «Закрыто» только после ручной проверки. Неизвестная цена не равна нулю.</t>
  </si>
  <si>
    <t>Важно</t>
  </si>
  <si>
    <t>Запись в реестре означает, что код не подтверждён по доступным данным. Это не доказывает отсутствие позиции в самой 1С.</t>
  </si>
  <si>
    <t>Ограничение</t>
  </si>
  <si>
    <t>Файл KLM.xlsx в доступной локальной копии повреждён/неполон, поэтому полная автоматическая сверка с номенклатурой 1С не выполнена.</t>
  </si>
  <si>
    <t>Требуются коды 1С</t>
  </si>
  <si>
    <t>№</t>
  </si>
  <si>
    <t>Контур</t>
  </si>
  <si>
    <t>Узел / номинал</t>
  </si>
  <si>
    <t>Обозначение / артикул</t>
  </si>
  <si>
    <t>Наименование</t>
  </si>
  <si>
    <t>Материал / стандарт</t>
  </si>
  <si>
    <t>Ед.</t>
  </si>
  <si>
    <t>Что требуется</t>
  </si>
  <si>
    <t>Приоритет</t>
  </si>
  <si>
    <t>Статус</t>
  </si>
  <si>
    <t>Код 1С / решение</t>
  </si>
  <si>
    <t>Источник / комментарий</t>
  </si>
  <si>
    <t>Уверенность</t>
  </si>
  <si>
    <t>Секции</t>
  </si>
  <si>
    <t>Шины</t>
  </si>
  <si>
    <t>—</t>
  </si>
  <si>
    <t>Шина АД0 6×40×3000</t>
  </si>
  <si>
    <t>АД0</t>
  </si>
  <si>
    <t>кг/м/шт.</t>
  </si>
  <si>
    <t>Код 1С отсутствует по ранее зафиксированной информации; утвердить единицу списания</t>
  </si>
  <si>
    <t>Критический</t>
  </si>
  <si>
    <t>Не начато</t>
  </si>
  <si>
    <t>Расчётное ядро; ранее сформированный перечень вопросов</t>
  </si>
  <si>
    <t>Высокая</t>
  </si>
  <si>
    <t>Базовая ресурсная спецификация</t>
  </si>
  <si>
    <t>Порошок ТР-63-25 (ПОС)</t>
  </si>
  <si>
    <t>кг</t>
  </si>
  <si>
    <t>Код 1С не подтверждён в доступных данных</t>
  </si>
  <si>
    <t>Высокий</t>
  </si>
  <si>
    <t>Ресурсная_СП_20.FE.4Р; расчётное ядро</t>
  </si>
  <si>
    <t>Средняя</t>
  </si>
  <si>
    <t>Плёнка ПЭТ-Э 250 мкм</t>
  </si>
  <si>
    <t>Скотч электроизоляционный</t>
  </si>
  <si>
    <t>м</t>
  </si>
  <si>
    <t>Профиль АП 4178</t>
  </si>
  <si>
    <t>Алюминиевый профиль</t>
  </si>
  <si>
    <t>Профиль АП 4977</t>
  </si>
  <si>
    <t>Лист АМг3 для уха PE</t>
  </si>
  <si>
    <t>АМг3</t>
  </si>
  <si>
    <t>Вставка литая</t>
  </si>
  <si>
    <t>шт.</t>
  </si>
  <si>
    <t>Болт с фланцем М6×12</t>
  </si>
  <si>
    <t>Болт М6×16</t>
  </si>
  <si>
    <t>Гайка М6</t>
  </si>
  <si>
    <t>Заклёпка 4,8×10 ст/ст</t>
  </si>
  <si>
    <t>Плёнкосинтокартон 350 мкм</t>
  </si>
  <si>
    <t>Герметик серый</t>
  </si>
  <si>
    <t>баллон</t>
  </si>
  <si>
    <t>Этикетки, комплект</t>
  </si>
  <si>
    <t>компл.</t>
  </si>
  <si>
    <t>Плёнка стрейч</t>
  </si>
  <si>
    <t>Ухо PE</t>
  </si>
  <si>
    <t>260.045</t>
  </si>
  <si>
    <t>Лист АМг3</t>
  </si>
  <si>
    <t>шт./кг</t>
  </si>
  <si>
    <t>Определить: отдельный код изделия либо расчёт по материалу и операциям</t>
  </si>
  <si>
    <t>260.045.pdf; ранее сформированный перечень вопросов</t>
  </si>
  <si>
    <t>Стык G</t>
  </si>
  <si>
    <t>400 А</t>
  </si>
  <si>
    <t>583.001</t>
  </si>
  <si>
    <t>Шина стыка G 400 А IP55</t>
  </si>
  <si>
    <t>Шина АД0 3,5×70</t>
  </si>
  <si>
    <t>Подтвердить код 1С изготавливаемой детали</t>
  </si>
  <si>
    <t>Состав изделий G, лист 400А</t>
  </si>
  <si>
    <t>195.001</t>
  </si>
  <si>
    <t>Прижимной профиль стыка G 400 А IP55</t>
  </si>
  <si>
    <t>Заготовка АП 5786</t>
  </si>
  <si>
    <t>Подтвердить код изделия и код заготовки</t>
  </si>
  <si>
    <t>195.002</t>
  </si>
  <si>
    <t>Заготовка АП 5785</t>
  </si>
  <si>
    <t>781.005</t>
  </si>
  <si>
    <t>Изолятор стыка G 400 А</t>
  </si>
  <si>
    <t>Поликарбонат / не указан</t>
  </si>
  <si>
    <t>Подтвердить код 1С</t>
  </si>
  <si>
    <t>630 А</t>
  </si>
  <si>
    <t>583.001-01</t>
  </si>
  <si>
    <t>Шина стыка G 630 А IP55</t>
  </si>
  <si>
    <t>Состав изделий G, лист 630А</t>
  </si>
  <si>
    <t>195.001-01</t>
  </si>
  <si>
    <t>Прижимной профиль стыка G 630 А IP55</t>
  </si>
  <si>
    <t>195.002-01</t>
  </si>
  <si>
    <t>06A.G.01</t>
  </si>
  <si>
    <t>Изолятор стыка G 630 А</t>
  </si>
  <si>
    <t>800 А</t>
  </si>
  <si>
    <t>583.001-02</t>
  </si>
  <si>
    <t>Шина стыка G 800 А IP55</t>
  </si>
  <si>
    <t>Состав изделий G, лист 800А</t>
  </si>
  <si>
    <t>195.001-02</t>
  </si>
  <si>
    <t>Прижимной профиль стыка G 800 А IP55</t>
  </si>
  <si>
    <t>195.002-02</t>
  </si>
  <si>
    <t>08A.G.01</t>
  </si>
  <si>
    <t>Изолятор стыка G 800 А</t>
  </si>
  <si>
    <t>1000 А</t>
  </si>
  <si>
    <t>583.001-03</t>
  </si>
  <si>
    <t>Шина стыка G 1000 А IP55</t>
  </si>
  <si>
    <t>Состав изделий G, лист 1000А</t>
  </si>
  <si>
    <t>195.001-03</t>
  </si>
  <si>
    <t>Прижимной профиль стыка G 1000 А IP55</t>
  </si>
  <si>
    <t>195.002-03</t>
  </si>
  <si>
    <t>10A.G.01</t>
  </si>
  <si>
    <t>Изолятор стыка G 1000 А</t>
  </si>
  <si>
    <t>1250 А</t>
  </si>
  <si>
    <t>583.001-04</t>
  </si>
  <si>
    <t>Шина стыка G 1250 А IP55</t>
  </si>
  <si>
    <t>Состав изделий G, лист 1250А</t>
  </si>
  <si>
    <t>195.001-04</t>
  </si>
  <si>
    <t>Прижимной профиль стыка G 1250 А IP55</t>
  </si>
  <si>
    <t>195.002-04</t>
  </si>
  <si>
    <t>12A.G.01</t>
  </si>
  <si>
    <t>Изолятор стыка G 1250 А</t>
  </si>
  <si>
    <t>1600 А</t>
  </si>
  <si>
    <t>583.001-05</t>
  </si>
  <si>
    <t>Шина стыка G 1600 А IP55</t>
  </si>
  <si>
    <t>Состав изделий G, лист 1600А</t>
  </si>
  <si>
    <t>195.001-05</t>
  </si>
  <si>
    <t>Прижимной профиль стыка G 1600 А IP55</t>
  </si>
  <si>
    <t>195.002-05</t>
  </si>
  <si>
    <t>16A.G.01</t>
  </si>
  <si>
    <t>Изолятор стыка G 1600 А</t>
  </si>
  <si>
    <t>2000 А</t>
  </si>
  <si>
    <t>583.001-06</t>
  </si>
  <si>
    <t>Шина стыка G 2000 А IP55</t>
  </si>
  <si>
    <t>Состав изделий G, лист 2000А</t>
  </si>
  <si>
    <t>195.001-06</t>
  </si>
  <si>
    <t>Прижимной профиль стыка G 2000 А IP55</t>
  </si>
  <si>
    <t>195.002-06</t>
  </si>
  <si>
    <t>1S.20A.G.01</t>
  </si>
  <si>
    <t>Изолятор стыка G 2000 А</t>
  </si>
  <si>
    <t>2500 А</t>
  </si>
  <si>
    <t>583.001-07</t>
  </si>
  <si>
    <t>Шина стыка G 2500 А IP55</t>
  </si>
  <si>
    <t>Состав изделий G, лист 2500А</t>
  </si>
  <si>
    <t>195.001-07</t>
  </si>
  <si>
    <t>Прижимной профиль стыка G 2500 А IP55</t>
  </si>
  <si>
    <t>195.002-07</t>
  </si>
  <si>
    <t>25A.G.01</t>
  </si>
  <si>
    <t>Изолятор стыка G 2500 А</t>
  </si>
  <si>
    <t>3200 А</t>
  </si>
  <si>
    <t>583.001-08</t>
  </si>
  <si>
    <t>Шина стыка G 3200 А IP55</t>
  </si>
  <si>
    <t>Состав изделий G, лист 3200А</t>
  </si>
  <si>
    <t>195.001-08</t>
  </si>
  <si>
    <t>Прижимной профиль стыка G 3200 А IP55</t>
  </si>
  <si>
    <t>195.002-08</t>
  </si>
  <si>
    <t>1S.32A.G.01</t>
  </si>
  <si>
    <t>Изолятор стыка G 3200 А</t>
  </si>
  <si>
    <t>4000 А</t>
  </si>
  <si>
    <t>583.001-09</t>
  </si>
  <si>
    <t>Шина стыка G 4000 А IP55</t>
  </si>
  <si>
    <t>Состав изделий G, лист 4000А</t>
  </si>
  <si>
    <t>195.001-09</t>
  </si>
  <si>
    <t>Прижимной профиль стыка G 4000 А IP55</t>
  </si>
  <si>
    <t>195.002-09</t>
  </si>
  <si>
    <t>V.40Al.G.01.05</t>
  </si>
  <si>
    <t>Изолятор стыка G 4000 А</t>
  </si>
  <si>
    <t>5000 А</t>
  </si>
  <si>
    <t>583.001-10</t>
  </si>
  <si>
    <t>Шина стыка G 5000 А IP55</t>
  </si>
  <si>
    <t>Состав изделий G, лист 5000А</t>
  </si>
  <si>
    <t>195.001-10</t>
  </si>
  <si>
    <t>Прижимной профиль стыка G 5000 А IP55</t>
  </si>
  <si>
    <t>195.002-10</t>
  </si>
  <si>
    <t>781.005-01</t>
  </si>
  <si>
    <t>Изолятор стыка G 5000 А</t>
  </si>
  <si>
    <t>6300 А</t>
  </si>
  <si>
    <t>583.001-11</t>
  </si>
  <si>
    <t>Шина стыка G 6300 А IP55</t>
  </si>
  <si>
    <t>Состав изделий G, лист 6300А</t>
  </si>
  <si>
    <t>195.001-11</t>
  </si>
  <si>
    <t>Прижимной профиль стыка G 6300 А IP55</t>
  </si>
  <si>
    <t>195.002-11</t>
  </si>
  <si>
    <t>781.005-02</t>
  </si>
  <si>
    <t>Изолятор стыка G 6300 А</t>
  </si>
  <si>
    <t>Общая позиция</t>
  </si>
  <si>
    <t>Пружина тарельчатая 60,0×13,0×5,0×1,5</t>
  </si>
  <si>
    <t>Код 1С не подтверждён; для позиции без обозначения требуется точная номенклатура</t>
  </si>
  <si>
    <t>Состав изделий G; ранее сформированный перечень вопросов</t>
  </si>
  <si>
    <t>03.312.012</t>
  </si>
  <si>
    <t>Крышка стыка</t>
  </si>
  <si>
    <t>Профиль АП 4975</t>
  </si>
  <si>
    <t>Гайка DIN 985-M12-8.8</t>
  </si>
  <si>
    <t>Gasketig</t>
  </si>
  <si>
    <t>Резина</t>
  </si>
  <si>
    <t>шт./компл.</t>
  </si>
  <si>
    <t>Болт DIN 6921-M6×12-8.8</t>
  </si>
  <si>
    <t>Болт DIN 933-M12×130-8.8</t>
  </si>
  <si>
    <t>01.312.012</t>
  </si>
  <si>
    <t>Деталь стыка</t>
  </si>
  <si>
    <t>03.212.001-03</t>
  </si>
  <si>
    <t>Втулка</t>
  </si>
  <si>
    <t>Трубка 044.000.008 pl</t>
  </si>
  <si>
    <t>Код известен, но позиция по команде пользователя исключена из обработки</t>
  </si>
  <si>
    <t>Справочно</t>
  </si>
  <si>
    <t>Ц0000076904</t>
  </si>
  <si>
    <t>Состав изделий G; информация пользователя</t>
  </si>
  <si>
    <t>Сырьё / заготовка</t>
  </si>
  <si>
    <t>кг/м</t>
  </si>
  <si>
    <t>Подтвердить код 1С сырья и единицу списания</t>
  </si>
  <si>
    <t>Состав изделий G.001.000–G.001.000-11</t>
  </si>
  <si>
    <t>Профиль АП 5786</t>
  </si>
  <si>
    <t>Профиль АП 5785</t>
  </si>
  <si>
    <t>Поликарбонат монолитный 3 мм</t>
  </si>
  <si>
    <t>Поликарбонат</t>
  </si>
  <si>
    <t>м²/кг</t>
  </si>
  <si>
    <t>Резина для Gasketig</t>
  </si>
  <si>
    <t>м/кг</t>
  </si>
  <si>
    <t>КОМ 250 А</t>
  </si>
  <si>
    <t>КОМ в сборе</t>
  </si>
  <si>
    <t>010.4.6.001.000</t>
  </si>
  <si>
    <t>Контактная группа</t>
  </si>
  <si>
    <t>По КД / не определён для части позиций</t>
  </si>
  <si>
    <t>Подтвердить соответствие обозначения КД коду 1С</t>
  </si>
  <si>
    <t>626.250.PB.012.000.000СБ и дочерние сборочные чертежи</t>
  </si>
  <si>
    <t>626.250.PB.012.001.000</t>
  </si>
  <si>
    <t>Корпус КОМ</t>
  </si>
  <si>
    <t>626.250.PB.012.000.001</t>
  </si>
  <si>
    <t>Шина</t>
  </si>
  <si>
    <t>626.250.PB.012.000.002</t>
  </si>
  <si>
    <t>626.250.PB.012.000.003</t>
  </si>
  <si>
    <t>626.250.PB.012.000.004</t>
  </si>
  <si>
    <t>Шина N</t>
  </si>
  <si>
    <t>626.250.PB.012.000.005</t>
  </si>
  <si>
    <t>Шина PE</t>
  </si>
  <si>
    <t>626.250.PB.012.000.006</t>
  </si>
  <si>
    <t>Расширитель</t>
  </si>
  <si>
    <t>626.250.PB.012.000.007</t>
  </si>
  <si>
    <t>11538.000.036 кондуктор</t>
  </si>
  <si>
    <t>Планка крепления</t>
  </si>
  <si>
    <t>Шинный изолятор SM 25</t>
  </si>
  <si>
    <t>Требуется точное наименование номенклатуры и код 1С</t>
  </si>
  <si>
    <t>MNX250L_M_H_3P</t>
  </si>
  <si>
    <t>Автоматический выключатель</t>
  </si>
  <si>
    <t>TFH_250</t>
  </si>
  <si>
    <t>Ручка</t>
  </si>
  <si>
    <t>Болт DIN 6921-M6×16-8.8</t>
  </si>
  <si>
    <t>Болт DIN 6921-M6×20-8.8</t>
  </si>
  <si>
    <t>Болт DIN 933-M10×35-8.8</t>
  </si>
  <si>
    <t>Болт DIN 933-M12×30-8.8</t>
  </si>
  <si>
    <t>Гайка DIN 934-M10-8.8</t>
  </si>
  <si>
    <t>Гайка DIN 985-M6-8.8</t>
  </si>
  <si>
    <t>Шайба DIN 125-6-Zn</t>
  </si>
  <si>
    <t>Шайба DIN 125-10-Zn</t>
  </si>
  <si>
    <t>Шайба DIN 127-10-Zn</t>
  </si>
  <si>
    <t>Гайка DIN 934-M12-8.8</t>
  </si>
  <si>
    <t>Шайба DIN 125-12-Zn</t>
  </si>
  <si>
    <t>Шайба DIN 127-12-Zn</t>
  </si>
  <si>
    <t>Наклейка «A» 20 мм</t>
  </si>
  <si>
    <t>Наклейка «B» 20 мм</t>
  </si>
  <si>
    <t>Наклейка «C» 20 мм</t>
  </si>
  <si>
    <t>Наклейка «Знак N» 20 мм</t>
  </si>
  <si>
    <t>Наклейка «Знак заземления» 20 мм</t>
  </si>
  <si>
    <t>Трубка ТУТ-20/10 зелёная 150 мм</t>
  </si>
  <si>
    <t>Трубка ТУТ-20/10 синяя 245 мм</t>
  </si>
  <si>
    <t>Трубка ТУТ-20/10 жёлто-зелёная 170 мм</t>
  </si>
  <si>
    <t>626.250.PB.012.001.001</t>
  </si>
  <si>
    <t>Корпус</t>
  </si>
  <si>
    <t>626.250.PB.012.001.002</t>
  </si>
  <si>
    <t>Стенка</t>
  </si>
  <si>
    <t>626.250.PB.012.001.003</t>
  </si>
  <si>
    <t>Крышка</t>
  </si>
  <si>
    <t>626.250.PB.012.003.000</t>
  </si>
  <si>
    <t>Дверь</t>
  </si>
  <si>
    <t>626.250.PB.012.004.000</t>
  </si>
  <si>
    <t>Опора для автомата</t>
  </si>
  <si>
    <t>626.250.PB.012.006.000</t>
  </si>
  <si>
    <t>Фальш-панель</t>
  </si>
  <si>
    <t>626.250.PB.012.007.000</t>
  </si>
  <si>
    <t>626.250.PB.004.005.000</t>
  </si>
  <si>
    <t>Заглушка</t>
  </si>
  <si>
    <t>272.005 (11538.000.020)</t>
  </si>
  <si>
    <t>Зацеп</t>
  </si>
  <si>
    <t>11525.000.202</t>
  </si>
  <si>
    <t>Провод заземления</t>
  </si>
  <si>
    <t>11556.000.018</t>
  </si>
  <si>
    <t>Фальш-панель автомата</t>
  </si>
  <si>
    <t>11556.000.030</t>
  </si>
  <si>
    <t>11556.000.030-01</t>
  </si>
  <si>
    <t>11556.000.035</t>
  </si>
  <si>
    <t>11538.000.010</t>
  </si>
  <si>
    <t>Уголок для фальш-панели</t>
  </si>
  <si>
    <t>11538.000.024</t>
  </si>
  <si>
    <t>Болт DIN 933-M8×30-8.8</t>
  </si>
  <si>
    <t>Винт DIN 7500 C-Z самонарезающий M5×10-8.8-Zn</t>
  </si>
  <si>
    <t>Гайка DIN 934-M6-8.8</t>
  </si>
  <si>
    <t>Гайка DIN 934-M8-8.8</t>
  </si>
  <si>
    <t>Гайка DIN 985-M5-8.8</t>
  </si>
  <si>
    <t>Гайка DIN 6923-M6-8.8</t>
  </si>
  <si>
    <t>Гайка клепальная М6 шестигранная</t>
  </si>
  <si>
    <t>Заклёпка отрывная 4,8×8 сталь</t>
  </si>
  <si>
    <t>Петля 4-250 Hingle Pr01 180</t>
  </si>
  <si>
    <t>Шайба DIN 125-8-Zn</t>
  </si>
  <si>
    <t>Шайба DIN 127-6-Zn</t>
  </si>
  <si>
    <t>Шпилька резьбовая стальная омеднённая М6×20</t>
  </si>
  <si>
    <t>626.250.PB.012.003.001</t>
  </si>
  <si>
    <t>Гаскетинг</t>
  </si>
  <si>
    <t>RZR-020</t>
  </si>
  <si>
    <t>Замок RZR-020</t>
  </si>
  <si>
    <t>Опора</t>
  </si>
  <si>
    <t>626.250.PB.012.004.001</t>
  </si>
  <si>
    <t>626.250.PB.012.006.001</t>
  </si>
  <si>
    <t>626.250.PB.012.007.001</t>
  </si>
  <si>
    <t>8739.001.402</t>
  </si>
  <si>
    <t>Захват</t>
  </si>
  <si>
    <t>Сырьё / технология</t>
  </si>
  <si>
    <t>Лист ОЦ БТ-ПН-НО-1,5 ГОСТ 19904-2015</t>
  </si>
  <si>
    <t>Лист оцинкованный 1,5 мм</t>
  </si>
  <si>
    <t>кг/лист</t>
  </si>
  <si>
    <t>Подтвердить код 1С и способ списания</t>
  </si>
  <si>
    <t>Детальные чертежи КОМ 250 А</t>
  </si>
  <si>
    <t>Лист ОЦ БТ-ПН-НО-0,7 ГОСТ 19904-2015</t>
  </si>
  <si>
    <t>Лист оцинкованный 0,7 мм</t>
  </si>
  <si>
    <t>Материал шин КОМ 250 А</t>
  </si>
  <si>
    <t>Не указан в доступном комплекте КД</t>
  </si>
  <si>
    <t>кг/шт.</t>
  </si>
  <si>
    <t>Порошковое покрытие корпуса КОМ</t>
  </si>
  <si>
    <t>Цвет RAL по заказу</t>
  </si>
  <si>
    <t>кг/м²</t>
  </si>
  <si>
    <t>Автоматы</t>
  </si>
  <si>
    <t>Все производители</t>
  </si>
  <si>
    <t>Артикулы производителей</t>
  </si>
  <si>
    <t>Автоматические выключатели из прайсов</t>
  </si>
  <si>
    <t>Нужна таблица соответствия «артикул производителя → код 1С»</t>
  </si>
  <si>
    <t>Прайсы CHINT, DEKraft, EKF, Hyundai, IEK, KEAZ, Systeme</t>
  </si>
  <si>
    <t>Cu и 5P</t>
  </si>
  <si>
    <t>Медные шины</t>
  </si>
  <si>
    <t>Медь</t>
  </si>
  <si>
    <t>Коды и единицы отсутствуют в расчётном контуре</t>
  </si>
  <si>
    <t>Средний</t>
  </si>
  <si>
    <t>Перечень элементов; правила Cu/5P не переданы</t>
  </si>
  <si>
    <t>Изоляция</t>
  </si>
  <si>
    <t>Изоляция Cu/5P</t>
  </si>
  <si>
    <t>Не определён</t>
  </si>
  <si>
    <t>м²/кг/м</t>
  </si>
  <si>
    <t>Коды и единицы отсутствуют</t>
  </si>
  <si>
    <t>Корпуса и комплектующие Cu/5P</t>
  </si>
  <si>
    <t>шт./м/кг</t>
  </si>
  <si>
    <t>Не определено как считать</t>
  </si>
  <si>
    <t>Раздел</t>
  </si>
  <si>
    <t>Объект / позиция</t>
  </si>
  <si>
    <t>Что определить</t>
  </si>
  <si>
    <t>Текущее состояние</t>
  </si>
  <si>
    <t>Безопасное действие</t>
  </si>
  <si>
    <t>Утверждённое правило</t>
  </si>
  <si>
    <t>КОМ</t>
  </si>
  <si>
    <t>Все номиналы Bolt-on/Plug-in</t>
  </si>
  <si>
    <t>Полный состав</t>
  </si>
  <si>
    <t>Точно обработан только КОМ 250 А Plug-in</t>
  </si>
  <si>
    <t>Передать КД и считать только подтверждённые исполнения</t>
  </si>
  <si>
    <t>Ранее сформированный перечень вопросов</t>
  </si>
  <si>
    <t>КОМ 500 А</t>
  </si>
  <si>
    <t>Состав и КД</t>
  </si>
  <si>
    <t>КД отсутствует</t>
  </si>
  <si>
    <t>Не рассчитывать автоматически до получения КД</t>
  </si>
  <si>
    <t>Порядок габаритов</t>
  </si>
  <si>
    <t>250×350×600 и 286×250×605 противоречат друг другу</t>
  </si>
  <si>
    <t>Подтвердить Ш×Г×В и источник</t>
  </si>
  <si>
    <t>КД и ранее использованная таблица</t>
  </si>
  <si>
    <t>Монтажные зазоры, привод, кабели и шины</t>
  </si>
  <si>
    <t>Не определены</t>
  </si>
  <si>
    <t>Ввести только по утверждённой КД/компоновке</t>
  </si>
  <si>
    <t>КД не содержит расчётного правила</t>
  </si>
  <si>
    <t>Изготавливаемые детали</t>
  </si>
  <si>
    <t>Метод себестоимости</t>
  </si>
  <si>
    <t>Не выбрано: код готовой детали либо сырьё + операции</t>
  </si>
  <si>
    <t>Утвердить единый метод; не смешивать оба способа</t>
  </si>
  <si>
    <t>КД 626.250.PB.012…</t>
  </si>
  <si>
    <t>Покупные позиции</t>
  </si>
  <si>
    <t>Цена и источник</t>
  </si>
  <si>
    <t>Часть цен взята из КД/прайса, соответствие 1С не подтверждено</t>
  </si>
  <si>
    <t>Использовать цену 1С после подтверждения кода; до этого помечать как неподтверждённую</t>
  </si>
  <si>
    <t>КД КОМ и прайсы</t>
  </si>
  <si>
    <t>Шины КОМ 250 А</t>
  </si>
  <si>
    <t>Материал и технологические операции</t>
  </si>
  <si>
    <t>Материал детальных шин не передан</t>
  </si>
  <si>
    <t>Получить чертежи/спецификацию; не выводить стоимость из массы без материала</t>
  </si>
  <si>
    <t>626.250.PB.012.000.001–007 отсутствуют</t>
  </si>
  <si>
    <t>Стыки</t>
  </si>
  <si>
    <t>160, 250, 315 и 500 А</t>
  </si>
  <si>
    <t>Состав</t>
  </si>
  <si>
    <t>Спецификации отсутствуют; доступен ряд 400–6300 А без 500 А</t>
  </si>
  <si>
    <t>Запретить масштабирование без подтверждения</t>
  </si>
  <si>
    <t>Состав изделий G</t>
  </si>
  <si>
    <t>Шины 6 и 7 мм</t>
  </si>
  <si>
    <t>Различие состава</t>
  </si>
  <si>
    <t>Принят единый состав</t>
  </si>
  <si>
    <t>Подтвердить КД/спецификацией</t>
  </si>
  <si>
    <t>Ожидает подтверждения</t>
  </si>
  <si>
    <t>Решение пользователя и состав G</t>
  </si>
  <si>
    <t>Профили 195.001 / 195.002</t>
  </si>
  <si>
    <t>Метод расчёта</t>
  </si>
  <si>
    <t>Не выбрано: готовая деталь либо длина/масса заготовки АП 5786/5785 + операции</t>
  </si>
  <si>
    <t>Утвердить маршрут и исключить двойной учёт</t>
  </si>
  <si>
    <t>Единица и норма</t>
  </si>
  <si>
    <t>В спецификации количество задано как 1 без единицы</t>
  </si>
  <si>
    <t>Утвердить комплект/метр/массу и норму на стык</t>
  </si>
  <si>
    <t>Пружина тарельчатая</t>
  </si>
  <si>
    <t>Точная номенклатура</t>
  </si>
  <si>
    <t>Обозначение отсутствует; количество зависит от номинала</t>
  </si>
  <si>
    <t>Утвердить артикул/стандарт и код 1С</t>
  </si>
  <si>
    <t>Терминальные, тройниковые и закрывающие элементы</t>
  </si>
  <si>
    <t>Количество комплектов</t>
  </si>
  <si>
    <t>По умолчанию принят 1 комплект</t>
  </si>
  <si>
    <t>Установить правило по числу присоединений</t>
  </si>
  <si>
    <t>Расчётный контур</t>
  </si>
  <si>
    <t>Фасонные элементы</t>
  </si>
  <si>
    <t>Остальные токи</t>
  </si>
  <si>
    <t>КД и спецификации</t>
  </si>
  <si>
    <t>Контрольные CD и CP только 1000 А; прочие масштабируются</t>
  </si>
  <si>
    <t>Получить КД; до этого маркировать результат как оценочный</t>
  </si>
  <si>
    <t>Справочник 499 типов</t>
  </si>
  <si>
    <t>Привязка к расчётным формулам</t>
  </si>
  <si>
    <t>Не подтверждено, что все коды распределены по корректным семействам</t>
  </si>
  <si>
    <t>Провести построчную классификацию и тест на контрольных проектах</t>
  </si>
  <si>
    <t>2026.08.12 Перечень элементов</t>
  </si>
  <si>
    <t>Длины</t>
  </si>
  <si>
    <t>Шины, ПЭТ и профили</t>
  </si>
  <si>
    <t>Вычеты и развитая длина</t>
  </si>
  <si>
    <t>Используются L1+L2+L3; 210 мм; для CD 166,05 и 60 мм</t>
  </si>
  <si>
    <t>Подтвердить по каждому семейству элементов</t>
  </si>
  <si>
    <t>Описание правил V1.1; расчётный контур</t>
  </si>
  <si>
    <t>Боковины фасонных элементов</t>
  </si>
  <si>
    <t>Масса листовых деталей</t>
  </si>
  <si>
    <t>Геометрически: 2 детали АМг3 2 мм; ширина = высота шины + 60 мм</t>
  </si>
  <si>
    <t>Подтвердить развёртки, вырезы и припуски</t>
  </si>
  <si>
    <t>Описание правил V1.1</t>
  </si>
  <si>
    <t>Масса и отход раскроя</t>
  </si>
  <si>
    <t>Прямоугольная заготовка без отверстий и нормы отхода</t>
  </si>
  <si>
    <t>Задать массу детали и технологическую норму отхода</t>
  </si>
  <si>
    <t>260.045.pdf</t>
  </si>
  <si>
    <t>Операции</t>
  </si>
  <si>
    <t>Резка, пробивка, зачистка, гибка и контроль не оценены</t>
  </si>
  <si>
    <t>Утвердить маршрут и нормы времени/стоимости</t>
  </si>
  <si>
    <t>Технологический маршрут отсутствует</t>
  </si>
  <si>
    <t>Все элементы</t>
  </si>
  <si>
    <t>Правила расчёта</t>
  </si>
  <si>
    <t>Позиции распознаются, но исключаются из стоимости</t>
  </si>
  <si>
    <t>Получить КД, составы, цены и алгоритм</t>
  </si>
  <si>
    <t>Цены</t>
  </si>
  <si>
    <t>НДС</t>
  </si>
  <si>
    <t>База цены</t>
  </si>
  <si>
    <t>По умолчанию 20%; не определено, цены с НДС или без</t>
  </si>
  <si>
    <t>Утвердить отдельно для фактического и коммерческого расчёта</t>
  </si>
  <si>
    <t>Тарифы</t>
  </si>
  <si>
    <t>ФОТ, электроэнергия, газ, сварка</t>
  </si>
  <si>
    <t>Ставки и даты действия</t>
  </si>
  <si>
    <t>Не подтверждены; сварочная надбавка 12% требует проверки</t>
  </si>
  <si>
    <t>Передать утверждённые ставки</t>
  </si>
  <si>
    <t>Материалы</t>
  </si>
  <si>
    <t>Основные и расходные материалы</t>
  </si>
  <si>
    <t>Актуальные цены</t>
  </si>
  <si>
    <t>Текущий файл цен содержит исторические периоды; рабочая дата цены не утверждена</t>
  </si>
  <si>
    <t>Передать выгрузку 1С/утверждённый прайс с датой</t>
  </si>
  <si>
    <t>АКТУАЛЬНЫЕ цены на материалы.xlsx</t>
  </si>
  <si>
    <t>Валюта</t>
  </si>
  <si>
    <t>CNY→RUB</t>
  </si>
  <si>
    <t>Полная формула</t>
  </si>
  <si>
    <t>Не определены доставка, таможня, комиссия, НДС, курсовой запас</t>
  </si>
  <si>
    <t>Утвердить формулу и источники</t>
  </si>
  <si>
    <t>Единицы</t>
  </si>
  <si>
    <t>Все позиции</t>
  </si>
  <si>
    <t>Единицы хранения и списания</t>
  </si>
  <si>
    <t>Не везде определены</t>
  </si>
  <si>
    <t>Утвердить кг/м/шт./рулон/баллон/комплект по каждой позиции</t>
  </si>
  <si>
    <t>КД и ресурсные спецификации</t>
  </si>
  <si>
    <t>Несовпадающие единицы</t>
  </si>
  <si>
    <t>Коэффициенты пересчёта</t>
  </si>
  <si>
    <t>Автоматический пересчёт отключён</t>
  </si>
  <si>
    <t>Сохранять ручное подтверждение до явной таблицы коэффициентов</t>
  </si>
  <si>
    <t>Принято</t>
  </si>
  <si>
    <t>Решение пользователя</t>
  </si>
  <si>
    <t>Склад</t>
  </si>
  <si>
    <t>Несколько проектов</t>
  </si>
  <si>
    <t>Распределение остатков</t>
  </si>
  <si>
    <t>Выбран ручной приоритет</t>
  </si>
  <si>
    <t>Заказы резервируют по ручному приоритету; предварительные спецификации не резервируют</t>
  </si>
  <si>
    <t>Поставки</t>
  </si>
  <si>
    <t>В пути / готово у поставщика</t>
  </si>
  <si>
    <t>Подтверждение</t>
  </si>
  <si>
    <t>Учитываются только после ручной галочки</t>
  </si>
  <si>
    <t>Сохранить правило; задать обязательные реквизиты поставки</t>
  </si>
  <si>
    <t>Частичные оплаты, поступления, отмены</t>
  </si>
  <si>
    <t>Статусы и доступное количество</t>
  </si>
  <si>
    <t>Правило не установлено</t>
  </si>
  <si>
    <t>Утвердить статусы и формулы доступного/ожидаемого количества</t>
  </si>
  <si>
    <t>Материал со склада</t>
  </si>
  <si>
    <t>Метод оценки</t>
  </si>
  <si>
    <t>Не выбрана текущая, последняя закупочная или средняя цена 1С</t>
  </si>
  <si>
    <t>Выбрать метод; склад не меняет полную себестоимость</t>
  </si>
  <si>
    <t>Безопасная схема расчёта</t>
  </si>
  <si>
    <t>Контроль</t>
  </si>
  <si>
    <t>5 тестовых документов</t>
  </si>
  <si>
    <t>Допустимое отклонение</t>
  </si>
  <si>
    <t>Коды и количества точно; стоимость ≤1%</t>
  </si>
  <si>
    <t>Использовать как критерий приёмки</t>
  </si>
  <si>
    <t>Состав материалов</t>
  </si>
  <si>
    <t>Кто подтверждает</t>
  </si>
  <si>
    <t>Проверяет пользователь</t>
  </si>
  <si>
    <t>Оставить ручной результат сверки/комментарий</t>
  </si>
  <si>
    <t>Интеграция</t>
  </si>
  <si>
    <t>1С</t>
  </si>
  <si>
    <t>Способ обмена</t>
  </si>
  <si>
    <t>Excel или прямая интеграция не выбраны</t>
  </si>
  <si>
    <t>На пилоте использовать Excel; API согласовать отдельно</t>
  </si>
  <si>
    <t>Источники и ограничения</t>
  </si>
  <si>
    <t>Файл / источник</t>
  </si>
  <si>
    <t>Охват</t>
  </si>
  <si>
    <t>Использование</t>
  </si>
  <si>
    <t>Ресурсная_СП_20.FE.4Р (1).xlsx</t>
  </si>
  <si>
    <t>Базовая ресурсная спецификация секции 2000 А 4P</t>
  </si>
  <si>
    <t>Использовано</t>
  </si>
  <si>
    <t>Содержит состав и формулы, но не коды 1С</t>
  </si>
  <si>
    <t>Состав изделий G.001.000-G.001.000-11.xlsx</t>
  </si>
  <si>
    <t>Стыки 400–6300 А</t>
  </si>
  <si>
    <t>Нет листов 160, 250, 315 и 500 А; часть позиций без обозначений</t>
  </si>
  <si>
    <t>626.250.PB.012.000.000СБ и дочерние PDF</t>
  </si>
  <si>
    <t>КОМ 250 А Plug-in</t>
  </si>
  <si>
    <t>Для шин 626.250.PB.012.000.001–007 детальные чертежи/материал не переданы</t>
  </si>
  <si>
    <t>2026.08.13_Описание правил расчета секций V1.1.xlsx</t>
  </si>
  <si>
    <t>Правила длин, фасонных деталей, сварки</t>
  </si>
  <si>
    <t>Требует подтверждения КД и технологическими нормами</t>
  </si>
  <si>
    <t>2026.08.12 Перечень элементов для себестоимости .xlsx</t>
  </si>
  <si>
    <t>516 типов / 2639 артикулов</t>
  </si>
  <si>
    <t>Использовано как контроль охвата</t>
  </si>
  <si>
    <t>Построчная привязка всех артикулов к формулам ещё не подтверждена</t>
  </si>
  <si>
    <t>АКТУАЛЬНЫЕ цены на материалы .xlsx</t>
  </si>
  <si>
    <t>История цен и реестр профилей</t>
  </si>
  <si>
    <t>Использовано как справочник</t>
  </si>
  <si>
    <t>Рабочая дата цены и правило выбора последней цены не утверждены</t>
  </si>
  <si>
    <t>KLM.xlsx</t>
  </si>
  <si>
    <t>Предполагаемая выгрузка 1С</t>
  </si>
  <si>
    <t>Не использовано</t>
  </si>
  <si>
    <t>Доступная локальная копия повреждена/неполна; сверить реальные коды 1С невозможно</t>
  </si>
  <si>
    <t>Прайсы производителей автоматов</t>
  </si>
  <si>
    <t>Артикулы и цены автоматов</t>
  </si>
  <si>
    <t>Частично использовано</t>
  </si>
  <si>
    <t>Нет подтверждённой таблицы «артикул производителя → код 1С»</t>
  </si>
  <si>
    <t>3 заказа + 2 предварительные спецификации</t>
  </si>
  <si>
    <t>Фактическую правильность состава сверяет пользователь</t>
  </si>
  <si>
    <t>УТ000000860</t>
  </si>
  <si>
    <t>Ц0000078237</t>
  </si>
  <si>
    <t>УТ000000404</t>
  </si>
  <si>
    <t>Ц0000074662</t>
  </si>
  <si>
    <t>Ц0000077016</t>
  </si>
  <si>
    <t>Ц0000069668</t>
  </si>
  <si>
    <t>Ц0000078870</t>
  </si>
  <si>
    <t>Ц0000056270</t>
  </si>
  <si>
    <t>УТ000003151</t>
  </si>
  <si>
    <t>УТ000002046</t>
  </si>
  <si>
    <t>Ц0000039669</t>
  </si>
  <si>
    <t>Ц0000056495</t>
  </si>
  <si>
    <t>не подтвержден размеры отличаются</t>
  </si>
  <si>
    <t>УТ000053991</t>
  </si>
  <si>
    <t>УТ000002240</t>
  </si>
  <si>
    <t>Расчет по материалам и операциям</t>
  </si>
  <si>
    <t>Ц0000065437</t>
  </si>
  <si>
    <t xml:space="preserve">Удали </t>
  </si>
  <si>
    <t>Шина АДО 3,5х70</t>
  </si>
  <si>
    <t>Ц0000082046</t>
  </si>
  <si>
    <t>Ц0000067147</t>
  </si>
  <si>
    <t>Ц0000059761</t>
  </si>
  <si>
    <t>Ц0000080901</t>
  </si>
  <si>
    <t>УТ000001338</t>
  </si>
  <si>
    <t>УТ000002209</t>
  </si>
  <si>
    <t>Ц0000067993</t>
  </si>
  <si>
    <t xml:space="preserve">Состоит из 03.312.012 и   Gasketig, см. чертеж. </t>
  </si>
  <si>
    <t>Ц0000082047</t>
  </si>
  <si>
    <t>Ц0000067147, Шт</t>
  </si>
  <si>
    <t>Состав, см. чертеж. Коды: Ц0000076894
Ц0000076906
Ц0000078863</t>
  </si>
  <si>
    <t>Это сборочная единица, для ее изготовления необходимо применять материал в соответствии указаниям в чертеже на детали.</t>
  </si>
  <si>
    <t>См. на чертеже указания по материалу</t>
  </si>
  <si>
    <t>УТ000003297</t>
  </si>
  <si>
    <t>См каталог автоматических выключателей. По артикулу</t>
  </si>
  <si>
    <t>УТ000002952</t>
  </si>
  <si>
    <t>УТ000007907</t>
  </si>
  <si>
    <t>УТ000002217</t>
  </si>
  <si>
    <t>УТ000001341</t>
  </si>
  <si>
    <t>УТ000002219</t>
  </si>
  <si>
    <t>УТ000001559</t>
  </si>
  <si>
    <t>УТ000000705</t>
  </si>
  <si>
    <t>УТ000005297</t>
  </si>
  <si>
    <t>УТ000001735</t>
  </si>
  <si>
    <t>Ц0000065275</t>
  </si>
  <si>
    <t>УТ000003576</t>
  </si>
  <si>
    <t>УТ000001337</t>
  </si>
  <si>
    <t>Ц0000057965</t>
  </si>
  <si>
    <t>УТ000000530</t>
  </si>
  <si>
    <t>УТ000001403</t>
  </si>
  <si>
    <t>0Т-00135401, учет в штуках,приход по 1000мм, указано 150мм, это расход.</t>
  </si>
  <si>
    <t>0Т-00135423, учет в штуках,приход по 1000мм, указано 245мм, это расход.</t>
  </si>
  <si>
    <t>0Т-00135379, учет в штуках,приход по 1000мм, указано 170 мм, это расход.</t>
  </si>
  <si>
    <t>См. на чертеже указания по материалу. Расход считай по массе и развертке.</t>
  </si>
  <si>
    <t>Ц0000058455</t>
  </si>
  <si>
    <t>Ц0000074701</t>
  </si>
  <si>
    <t>Ц0000074702</t>
  </si>
  <si>
    <t>Ц0000074703</t>
  </si>
  <si>
    <t>Ц0000074704</t>
  </si>
  <si>
    <t>Ц0000074705</t>
  </si>
  <si>
    <t>Ц0000062455</t>
  </si>
  <si>
    <t>Ц0000074762</t>
  </si>
  <si>
    <t>Ц0000075388</t>
  </si>
  <si>
    <t>Ц0000075389</t>
  </si>
  <si>
    <t>0Т-00134720</t>
  </si>
  <si>
    <t>0Т-00134727</t>
  </si>
  <si>
    <t>Ц0000081261</t>
  </si>
  <si>
    <t>УТ000000720</t>
  </si>
  <si>
    <t>Ц0000057967</t>
  </si>
  <si>
    <t>Плёнка ПЭТ-Э 250 мкм, в кг</t>
  </si>
  <si>
    <t>Наклейка А, В, С, N, PE - единая наклейка для шинопровода 4 проводного (4Р) это -Ц0000066176, для 5 проводного (5Р) Ц0000066177</t>
  </si>
  <si>
    <t xml:space="preserve">УТ000001386 </t>
  </si>
  <si>
    <t>Двухкомпонентный состав, Компонент А-Ц0000060428, Б-Ц0000057680 пропорции 100:20, А100-Б20. Расход 20гр на 1 пог. Метр считай с учетом этого и создай отдельное правило для управления данной формулой.</t>
  </si>
  <si>
    <t>Зависит от размера, см.  Список номенклатуры Шина медная М1 Т далее по размеру</t>
  </si>
  <si>
    <t>перечисли четко что именно не определено</t>
  </si>
  <si>
    <t>См только таблицу производителя. Код 1С не привязывай.</t>
  </si>
  <si>
    <t>RAL 7035- Ц0000058453
RAL 9005 -Ц0000077902
RAL 3020- Ц0000075620
RAL 4006-Ц0000075618
RAL 4008-Ц0000078677</t>
  </si>
  <si>
    <t>См. ченртеж на издеилие</t>
  </si>
  <si>
    <t>УТ000001365</t>
  </si>
  <si>
    <t>Ц0000082047, Длину см. по исполненияи согласно чертежу 195.001</t>
  </si>
  <si>
    <t>Считать как расход материала в соответствии с развертками, предоставоленный чертеж эт остандартное исполнение, так же предоставил размеры стандартных КОМ. Далее на основании стандарта распространи на все номиналы и получится объем.</t>
  </si>
  <si>
    <t>Придерживайся файла стандартные размеры КОМ</t>
  </si>
  <si>
    <t>Согласно КД</t>
  </si>
  <si>
    <t>либо сырьё + операции</t>
  </si>
  <si>
    <t>1S.06A.G.01</t>
  </si>
  <si>
    <t>1S.08A.G.01</t>
  </si>
  <si>
    <t>1S.10A.G.01</t>
  </si>
  <si>
    <t>1S.12A.G.01</t>
  </si>
  <si>
    <t>1S.16A.G.01</t>
  </si>
  <si>
    <t>1S.40A.G.01</t>
  </si>
  <si>
    <t>1S.25A.G.01</t>
  </si>
  <si>
    <t>Наименование в файле актуальные цены на материалы</t>
  </si>
  <si>
    <t xml:space="preserve">Основной источник цен это файл Актуальные цены на материалы. Сформируй отдельные вопросы по нему. </t>
  </si>
  <si>
    <t xml:space="preserve">Шины не учитывай, они разрабатываются под каждую КОМ индивидуально, наша задача посчитать только материалы оболочки (основные материалы, листовой материал его объем для закупки) </t>
  </si>
  <si>
    <t xml:space="preserve">Состав необходим  для каждого стыка. Будет подгружен дополнительно. Обязательно учти это и создай перечень чертежей которые необходимо подгрузить. </t>
  </si>
  <si>
    <t>длина/масса заготовки АП 5786/5785 + операции</t>
  </si>
  <si>
    <t>изменяется только толщина шины 6мм или 7мм, все остальное одинаково. Исключение для тока 630А и 800А для 630А применяется шина 6х50 или 7х65, для 800А 6х65 или 7х75. сформируй дополнительные вопросфы что необходимо объяснить.</t>
  </si>
  <si>
    <t>Код прописал, кол-во зависит от номинала, чертежи прикладывал. Если не достаточно скажи что необходимо еще</t>
  </si>
  <si>
    <t>Стыки вынеси отдельной графой. Они не должны входить или учитываться внутри секции. Они должны быть отдельным блоком.</t>
  </si>
  <si>
    <t>КОМ и расчет КОМ вынеси отдельным блоком даже если они входят в основной состав проекта. Считать как расход материала в соответствии с развертками, предоставоленный чертеж эт остандартное исполнение, так же предоставил размеры стандартных КОМ. Далее на основании стандарта распространи на все номиналы и получится объем.</t>
  </si>
  <si>
    <t>Все цены с НДС</t>
  </si>
  <si>
    <t xml:space="preserve">Так как Электроэнергия, газ, сварка это переменные тарифы, сделай во вкладке параметризация отдельные окна под тарифы. </t>
  </si>
  <si>
    <t>Рабочую дату считай ближайшую к сегодняшней.</t>
  </si>
  <si>
    <t xml:space="preserve">оставь пока как есть, до получения дальнейших распоряжений. </t>
  </si>
  <si>
    <t>Во вкладке требуются коды 1С все соответствует</t>
  </si>
  <si>
    <t>Предоставь список позиций где какие указаны что тебе не понятно, распиши только подробно чтоб я тебя понял</t>
  </si>
  <si>
    <t xml:space="preserve">Утверждаю текущее состояние, предусмотри кнопку или галочку чтоб отметить статус материалов </t>
  </si>
  <si>
    <t>Утверждаю текущее состояние, предусмотри кнопку или галочку чтоб изменять резервирование. Предусмотри сохранению истории</t>
  </si>
  <si>
    <t xml:space="preserve">Предусмотри выпадающий список в оплатах с привязкой к проекту и отдельно по материалам. При выборе проекта видно какие материалы оплачены частично что полностью, сколько необходимо доплатить по каждому материалу сколько необходимо чтоб закрыть потребность по проекту. с фозможностью фильтрации. </t>
  </si>
  <si>
    <t xml:space="preserve">необходимые материалы должны быть сверху, далее материалы имеющиеся на складе, далее с неопределенными кодами. Но мы стремимся закрыть все неопределенности. </t>
  </si>
  <si>
    <t>Руководствуйся файлом актуальные цены материалов, ближайшая дата к текущей.</t>
  </si>
  <si>
    <t>Принято, выдавай сводку о расхождениях с полным описанием как было и как стало. Твои рекомендации почему.</t>
  </si>
  <si>
    <t>На пилоте Excel</t>
  </si>
  <si>
    <t>Ц0000082047,  Длину см. по исполненияи согласно чертежу 195.001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</si>
</sst>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7">
    <font>
      <sz val="11"/>
      <name val="Carlito"/>
    </font>
    <font>
      <b/>
      <sz val="11"/>
      <color rgb="FFFFFFFF"/>
      <name val="Carlito"/>
    </font>
    <font>
      <sz val="11"/>
      <color rgb="FF1F2937"/>
      <name val="Carlito"/>
    </font>
    <font>
      <b/>
      <sz val="11"/>
      <name val="Carlito"/>
    </font>
    <font>
      <sz val="11"/>
      <name val="Carlito"/>
    </font>
    <font>
      <sz val="12"/>
      <color rgb="FF000000"/>
      <name val="Times New Roman"/>
      <family val="1"/>
      <charset val="204"/>
    </font>
    <font>
      <b/>
      <sz val="12"/>
      <color rgb="FF000000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D9EAF7"/>
      </patternFill>
    </fill>
    <fill>
      <patternFill patternType="solid">
        <fgColor rgb="FF5B9BD5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/>
      <right/>
      <top/>
      <bottom style="thin">
        <color rgb="FFD9E2F3"/>
      </bottom>
      <diagonal/>
    </border>
    <border>
      <left/>
      <right/>
      <top style="thin">
        <color rgb="FFD9E2F3"/>
      </top>
      <bottom style="thin">
        <color rgb="FFD9E2F3"/>
      </bottom>
      <diagonal/>
    </border>
    <border>
      <left/>
      <right/>
      <top style="thin">
        <color rgb="FFD9E2F3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4" fillId="0" borderId="0"/>
  </cellStyleXfs>
  <cellXfs count="23">
    <xf numFmtId="0" fontId="0" fillId="0" borderId="0" xfId="0"/>
    <xf numFmtId="0" fontId="1" fillId="3" borderId="0" xfId="1" applyNumberFormat="1" applyFont="1" applyFill="1" applyBorder="1"/>
    <xf numFmtId="0" fontId="1" fillId="3" borderId="0" xfId="1" applyNumberFormat="1" applyFont="1" applyFill="1" applyBorder="1" applyAlignment="1">
      <alignment vertical="center" wrapText="1"/>
    </xf>
    <xf numFmtId="0" fontId="2" fillId="0" borderId="1" xfId="1" applyNumberFormat="1" applyFont="1" applyFill="1" applyBorder="1" applyAlignment="1">
      <alignment vertical="top" wrapText="1"/>
    </xf>
    <xf numFmtId="0" fontId="2" fillId="0" borderId="2" xfId="1" applyNumberFormat="1" applyFont="1" applyFill="1" applyBorder="1" applyAlignment="1">
      <alignment vertical="top" wrapText="1"/>
    </xf>
    <xf numFmtId="0" fontId="2" fillId="0" borderId="3" xfId="1" applyNumberFormat="1" applyFont="1" applyFill="1" applyBorder="1" applyAlignment="1">
      <alignment vertical="top" wrapText="1"/>
    </xf>
    <xf numFmtId="0" fontId="3" fillId="4" borderId="0" xfId="1" applyNumberFormat="1" applyFont="1" applyFill="1" applyBorder="1" applyAlignment="1">
      <alignment wrapText="1"/>
    </xf>
    <xf numFmtId="0" fontId="0" fillId="0" borderId="0" xfId="1" applyNumberFormat="1" applyFont="1" applyFill="1" applyBorder="1" applyAlignment="1">
      <alignment wrapText="1"/>
    </xf>
    <xf numFmtId="164" fontId="0" fillId="0" borderId="0" xfId="1" applyNumberFormat="1" applyFont="1" applyFill="1" applyBorder="1" applyAlignment="1">
      <alignment wrapText="1"/>
    </xf>
    <xf numFmtId="0" fontId="0" fillId="0" borderId="1" xfId="1" applyNumberFormat="1" applyFont="1" applyFill="1" applyBorder="1" applyAlignment="1">
      <alignment vertical="top" wrapText="1"/>
    </xf>
    <xf numFmtId="0" fontId="0" fillId="0" borderId="2" xfId="1" applyNumberFormat="1" applyFont="1" applyFill="1" applyBorder="1" applyAlignment="1">
      <alignment vertical="top" wrapText="1"/>
    </xf>
    <xf numFmtId="0" fontId="0" fillId="0" borderId="3" xfId="1" applyNumberFormat="1" applyFont="1" applyFill="1" applyBorder="1" applyAlignment="1">
      <alignment vertical="top" wrapText="1"/>
    </xf>
    <xf numFmtId="0" fontId="2" fillId="0" borderId="2" xfId="1" applyNumberFormat="1" applyFont="1" applyFill="1" applyBorder="1" applyAlignment="1">
      <alignment horizontal="left" vertical="top" wrapText="1"/>
    </xf>
    <xf numFmtId="0" fontId="0" fillId="0" borderId="0" xfId="0"/>
    <xf numFmtId="0" fontId="5" fillId="0" borderId="4" xfId="0" applyFont="1" applyBorder="1"/>
    <xf numFmtId="0" fontId="5" fillId="6" borderId="4" xfId="0" applyFont="1" applyFill="1" applyBorder="1"/>
    <xf numFmtId="0" fontId="6" fillId="0" borderId="4" xfId="0" applyFont="1" applyBorder="1"/>
    <xf numFmtId="0" fontId="0" fillId="0" borderId="2" xfId="1" applyNumberFormat="1" applyFont="1" applyFill="1" applyBorder="1" applyAlignment="1">
      <alignment vertical="top" wrapText="1"/>
    </xf>
    <xf numFmtId="0" fontId="0" fillId="0" borderId="3" xfId="1" applyNumberFormat="1" applyFont="1" applyFill="1" applyBorder="1" applyAlignment="1">
      <alignment vertical="top" wrapText="1"/>
    </xf>
    <xf numFmtId="0" fontId="1" fillId="2" borderId="0" xfId="1" applyNumberFormat="1" applyFont="1" applyFill="1" applyBorder="1" applyAlignment="1">
      <alignment vertical="center"/>
    </xf>
    <xf numFmtId="0" fontId="1" fillId="5" borderId="0" xfId="1" applyNumberFormat="1" applyFont="1" applyFill="1" applyBorder="1"/>
    <xf numFmtId="0" fontId="0" fillId="0" borderId="0" xfId="0"/>
    <xf numFmtId="0" fontId="0" fillId="0" borderId="1" xfId="1" applyNumberFormat="1" applyFont="1" applyFill="1" applyBorder="1" applyAlignment="1">
      <alignment vertical="top" wrapText="1"/>
    </xf>
  </cellXfs>
  <cellStyles count="2">
    <cellStyle name="Normal" xfId="1"/>
    <cellStyle name="Обычный" xfId="0" builtinId="0"/>
  </cellStyles>
  <dxfs count="7">
    <dxf>
      <font>
        <color rgb="FF9C6500"/>
      </font>
      <fill>
        <patternFill patternType="solid">
          <bgColor rgb="FFFFEB9C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CE4D6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b/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1" name="Codes1C" displayName="Codes1C" ref="A3:M158" totalsRowShown="0">
  <autoFilter ref="A3:M158"/>
  <tableColumns count="13">
    <tableColumn id="1" name="№"/>
    <tableColumn id="2" name="Контур"/>
    <tableColumn id="3" name="Узел / номинал"/>
    <tableColumn id="4" name="Обозначение / артикул"/>
    <tableColumn id="5" name="Наименование"/>
    <tableColumn id="6" name="Материал / стандарт"/>
    <tableColumn id="7" name="Ед."/>
    <tableColumn id="8" name="Что требуется"/>
    <tableColumn id="9" name="Приоритет"/>
    <tableColumn id="11" name="Код 1С / решение"/>
    <tableColumn id="12" name="Источник / комментарий"/>
    <tableColumn id="13" name="Уверенность"/>
    <tableColumn id="14" name="Наименование в файле актуальные цены на материалы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alcRules" displayName="CalcRules" ref="A3:K36" totalsRowShown="0">
  <tableColumns count="11">
    <tableColumn id="1" name="№"/>
    <tableColumn id="2" name="Раздел"/>
    <tableColumn id="3" name="Объект / позиция"/>
    <tableColumn id="4" name="Что определить"/>
    <tableColumn id="5" name="Текущее состояние"/>
    <tableColumn id="6" name="Безопасное действие"/>
    <tableColumn id="7" name="Приоритет"/>
    <tableColumn id="8" name="Статус"/>
    <tableColumn id="9" name="Утверждённое правило"/>
    <tableColumn id="10" name="Источник / комментарий"/>
    <tableColumn id="11" name="Уверенность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ources" displayName="Sources" ref="A3:F12" totalsRowShown="0">
  <tableColumns count="6">
    <tableColumn id="1" name="№"/>
    <tableColumn id="2" name="Файл / источник"/>
    <tableColumn id="3" name="Охват"/>
    <tableColumn id="4" name="Использование"/>
    <tableColumn id="5" name="Ограничение"/>
    <tableColumn id="6" name="Уверенность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showGridLines="0" workbookViewId="0">
      <selection sqref="A1:H1"/>
    </sheetView>
  </sheetViews>
  <sheetFormatPr defaultRowHeight="14.25"/>
  <cols>
    <col min="1" max="1" width="31" customWidth="1"/>
    <col min="2" max="2" width="76" customWidth="1"/>
  </cols>
  <sheetData>
    <row r="1" spans="1:8" ht="30" customHeight="1">
      <c r="A1" s="19" t="s">
        <v>0</v>
      </c>
      <c r="B1" s="19"/>
      <c r="C1" s="19"/>
      <c r="D1" s="19"/>
      <c r="E1" s="19"/>
      <c r="F1" s="19"/>
      <c r="G1" s="19"/>
      <c r="H1" s="19"/>
    </row>
    <row r="3" spans="1:8" ht="15">
      <c r="A3" s="1" t="s">
        <v>1</v>
      </c>
      <c r="B3" s="1" t="s">
        <v>2</v>
      </c>
    </row>
    <row r="4" spans="1:8" ht="30">
      <c r="A4" s="6" t="s">
        <v>3</v>
      </c>
      <c r="B4" s="7">
        <f>COUNTA('Требуются коды 1С'!A4:A250)</f>
        <v>155</v>
      </c>
    </row>
    <row r="5" spans="1:8" ht="15">
      <c r="A5" s="6" t="s">
        <v>4</v>
      </c>
      <c r="B5" s="7">
        <f>COUNTIF('Требуются коды 1С'!I4:I250,"Критический")</f>
        <v>16</v>
      </c>
    </row>
    <row r="6" spans="1:8" ht="30">
      <c r="A6" s="6" t="s">
        <v>5</v>
      </c>
      <c r="B6" s="7">
        <f>COUNTA('Не определено как считать'!A4:A100)</f>
        <v>33</v>
      </c>
    </row>
    <row r="7" spans="1:8" ht="15">
      <c r="A7" s="6" t="s">
        <v>6</v>
      </c>
      <c r="B7" s="7">
        <f>COUNTIF('Не определено как считать'!H4:H100,"Принято")</f>
        <v>5</v>
      </c>
    </row>
    <row r="8" spans="1:8" ht="15">
      <c r="A8" s="6" t="s">
        <v>7</v>
      </c>
      <c r="B8" s="7">
        <f>B6-B7</f>
        <v>28</v>
      </c>
    </row>
    <row r="9" spans="1:8" ht="15">
      <c r="A9" s="6" t="s">
        <v>8</v>
      </c>
      <c r="B9" s="7" t="s">
        <v>9</v>
      </c>
    </row>
    <row r="10" spans="1:8" ht="15">
      <c r="A10" s="6" t="s">
        <v>10</v>
      </c>
      <c r="B10" s="7" t="s">
        <v>11</v>
      </c>
    </row>
    <row r="11" spans="1:8" ht="15">
      <c r="A11" s="6" t="s">
        <v>12</v>
      </c>
      <c r="B11" s="8">
        <v>46253</v>
      </c>
    </row>
    <row r="13" spans="1:8" ht="15">
      <c r="A13" s="20" t="s">
        <v>13</v>
      </c>
      <c r="B13" s="21"/>
      <c r="C13" s="21"/>
      <c r="D13" s="21"/>
      <c r="E13" s="21"/>
      <c r="F13" s="21"/>
      <c r="G13" s="21"/>
      <c r="H13" s="21"/>
    </row>
    <row r="14" spans="1:8">
      <c r="A14" s="9" t="s">
        <v>14</v>
      </c>
      <c r="B14" s="22" t="s">
        <v>15</v>
      </c>
      <c r="C14" s="22"/>
      <c r="D14" s="22"/>
      <c r="E14" s="22"/>
      <c r="F14" s="22"/>
      <c r="G14" s="22"/>
      <c r="H14" s="22"/>
    </row>
    <row r="15" spans="1:8">
      <c r="A15" s="10" t="s">
        <v>16</v>
      </c>
      <c r="B15" s="17" t="s">
        <v>17</v>
      </c>
      <c r="C15" s="17"/>
      <c r="D15" s="17"/>
      <c r="E15" s="17"/>
      <c r="F15" s="17"/>
      <c r="G15" s="17"/>
      <c r="H15" s="17"/>
    </row>
    <row r="16" spans="1:8">
      <c r="A16" s="10" t="s">
        <v>18</v>
      </c>
      <c r="B16" s="17" t="s">
        <v>19</v>
      </c>
      <c r="C16" s="17"/>
      <c r="D16" s="17"/>
      <c r="E16" s="17"/>
      <c r="F16" s="17"/>
      <c r="G16" s="17"/>
      <c r="H16" s="17"/>
    </row>
    <row r="17" spans="1:8">
      <c r="A17" s="10" t="s">
        <v>20</v>
      </c>
      <c r="B17" s="17" t="s">
        <v>21</v>
      </c>
      <c r="C17" s="17"/>
      <c r="D17" s="17"/>
      <c r="E17" s="17"/>
      <c r="F17" s="17"/>
      <c r="G17" s="17"/>
      <c r="H17" s="17"/>
    </row>
    <row r="18" spans="1:8">
      <c r="A18" s="10" t="s">
        <v>22</v>
      </c>
      <c r="B18" s="17" t="s">
        <v>23</v>
      </c>
      <c r="C18" s="17"/>
      <c r="D18" s="17"/>
      <c r="E18" s="17"/>
      <c r="F18" s="17"/>
      <c r="G18" s="17"/>
      <c r="H18" s="17"/>
    </row>
    <row r="19" spans="1:8">
      <c r="A19" s="11" t="s">
        <v>24</v>
      </c>
      <c r="B19" s="18" t="s">
        <v>25</v>
      </c>
      <c r="C19" s="18"/>
      <c r="D19" s="18"/>
      <c r="E19" s="18"/>
      <c r="F19" s="18"/>
      <c r="G19" s="18"/>
      <c r="H19" s="18"/>
    </row>
  </sheetData>
  <mergeCells count="8">
    <mergeCell ref="B17:H17"/>
    <mergeCell ref="B18:H18"/>
    <mergeCell ref="B19:H19"/>
    <mergeCell ref="A1:H1"/>
    <mergeCell ref="A13:H13"/>
    <mergeCell ref="B14:H14"/>
    <mergeCell ref="B15:H15"/>
    <mergeCell ref="B16:H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8"/>
  <sheetViews>
    <sheetView showGridLines="0" tabSelected="1" topLeftCell="A154" zoomScale="70" zoomScaleNormal="70" workbookViewId="0">
      <selection activeCell="K16" sqref="K16"/>
    </sheetView>
  </sheetViews>
  <sheetFormatPr defaultRowHeight="14.25"/>
  <cols>
    <col min="1" max="1" width="6" customWidth="1"/>
    <col min="2" max="2" width="16" customWidth="1"/>
    <col min="3" max="3" width="20" customWidth="1"/>
    <col min="4" max="4" width="26" customWidth="1"/>
    <col min="5" max="5" width="30" customWidth="1"/>
    <col min="6" max="6" width="26" customWidth="1"/>
    <col min="7" max="7" width="13" customWidth="1"/>
    <col min="8" max="8" width="40" customWidth="1"/>
    <col min="9" max="9" width="13" customWidth="1"/>
    <col min="10" max="10" width="22" customWidth="1"/>
    <col min="11" max="11" width="42" customWidth="1"/>
    <col min="12" max="12" width="14" customWidth="1"/>
    <col min="13" max="13" width="41.375" customWidth="1"/>
  </cols>
  <sheetData>
    <row r="1" spans="1:13" ht="30" customHeight="1">
      <c r="A1" s="19" t="s">
        <v>26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3" spans="1:13" ht="39.950000000000003" customHeight="1">
      <c r="A3" s="2" t="s">
        <v>27</v>
      </c>
      <c r="B3" s="2" t="s">
        <v>28</v>
      </c>
      <c r="C3" s="2" t="s">
        <v>29</v>
      </c>
      <c r="D3" s="2" t="s">
        <v>30</v>
      </c>
      <c r="E3" s="2" t="s">
        <v>31</v>
      </c>
      <c r="F3" s="2" t="s">
        <v>32</v>
      </c>
      <c r="G3" s="2" t="s">
        <v>33</v>
      </c>
      <c r="H3" s="2" t="s">
        <v>34</v>
      </c>
      <c r="I3" s="2" t="s">
        <v>35</v>
      </c>
      <c r="J3" s="2" t="s">
        <v>37</v>
      </c>
      <c r="K3" s="2" t="s">
        <v>38</v>
      </c>
      <c r="L3" s="2" t="s">
        <v>39</v>
      </c>
      <c r="M3" t="s">
        <v>655</v>
      </c>
    </row>
    <row r="4" spans="1:13" ht="42.75">
      <c r="A4" s="3">
        <v>1</v>
      </c>
      <c r="B4" s="3" t="s">
        <v>40</v>
      </c>
      <c r="C4" s="3" t="s">
        <v>41</v>
      </c>
      <c r="D4" s="3" t="s">
        <v>42</v>
      </c>
      <c r="E4" s="3" t="s">
        <v>43</v>
      </c>
      <c r="F4" s="3" t="s">
        <v>44</v>
      </c>
      <c r="G4" s="3" t="s">
        <v>45</v>
      </c>
      <c r="H4" s="3" t="s">
        <v>46</v>
      </c>
      <c r="I4" s="3" t="s">
        <v>47</v>
      </c>
      <c r="J4" s="3" t="s">
        <v>582</v>
      </c>
      <c r="K4" s="3" t="s">
        <v>49</v>
      </c>
      <c r="L4" s="3" t="s">
        <v>50</v>
      </c>
    </row>
    <row r="5" spans="1:13" ht="28.5">
      <c r="A5" s="4">
        <v>2</v>
      </c>
      <c r="B5" s="4" t="s">
        <v>40</v>
      </c>
      <c r="C5" s="4" t="s">
        <v>51</v>
      </c>
      <c r="D5" s="4" t="s">
        <v>42</v>
      </c>
      <c r="E5" s="4" t="s">
        <v>52</v>
      </c>
      <c r="F5" s="4" t="s">
        <v>42</v>
      </c>
      <c r="G5" s="4" t="s">
        <v>53</v>
      </c>
      <c r="H5" s="4" t="s">
        <v>54</v>
      </c>
      <c r="I5" s="4" t="s">
        <v>55</v>
      </c>
      <c r="J5" s="4" t="s">
        <v>565</v>
      </c>
      <c r="K5" s="4" t="s">
        <v>56</v>
      </c>
      <c r="L5" s="4" t="s">
        <v>57</v>
      </c>
    </row>
    <row r="6" spans="1:13" ht="28.5">
      <c r="A6" s="4">
        <v>3</v>
      </c>
      <c r="B6" s="4" t="s">
        <v>40</v>
      </c>
      <c r="C6" s="4" t="s">
        <v>51</v>
      </c>
      <c r="D6" s="4" t="s">
        <v>42</v>
      </c>
      <c r="E6" s="4" t="s">
        <v>58</v>
      </c>
      <c r="F6" s="4" t="s">
        <v>42</v>
      </c>
      <c r="G6" s="4" t="s">
        <v>53</v>
      </c>
      <c r="H6" s="4" t="s">
        <v>54</v>
      </c>
      <c r="I6" s="4" t="s">
        <v>55</v>
      </c>
      <c r="J6" s="4" t="s">
        <v>566</v>
      </c>
      <c r="K6" s="4" t="s">
        <v>56</v>
      </c>
      <c r="L6" s="4" t="s">
        <v>57</v>
      </c>
    </row>
    <row r="7" spans="1:13" ht="28.5">
      <c r="A7" s="4">
        <v>4</v>
      </c>
      <c r="B7" s="4" t="s">
        <v>40</v>
      </c>
      <c r="C7" s="4" t="s">
        <v>51</v>
      </c>
      <c r="D7" s="4" t="s">
        <v>42</v>
      </c>
      <c r="E7" s="4" t="s">
        <v>59</v>
      </c>
      <c r="F7" s="4" t="s">
        <v>42</v>
      </c>
      <c r="G7" s="4" t="s">
        <v>60</v>
      </c>
      <c r="H7" s="4" t="s">
        <v>54</v>
      </c>
      <c r="I7" s="4" t="s">
        <v>55</v>
      </c>
      <c r="J7" s="4" t="s">
        <v>567</v>
      </c>
      <c r="K7" s="4" t="s">
        <v>56</v>
      </c>
      <c r="L7" s="4" t="s">
        <v>57</v>
      </c>
    </row>
    <row r="8" spans="1:13" ht="28.5">
      <c r="A8" s="4">
        <v>5</v>
      </c>
      <c r="B8" s="4" t="s">
        <v>40</v>
      </c>
      <c r="C8" s="4" t="s">
        <v>51</v>
      </c>
      <c r="D8" s="4" t="s">
        <v>42</v>
      </c>
      <c r="E8" s="4" t="s">
        <v>61</v>
      </c>
      <c r="F8" s="4" t="s">
        <v>62</v>
      </c>
      <c r="G8" s="4" t="s">
        <v>60</v>
      </c>
      <c r="H8" s="4" t="s">
        <v>54</v>
      </c>
      <c r="I8" s="4" t="s">
        <v>55</v>
      </c>
      <c r="J8" s="4" t="s">
        <v>568</v>
      </c>
      <c r="K8" s="4" t="s">
        <v>56</v>
      </c>
      <c r="L8" s="4" t="s">
        <v>57</v>
      </c>
    </row>
    <row r="9" spans="1:13" ht="28.5">
      <c r="A9" s="4">
        <v>6</v>
      </c>
      <c r="B9" s="4" t="s">
        <v>40</v>
      </c>
      <c r="C9" s="4" t="s">
        <v>51</v>
      </c>
      <c r="D9" s="4" t="s">
        <v>42</v>
      </c>
      <c r="E9" s="4" t="s">
        <v>63</v>
      </c>
      <c r="F9" s="4" t="s">
        <v>62</v>
      </c>
      <c r="G9" s="4" t="s">
        <v>60</v>
      </c>
      <c r="H9" s="4" t="s">
        <v>54</v>
      </c>
      <c r="I9" s="4" t="s">
        <v>55</v>
      </c>
      <c r="J9" s="4" t="s">
        <v>569</v>
      </c>
      <c r="K9" s="4" t="s">
        <v>56</v>
      </c>
      <c r="L9" s="4" t="s">
        <v>57</v>
      </c>
    </row>
    <row r="10" spans="1:13" ht="28.5">
      <c r="A10" s="4">
        <v>7</v>
      </c>
      <c r="B10" s="4" t="s">
        <v>40</v>
      </c>
      <c r="C10" s="4" t="s">
        <v>51</v>
      </c>
      <c r="D10" s="4" t="s">
        <v>42</v>
      </c>
      <c r="E10" s="4" t="s">
        <v>64</v>
      </c>
      <c r="F10" s="4" t="s">
        <v>65</v>
      </c>
      <c r="G10" s="4" t="s">
        <v>53</v>
      </c>
      <c r="H10" s="4" t="s">
        <v>54</v>
      </c>
      <c r="I10" s="4" t="s">
        <v>55</v>
      </c>
      <c r="J10" s="4" t="s">
        <v>570</v>
      </c>
      <c r="K10" s="4" t="s">
        <v>56</v>
      </c>
      <c r="L10" s="4" t="s">
        <v>57</v>
      </c>
    </row>
    <row r="11" spans="1:13" ht="28.5">
      <c r="A11" s="4">
        <v>8</v>
      </c>
      <c r="B11" s="4" t="s">
        <v>40</v>
      </c>
      <c r="C11" s="4" t="s">
        <v>51</v>
      </c>
      <c r="D11" s="4" t="s">
        <v>42</v>
      </c>
      <c r="E11" s="4" t="s">
        <v>66</v>
      </c>
      <c r="F11" s="4" t="s">
        <v>42</v>
      </c>
      <c r="G11" s="4" t="s">
        <v>67</v>
      </c>
      <c r="H11" s="4" t="s">
        <v>54</v>
      </c>
      <c r="I11" s="4" t="s">
        <v>55</v>
      </c>
      <c r="J11" s="4" t="s">
        <v>571</v>
      </c>
      <c r="K11" s="4" t="s">
        <v>56</v>
      </c>
      <c r="L11" s="4" t="s">
        <v>57</v>
      </c>
    </row>
    <row r="12" spans="1:13" ht="28.5">
      <c r="A12" s="4">
        <v>9</v>
      </c>
      <c r="B12" s="4" t="s">
        <v>40</v>
      </c>
      <c r="C12" s="4" t="s">
        <v>51</v>
      </c>
      <c r="D12" s="4" t="s">
        <v>42</v>
      </c>
      <c r="E12" s="4" t="s">
        <v>68</v>
      </c>
      <c r="F12" s="4" t="s">
        <v>42</v>
      </c>
      <c r="G12" s="4" t="s">
        <v>67</v>
      </c>
      <c r="H12" s="4" t="s">
        <v>54</v>
      </c>
      <c r="I12" s="4" t="s">
        <v>55</v>
      </c>
      <c r="J12" s="4" t="s">
        <v>572</v>
      </c>
      <c r="K12" s="4" t="s">
        <v>56</v>
      </c>
      <c r="L12" s="4" t="s">
        <v>57</v>
      </c>
    </row>
    <row r="13" spans="1:13" ht="28.5">
      <c r="A13" s="4">
        <v>10</v>
      </c>
      <c r="B13" s="4" t="s">
        <v>40</v>
      </c>
      <c r="C13" s="4" t="s">
        <v>51</v>
      </c>
      <c r="D13" s="4" t="s">
        <v>42</v>
      </c>
      <c r="E13" s="4" t="s">
        <v>69</v>
      </c>
      <c r="F13" s="4" t="s">
        <v>42</v>
      </c>
      <c r="G13" s="4" t="s">
        <v>67</v>
      </c>
      <c r="H13" s="4" t="s">
        <v>54</v>
      </c>
      <c r="I13" s="4" t="s">
        <v>55</v>
      </c>
      <c r="J13" s="4" t="s">
        <v>573</v>
      </c>
      <c r="K13" s="4" t="s">
        <v>56</v>
      </c>
      <c r="L13" s="4" t="s">
        <v>57</v>
      </c>
    </row>
    <row r="14" spans="1:13" ht="28.5">
      <c r="A14" s="4">
        <v>11</v>
      </c>
      <c r="B14" s="4" t="s">
        <v>40</v>
      </c>
      <c r="C14" s="4" t="s">
        <v>51</v>
      </c>
      <c r="D14" s="4" t="s">
        <v>42</v>
      </c>
      <c r="E14" s="4" t="s">
        <v>70</v>
      </c>
      <c r="F14" s="4" t="s">
        <v>42</v>
      </c>
      <c r="G14" s="4" t="s">
        <v>67</v>
      </c>
      <c r="H14" s="4" t="s">
        <v>54</v>
      </c>
      <c r="I14" s="4" t="s">
        <v>55</v>
      </c>
      <c r="J14" s="4" t="s">
        <v>574</v>
      </c>
      <c r="K14" s="4" t="s">
        <v>56</v>
      </c>
      <c r="L14" s="4" t="s">
        <v>57</v>
      </c>
    </row>
    <row r="15" spans="1:13" ht="28.5">
      <c r="A15" s="4">
        <v>12</v>
      </c>
      <c r="B15" s="4" t="s">
        <v>40</v>
      </c>
      <c r="C15" s="4" t="s">
        <v>51</v>
      </c>
      <c r="D15" s="4" t="s">
        <v>42</v>
      </c>
      <c r="E15" s="4" t="s">
        <v>71</v>
      </c>
      <c r="F15" s="4" t="s">
        <v>42</v>
      </c>
      <c r="G15" s="4" t="s">
        <v>67</v>
      </c>
      <c r="H15" s="4" t="s">
        <v>54</v>
      </c>
      <c r="I15" s="4" t="s">
        <v>55</v>
      </c>
      <c r="J15" s="4" t="s">
        <v>575</v>
      </c>
      <c r="K15" s="4" t="s">
        <v>56</v>
      </c>
      <c r="L15" s="4" t="s">
        <v>57</v>
      </c>
    </row>
    <row r="16" spans="1:13" ht="28.5">
      <c r="A16" s="4">
        <v>13</v>
      </c>
      <c r="B16" s="4" t="s">
        <v>40</v>
      </c>
      <c r="C16" s="4" t="s">
        <v>51</v>
      </c>
      <c r="D16" s="4" t="s">
        <v>42</v>
      </c>
      <c r="E16" s="4" t="s">
        <v>72</v>
      </c>
      <c r="F16" s="4" t="s">
        <v>42</v>
      </c>
      <c r="G16" s="4" t="s">
        <v>53</v>
      </c>
      <c r="H16" s="4" t="s">
        <v>54</v>
      </c>
      <c r="I16" s="4" t="s">
        <v>55</v>
      </c>
      <c r="J16" s="4" t="s">
        <v>576</v>
      </c>
      <c r="K16" s="4" t="s">
        <v>56</v>
      </c>
      <c r="L16" s="4" t="s">
        <v>57</v>
      </c>
      <c r="M16" t="s">
        <v>577</v>
      </c>
    </row>
    <row r="17" spans="1:13" ht="28.5">
      <c r="A17" s="4">
        <v>14</v>
      </c>
      <c r="B17" s="4" t="s">
        <v>40</v>
      </c>
      <c r="C17" s="4" t="s">
        <v>51</v>
      </c>
      <c r="D17" s="4" t="s">
        <v>42</v>
      </c>
      <c r="E17" s="4" t="s">
        <v>73</v>
      </c>
      <c r="F17" s="4" t="s">
        <v>42</v>
      </c>
      <c r="G17" s="4" t="s">
        <v>74</v>
      </c>
      <c r="H17" s="4" t="s">
        <v>54</v>
      </c>
      <c r="I17" s="4" t="s">
        <v>55</v>
      </c>
      <c r="J17" s="12">
        <v>2130</v>
      </c>
      <c r="K17" s="4" t="s">
        <v>56</v>
      </c>
      <c r="L17" s="4" t="s">
        <v>57</v>
      </c>
    </row>
    <row r="18" spans="1:13" ht="28.5">
      <c r="A18" s="4">
        <v>15</v>
      </c>
      <c r="B18" s="4" t="s">
        <v>40</v>
      </c>
      <c r="C18" s="4" t="s">
        <v>51</v>
      </c>
      <c r="D18" s="4" t="s">
        <v>42</v>
      </c>
      <c r="E18" s="4" t="s">
        <v>75</v>
      </c>
      <c r="F18" s="4" t="s">
        <v>42</v>
      </c>
      <c r="G18" s="4" t="s">
        <v>76</v>
      </c>
      <c r="H18" s="4" t="s">
        <v>54</v>
      </c>
      <c r="I18" s="4" t="s">
        <v>55</v>
      </c>
      <c r="J18" s="4" t="s">
        <v>578</v>
      </c>
      <c r="K18" s="4" t="s">
        <v>56</v>
      </c>
      <c r="L18" s="4" t="s">
        <v>57</v>
      </c>
    </row>
    <row r="19" spans="1:13" ht="28.5">
      <c r="A19" s="4">
        <v>16</v>
      </c>
      <c r="B19" s="4" t="s">
        <v>40</v>
      </c>
      <c r="C19" s="4" t="s">
        <v>51</v>
      </c>
      <c r="D19" s="4" t="s">
        <v>42</v>
      </c>
      <c r="E19" s="4" t="s">
        <v>77</v>
      </c>
      <c r="F19" s="4" t="s">
        <v>42</v>
      </c>
      <c r="G19" s="4" t="s">
        <v>53</v>
      </c>
      <c r="H19" s="4" t="s">
        <v>54</v>
      </c>
      <c r="I19" s="4" t="s">
        <v>55</v>
      </c>
      <c r="J19" s="4" t="s">
        <v>579</v>
      </c>
      <c r="K19" s="4" t="s">
        <v>56</v>
      </c>
      <c r="L19" s="4" t="s">
        <v>57</v>
      </c>
    </row>
    <row r="20" spans="1:13" ht="28.5">
      <c r="A20" s="4">
        <v>17</v>
      </c>
      <c r="B20" s="4" t="s">
        <v>40</v>
      </c>
      <c r="C20" s="4" t="s">
        <v>78</v>
      </c>
      <c r="D20" s="4" t="s">
        <v>79</v>
      </c>
      <c r="E20" s="4" t="s">
        <v>78</v>
      </c>
      <c r="F20" s="4" t="s">
        <v>80</v>
      </c>
      <c r="G20" s="4" t="s">
        <v>81</v>
      </c>
      <c r="H20" s="4" t="s">
        <v>82</v>
      </c>
      <c r="I20" s="4" t="s">
        <v>55</v>
      </c>
      <c r="J20" s="4" t="s">
        <v>580</v>
      </c>
      <c r="K20" s="4" t="s">
        <v>83</v>
      </c>
      <c r="L20" s="4" t="s">
        <v>50</v>
      </c>
    </row>
    <row r="21" spans="1:13" ht="28.5">
      <c r="A21" s="4">
        <v>18</v>
      </c>
      <c r="B21" s="4" t="s">
        <v>84</v>
      </c>
      <c r="C21" s="4" t="s">
        <v>85</v>
      </c>
      <c r="D21" s="4" t="s">
        <v>86</v>
      </c>
      <c r="E21" s="4" t="s">
        <v>87</v>
      </c>
      <c r="F21" s="4" t="s">
        <v>583</v>
      </c>
      <c r="G21" s="4" t="s">
        <v>67</v>
      </c>
      <c r="H21" s="4" t="s">
        <v>89</v>
      </c>
      <c r="I21" s="4" t="s">
        <v>55</v>
      </c>
      <c r="J21" s="4" t="s">
        <v>581</v>
      </c>
      <c r="K21" s="4" t="s">
        <v>90</v>
      </c>
      <c r="L21" s="4" t="s">
        <v>50</v>
      </c>
    </row>
    <row r="22" spans="1:13" ht="57">
      <c r="A22" s="4">
        <v>19</v>
      </c>
      <c r="B22" s="4" t="s">
        <v>84</v>
      </c>
      <c r="C22" s="4" t="s">
        <v>85</v>
      </c>
      <c r="D22" s="4" t="s">
        <v>91</v>
      </c>
      <c r="E22" s="4" t="s">
        <v>92</v>
      </c>
      <c r="F22" s="4" t="s">
        <v>93</v>
      </c>
      <c r="G22" s="4" t="s">
        <v>67</v>
      </c>
      <c r="H22" s="4" t="s">
        <v>94</v>
      </c>
      <c r="I22" s="4" t="s">
        <v>55</v>
      </c>
      <c r="J22" s="4" t="s">
        <v>643</v>
      </c>
      <c r="K22" s="4" t="s">
        <v>90</v>
      </c>
      <c r="L22" s="4" t="s">
        <v>50</v>
      </c>
    </row>
    <row r="23" spans="1:13" ht="28.5">
      <c r="A23" s="4">
        <v>20</v>
      </c>
      <c r="B23" s="4" t="s">
        <v>84</v>
      </c>
      <c r="C23" s="4" t="s">
        <v>85</v>
      </c>
      <c r="D23" s="4" t="s">
        <v>95</v>
      </c>
      <c r="E23" s="4" t="s">
        <v>92</v>
      </c>
      <c r="F23" s="4" t="s">
        <v>96</v>
      </c>
      <c r="G23" s="4" t="s">
        <v>67</v>
      </c>
      <c r="H23" s="4" t="s">
        <v>94</v>
      </c>
      <c r="I23" s="4" t="s">
        <v>55</v>
      </c>
      <c r="J23" s="4" t="s">
        <v>584</v>
      </c>
      <c r="K23" s="4" t="s">
        <v>90</v>
      </c>
      <c r="L23" s="4" t="s">
        <v>50</v>
      </c>
    </row>
    <row r="24" spans="1:13">
      <c r="A24" s="4">
        <v>21</v>
      </c>
      <c r="B24" s="4" t="s">
        <v>84</v>
      </c>
      <c r="C24" s="4" t="s">
        <v>85</v>
      </c>
      <c r="D24" s="4" t="s">
        <v>97</v>
      </c>
      <c r="E24" s="4" t="s">
        <v>98</v>
      </c>
      <c r="F24" s="4" t="s">
        <v>99</v>
      </c>
      <c r="G24" s="4" t="s">
        <v>67</v>
      </c>
      <c r="H24" s="4" t="s">
        <v>100</v>
      </c>
      <c r="I24" s="4" t="s">
        <v>55</v>
      </c>
      <c r="J24" s="4"/>
      <c r="K24" s="4" t="s">
        <v>90</v>
      </c>
      <c r="L24" s="4" t="s">
        <v>50</v>
      </c>
    </row>
    <row r="25" spans="1:13" ht="28.5">
      <c r="A25" s="4">
        <v>22</v>
      </c>
      <c r="B25" s="4" t="s">
        <v>84</v>
      </c>
      <c r="C25" s="4" t="s">
        <v>101</v>
      </c>
      <c r="D25" s="4" t="s">
        <v>102</v>
      </c>
      <c r="E25" s="4" t="s">
        <v>103</v>
      </c>
      <c r="F25" s="4" t="s">
        <v>88</v>
      </c>
      <c r="G25" s="4" t="s">
        <v>67</v>
      </c>
      <c r="H25" s="4" t="s">
        <v>89</v>
      </c>
      <c r="I25" s="4" t="s">
        <v>55</v>
      </c>
      <c r="J25" s="4" t="s">
        <v>581</v>
      </c>
      <c r="K25" s="4" t="s">
        <v>104</v>
      </c>
      <c r="L25" s="4" t="s">
        <v>50</v>
      </c>
    </row>
    <row r="26" spans="1:13" ht="57">
      <c r="A26" s="4">
        <v>23</v>
      </c>
      <c r="B26" s="4" t="s">
        <v>84</v>
      </c>
      <c r="C26" s="4" t="s">
        <v>101</v>
      </c>
      <c r="D26" s="4" t="s">
        <v>105</v>
      </c>
      <c r="E26" s="4" t="s">
        <v>106</v>
      </c>
      <c r="F26" s="4" t="s">
        <v>93</v>
      </c>
      <c r="G26" s="4" t="s">
        <v>67</v>
      </c>
      <c r="H26" s="4" t="s">
        <v>94</v>
      </c>
      <c r="I26" s="4" t="s">
        <v>55</v>
      </c>
      <c r="J26" s="4" t="s">
        <v>643</v>
      </c>
      <c r="K26" s="4" t="s">
        <v>104</v>
      </c>
      <c r="L26" s="4" t="s">
        <v>50</v>
      </c>
    </row>
    <row r="27" spans="1:13" ht="29.25" thickBot="1">
      <c r="A27" s="4">
        <v>24</v>
      </c>
      <c r="B27" s="4" t="s">
        <v>84</v>
      </c>
      <c r="C27" s="4" t="s">
        <v>101</v>
      </c>
      <c r="D27" s="4" t="s">
        <v>107</v>
      </c>
      <c r="E27" s="4" t="s">
        <v>106</v>
      </c>
      <c r="F27" s="4" t="s">
        <v>96</v>
      </c>
      <c r="G27" s="4" t="s">
        <v>67</v>
      </c>
      <c r="H27" s="4" t="s">
        <v>94</v>
      </c>
      <c r="I27" s="4" t="s">
        <v>55</v>
      </c>
      <c r="J27" s="4" t="s">
        <v>584</v>
      </c>
      <c r="K27" s="4" t="s">
        <v>104</v>
      </c>
      <c r="L27" s="4" t="s">
        <v>50</v>
      </c>
    </row>
    <row r="28" spans="1:13" ht="16.5" thickBot="1">
      <c r="A28" s="4">
        <v>25</v>
      </c>
      <c r="B28" s="4" t="s">
        <v>84</v>
      </c>
      <c r="C28" s="4" t="s">
        <v>101</v>
      </c>
      <c r="D28" s="4" t="s">
        <v>108</v>
      </c>
      <c r="E28" s="4" t="s">
        <v>109</v>
      </c>
      <c r="F28" s="4" t="s">
        <v>99</v>
      </c>
      <c r="G28" s="4" t="s">
        <v>67</v>
      </c>
      <c r="H28" s="4" t="s">
        <v>100</v>
      </c>
      <c r="I28" s="4" t="s">
        <v>55</v>
      </c>
      <c r="J28" s="4" t="s">
        <v>619</v>
      </c>
      <c r="K28" s="4" t="s">
        <v>104</v>
      </c>
      <c r="L28" s="4" t="s">
        <v>50</v>
      </c>
      <c r="M28" s="16" t="s">
        <v>648</v>
      </c>
    </row>
    <row r="29" spans="1:13" ht="28.5" customHeight="1" thickBot="1">
      <c r="A29" s="4">
        <v>26</v>
      </c>
      <c r="B29" s="4" t="s">
        <v>84</v>
      </c>
      <c r="C29" s="4" t="s">
        <v>110</v>
      </c>
      <c r="D29" s="4" t="s">
        <v>111</v>
      </c>
      <c r="E29" s="4" t="s">
        <v>112</v>
      </c>
      <c r="F29" s="4" t="s">
        <v>88</v>
      </c>
      <c r="G29" s="4" t="s">
        <v>67</v>
      </c>
      <c r="H29" s="4" t="s">
        <v>89</v>
      </c>
      <c r="I29" s="4" t="s">
        <v>55</v>
      </c>
      <c r="J29" s="4" t="s">
        <v>581</v>
      </c>
      <c r="K29" s="4" t="s">
        <v>113</v>
      </c>
      <c r="L29" s="4" t="s">
        <v>50</v>
      </c>
      <c r="M29" s="14" t="s">
        <v>649</v>
      </c>
    </row>
    <row r="30" spans="1:13" ht="57" customHeight="1" thickBot="1">
      <c r="A30" s="4">
        <v>27</v>
      </c>
      <c r="B30" s="4" t="s">
        <v>84</v>
      </c>
      <c r="C30" s="4" t="s">
        <v>110</v>
      </c>
      <c r="D30" s="4" t="s">
        <v>114</v>
      </c>
      <c r="E30" s="4" t="s">
        <v>115</v>
      </c>
      <c r="F30" s="4" t="s">
        <v>93</v>
      </c>
      <c r="G30" s="4" t="s">
        <v>67</v>
      </c>
      <c r="H30" s="4" t="s">
        <v>94</v>
      </c>
      <c r="I30" s="4" t="s">
        <v>55</v>
      </c>
      <c r="J30" s="4" t="s">
        <v>677</v>
      </c>
      <c r="K30" s="4" t="s">
        <v>113</v>
      </c>
      <c r="L30" s="4" t="s">
        <v>50</v>
      </c>
      <c r="M30" s="14" t="s">
        <v>650</v>
      </c>
    </row>
    <row r="31" spans="1:13" ht="28.5" customHeight="1" thickBot="1">
      <c r="A31" s="4">
        <v>28</v>
      </c>
      <c r="B31" s="4" t="s">
        <v>84</v>
      </c>
      <c r="C31" s="4" t="s">
        <v>110</v>
      </c>
      <c r="D31" s="4" t="s">
        <v>116</v>
      </c>
      <c r="E31" s="4" t="s">
        <v>115</v>
      </c>
      <c r="F31" s="4" t="s">
        <v>96</v>
      </c>
      <c r="G31" s="4" t="s">
        <v>67</v>
      </c>
      <c r="H31" s="4" t="s">
        <v>94</v>
      </c>
      <c r="I31" s="4" t="s">
        <v>55</v>
      </c>
      <c r="J31" s="4" t="s">
        <v>584</v>
      </c>
      <c r="K31" s="4" t="s">
        <v>113</v>
      </c>
      <c r="L31" s="4" t="s">
        <v>50</v>
      </c>
      <c r="M31" s="14" t="s">
        <v>651</v>
      </c>
    </row>
    <row r="32" spans="1:13" ht="16.5" thickBot="1">
      <c r="A32" s="4">
        <v>29</v>
      </c>
      <c r="B32" s="4" t="s">
        <v>84</v>
      </c>
      <c r="C32" s="4" t="s">
        <v>110</v>
      </c>
      <c r="D32" s="4" t="s">
        <v>117</v>
      </c>
      <c r="E32" s="4" t="s">
        <v>118</v>
      </c>
      <c r="F32" s="4" t="s">
        <v>99</v>
      </c>
      <c r="G32" s="4" t="s">
        <v>67</v>
      </c>
      <c r="H32" s="4" t="s">
        <v>100</v>
      </c>
      <c r="I32" s="4" t="s">
        <v>55</v>
      </c>
      <c r="J32" s="4" t="s">
        <v>620</v>
      </c>
      <c r="K32" s="4" t="s">
        <v>113</v>
      </c>
      <c r="L32" s="4" t="s">
        <v>50</v>
      </c>
      <c r="M32" s="14" t="s">
        <v>649</v>
      </c>
    </row>
    <row r="33" spans="1:13" ht="28.5" customHeight="1" thickBot="1">
      <c r="A33" s="4">
        <v>30</v>
      </c>
      <c r="B33" s="4" t="s">
        <v>84</v>
      </c>
      <c r="C33" s="4" t="s">
        <v>119</v>
      </c>
      <c r="D33" s="4" t="s">
        <v>120</v>
      </c>
      <c r="E33" s="4" t="s">
        <v>121</v>
      </c>
      <c r="F33" s="4" t="s">
        <v>88</v>
      </c>
      <c r="G33" s="4" t="s">
        <v>67</v>
      </c>
      <c r="H33" s="4" t="s">
        <v>89</v>
      </c>
      <c r="I33" s="4" t="s">
        <v>55</v>
      </c>
      <c r="J33" s="4" t="s">
        <v>581</v>
      </c>
      <c r="K33" s="4" t="s">
        <v>122</v>
      </c>
      <c r="L33" s="4" t="s">
        <v>50</v>
      </c>
      <c r="M33" s="14" t="s">
        <v>153</v>
      </c>
    </row>
    <row r="34" spans="1:13" ht="57" customHeight="1" thickBot="1">
      <c r="A34" s="4">
        <v>31</v>
      </c>
      <c r="B34" s="4" t="s">
        <v>84</v>
      </c>
      <c r="C34" s="4" t="s">
        <v>119</v>
      </c>
      <c r="D34" s="4" t="s">
        <v>123</v>
      </c>
      <c r="E34" s="4" t="s">
        <v>124</v>
      </c>
      <c r="F34" s="4" t="s">
        <v>93</v>
      </c>
      <c r="G34" s="4" t="s">
        <v>67</v>
      </c>
      <c r="H34" s="4" t="s">
        <v>94</v>
      </c>
      <c r="I34" s="4" t="s">
        <v>55</v>
      </c>
      <c r="J34" s="4" t="s">
        <v>643</v>
      </c>
      <c r="K34" s="4" t="s">
        <v>122</v>
      </c>
      <c r="L34" s="4" t="s">
        <v>50</v>
      </c>
      <c r="M34" s="14" t="s">
        <v>653</v>
      </c>
    </row>
    <row r="35" spans="1:13" ht="28.5" customHeight="1" thickBot="1">
      <c r="A35" s="4">
        <v>32</v>
      </c>
      <c r="B35" s="4" t="s">
        <v>84</v>
      </c>
      <c r="C35" s="4" t="s">
        <v>119</v>
      </c>
      <c r="D35" s="4" t="s">
        <v>125</v>
      </c>
      <c r="E35" s="4" t="s">
        <v>124</v>
      </c>
      <c r="F35" s="4" t="s">
        <v>96</v>
      </c>
      <c r="G35" s="4" t="s">
        <v>67</v>
      </c>
      <c r="H35" s="4" t="s">
        <v>94</v>
      </c>
      <c r="I35" s="4" t="s">
        <v>55</v>
      </c>
      <c r="J35" s="4" t="s">
        <v>584</v>
      </c>
      <c r="K35" s="4" t="s">
        <v>122</v>
      </c>
      <c r="L35" s="4" t="s">
        <v>50</v>
      </c>
      <c r="M35" s="14" t="s">
        <v>654</v>
      </c>
    </row>
    <row r="36" spans="1:13" ht="16.5" thickBot="1">
      <c r="A36" s="4">
        <v>33</v>
      </c>
      <c r="B36" s="4" t="s">
        <v>84</v>
      </c>
      <c r="C36" s="4" t="s">
        <v>119</v>
      </c>
      <c r="D36" s="4" t="s">
        <v>126</v>
      </c>
      <c r="E36" s="4" t="s">
        <v>127</v>
      </c>
      <c r="F36" s="4" t="s">
        <v>99</v>
      </c>
      <c r="G36" s="4" t="s">
        <v>67</v>
      </c>
      <c r="H36" s="4" t="s">
        <v>100</v>
      </c>
      <c r="I36" s="4" t="s">
        <v>55</v>
      </c>
      <c r="J36" s="4" t="s">
        <v>621</v>
      </c>
      <c r="K36" s="4" t="s">
        <v>122</v>
      </c>
      <c r="L36" s="4" t="s">
        <v>50</v>
      </c>
      <c r="M36" s="14" t="s">
        <v>650</v>
      </c>
    </row>
    <row r="37" spans="1:13" ht="28.5">
      <c r="A37" s="4">
        <v>34</v>
      </c>
      <c r="B37" s="4" t="s">
        <v>84</v>
      </c>
      <c r="C37" s="4" t="s">
        <v>128</v>
      </c>
      <c r="D37" s="4" t="s">
        <v>129</v>
      </c>
      <c r="E37" s="4" t="s">
        <v>130</v>
      </c>
      <c r="F37" s="4" t="s">
        <v>88</v>
      </c>
      <c r="G37" s="4" t="s">
        <v>67</v>
      </c>
      <c r="H37" s="4" t="s">
        <v>89</v>
      </c>
      <c r="I37" s="4" t="s">
        <v>55</v>
      </c>
      <c r="J37" s="4" t="s">
        <v>581</v>
      </c>
      <c r="K37" s="4" t="s">
        <v>131</v>
      </c>
      <c r="L37" s="4" t="s">
        <v>50</v>
      </c>
    </row>
    <row r="38" spans="1:13" ht="57">
      <c r="A38" s="4">
        <v>35</v>
      </c>
      <c r="B38" s="4" t="s">
        <v>84</v>
      </c>
      <c r="C38" s="4" t="s">
        <v>128</v>
      </c>
      <c r="D38" s="4" t="s">
        <v>132</v>
      </c>
      <c r="E38" s="4" t="s">
        <v>133</v>
      </c>
      <c r="F38" s="4" t="s">
        <v>93</v>
      </c>
      <c r="G38" s="4" t="s">
        <v>67</v>
      </c>
      <c r="H38" s="4" t="s">
        <v>94</v>
      </c>
      <c r="I38" s="4" t="s">
        <v>55</v>
      </c>
      <c r="J38" s="4" t="s">
        <v>643</v>
      </c>
      <c r="K38" s="4" t="s">
        <v>131</v>
      </c>
      <c r="L38" s="4" t="s">
        <v>50</v>
      </c>
    </row>
    <row r="39" spans="1:13" ht="29.25" thickBot="1">
      <c r="A39" s="4">
        <v>36</v>
      </c>
      <c r="B39" s="4" t="s">
        <v>84</v>
      </c>
      <c r="C39" s="4" t="s">
        <v>128</v>
      </c>
      <c r="D39" s="4" t="s">
        <v>134</v>
      </c>
      <c r="E39" s="4" t="s">
        <v>133</v>
      </c>
      <c r="F39" s="4" t="s">
        <v>96</v>
      </c>
      <c r="G39" s="4" t="s">
        <v>67</v>
      </c>
      <c r="H39" s="4" t="s">
        <v>94</v>
      </c>
      <c r="I39" s="4" t="s">
        <v>55</v>
      </c>
      <c r="J39" s="4" t="s">
        <v>584</v>
      </c>
      <c r="K39" s="4" t="s">
        <v>131</v>
      </c>
      <c r="L39" s="4" t="s">
        <v>50</v>
      </c>
    </row>
    <row r="40" spans="1:13" ht="16.5" thickBot="1">
      <c r="A40" s="4">
        <v>37</v>
      </c>
      <c r="B40" s="4" t="s">
        <v>84</v>
      </c>
      <c r="C40" s="4" t="s">
        <v>128</v>
      </c>
      <c r="D40" s="4" t="s">
        <v>135</v>
      </c>
      <c r="E40" s="4" t="s">
        <v>136</v>
      </c>
      <c r="F40" s="4" t="s">
        <v>99</v>
      </c>
      <c r="G40" s="4" t="s">
        <v>67</v>
      </c>
      <c r="H40" s="4" t="s">
        <v>100</v>
      </c>
      <c r="I40" s="4" t="s">
        <v>55</v>
      </c>
      <c r="J40" s="4" t="s">
        <v>624</v>
      </c>
      <c r="K40" s="4" t="s">
        <v>131</v>
      </c>
      <c r="L40" s="4" t="s">
        <v>50</v>
      </c>
      <c r="M40" s="14" t="s">
        <v>651</v>
      </c>
    </row>
    <row r="41" spans="1:13" ht="28.5">
      <c r="A41" s="4">
        <v>38</v>
      </c>
      <c r="B41" s="4" t="s">
        <v>84</v>
      </c>
      <c r="C41" s="4" t="s">
        <v>137</v>
      </c>
      <c r="D41" s="4" t="s">
        <v>138</v>
      </c>
      <c r="E41" s="4" t="s">
        <v>139</v>
      </c>
      <c r="F41" s="4" t="s">
        <v>88</v>
      </c>
      <c r="G41" s="4" t="s">
        <v>67</v>
      </c>
      <c r="H41" s="4" t="s">
        <v>89</v>
      </c>
      <c r="I41" s="4" t="s">
        <v>55</v>
      </c>
      <c r="J41" s="4" t="s">
        <v>581</v>
      </c>
      <c r="K41" s="4" t="s">
        <v>140</v>
      </c>
      <c r="L41" s="4" t="s">
        <v>50</v>
      </c>
    </row>
    <row r="42" spans="1:13" ht="57">
      <c r="A42" s="4">
        <v>39</v>
      </c>
      <c r="B42" s="4" t="s">
        <v>84</v>
      </c>
      <c r="C42" s="4" t="s">
        <v>137</v>
      </c>
      <c r="D42" s="4" t="s">
        <v>141</v>
      </c>
      <c r="E42" s="4" t="s">
        <v>142</v>
      </c>
      <c r="F42" s="4" t="s">
        <v>93</v>
      </c>
      <c r="G42" s="4" t="s">
        <v>67</v>
      </c>
      <c r="H42" s="4" t="s">
        <v>94</v>
      </c>
      <c r="I42" s="4" t="s">
        <v>55</v>
      </c>
      <c r="J42" s="4" t="s">
        <v>643</v>
      </c>
      <c r="K42" s="4" t="s">
        <v>140</v>
      </c>
      <c r="L42" s="4" t="s">
        <v>50</v>
      </c>
    </row>
    <row r="43" spans="1:13" ht="29.25" thickBot="1">
      <c r="A43" s="4">
        <v>40</v>
      </c>
      <c r="B43" s="4" t="s">
        <v>84</v>
      </c>
      <c r="C43" s="4" t="s">
        <v>137</v>
      </c>
      <c r="D43" s="4" t="s">
        <v>143</v>
      </c>
      <c r="E43" s="4" t="s">
        <v>142</v>
      </c>
      <c r="F43" s="4" t="s">
        <v>96</v>
      </c>
      <c r="G43" s="4" t="s">
        <v>67</v>
      </c>
      <c r="H43" s="4" t="s">
        <v>94</v>
      </c>
      <c r="I43" s="4" t="s">
        <v>55</v>
      </c>
      <c r="J43" s="4" t="s">
        <v>584</v>
      </c>
      <c r="K43" s="4" t="s">
        <v>140</v>
      </c>
      <c r="L43" s="4" t="s">
        <v>50</v>
      </c>
    </row>
    <row r="44" spans="1:13" ht="16.5" thickBot="1">
      <c r="A44" s="4">
        <v>41</v>
      </c>
      <c r="B44" s="4" t="s">
        <v>84</v>
      </c>
      <c r="C44" s="4" t="s">
        <v>137</v>
      </c>
      <c r="D44" s="4" t="s">
        <v>144</v>
      </c>
      <c r="E44" s="4" t="s">
        <v>145</v>
      </c>
      <c r="F44" s="4" t="s">
        <v>99</v>
      </c>
      <c r="G44" s="4" t="s">
        <v>67</v>
      </c>
      <c r="H44" s="4" t="s">
        <v>100</v>
      </c>
      <c r="I44" s="4" t="s">
        <v>55</v>
      </c>
      <c r="J44" s="4" t="s">
        <v>622</v>
      </c>
      <c r="K44" s="4" t="s">
        <v>140</v>
      </c>
      <c r="L44" s="4" t="s">
        <v>50</v>
      </c>
      <c r="M44" s="14" t="s">
        <v>652</v>
      </c>
    </row>
    <row r="45" spans="1:13" ht="28.5">
      <c r="A45" s="4">
        <v>42</v>
      </c>
      <c r="B45" s="4" t="s">
        <v>84</v>
      </c>
      <c r="C45" s="4" t="s">
        <v>146</v>
      </c>
      <c r="D45" s="4" t="s">
        <v>147</v>
      </c>
      <c r="E45" s="4" t="s">
        <v>148</v>
      </c>
      <c r="F45" s="4" t="s">
        <v>88</v>
      </c>
      <c r="G45" s="4" t="s">
        <v>67</v>
      </c>
      <c r="H45" s="4" t="s">
        <v>89</v>
      </c>
      <c r="I45" s="4" t="s">
        <v>55</v>
      </c>
      <c r="J45" s="4" t="s">
        <v>581</v>
      </c>
      <c r="K45" s="4" t="s">
        <v>149</v>
      </c>
      <c r="L45" s="4" t="s">
        <v>50</v>
      </c>
    </row>
    <row r="46" spans="1:13" ht="57">
      <c r="A46" s="4">
        <v>43</v>
      </c>
      <c r="B46" s="4" t="s">
        <v>84</v>
      </c>
      <c r="C46" s="4" t="s">
        <v>146</v>
      </c>
      <c r="D46" s="4" t="s">
        <v>150</v>
      </c>
      <c r="E46" s="4" t="s">
        <v>151</v>
      </c>
      <c r="F46" s="4" t="s">
        <v>93</v>
      </c>
      <c r="G46" s="4" t="s">
        <v>67</v>
      </c>
      <c r="H46" s="4" t="s">
        <v>94</v>
      </c>
      <c r="I46" s="4" t="s">
        <v>55</v>
      </c>
      <c r="J46" s="4" t="s">
        <v>643</v>
      </c>
      <c r="K46" s="4" t="s">
        <v>149</v>
      </c>
      <c r="L46" s="4" t="s">
        <v>50</v>
      </c>
    </row>
    <row r="47" spans="1:13" ht="29.25" thickBot="1">
      <c r="A47" s="4">
        <v>44</v>
      </c>
      <c r="B47" s="4" t="s">
        <v>84</v>
      </c>
      <c r="C47" s="4" t="s">
        <v>146</v>
      </c>
      <c r="D47" s="4" t="s">
        <v>152</v>
      </c>
      <c r="E47" s="4" t="s">
        <v>151</v>
      </c>
      <c r="F47" s="4" t="s">
        <v>96</v>
      </c>
      <c r="G47" s="4" t="s">
        <v>67</v>
      </c>
      <c r="H47" s="4" t="s">
        <v>94</v>
      </c>
      <c r="I47" s="4" t="s">
        <v>55</v>
      </c>
      <c r="J47" s="4" t="s">
        <v>584</v>
      </c>
      <c r="K47" s="4" t="s">
        <v>149</v>
      </c>
      <c r="L47" s="4" t="s">
        <v>50</v>
      </c>
    </row>
    <row r="48" spans="1:13" ht="16.5" thickBot="1">
      <c r="A48" s="4">
        <v>45</v>
      </c>
      <c r="B48" s="4" t="s">
        <v>84</v>
      </c>
      <c r="C48" s="4" t="s">
        <v>146</v>
      </c>
      <c r="D48" s="4" t="s">
        <v>153</v>
      </c>
      <c r="E48" s="4" t="s">
        <v>154</v>
      </c>
      <c r="F48" s="4" t="s">
        <v>99</v>
      </c>
      <c r="G48" s="4" t="s">
        <v>67</v>
      </c>
      <c r="H48" s="4" t="s">
        <v>100</v>
      </c>
      <c r="I48" s="4" t="s">
        <v>55</v>
      </c>
      <c r="J48" s="4" t="s">
        <v>623</v>
      </c>
      <c r="K48" s="4" t="s">
        <v>149</v>
      </c>
      <c r="L48" s="4" t="s">
        <v>50</v>
      </c>
      <c r="M48" s="14" t="s">
        <v>153</v>
      </c>
    </row>
    <row r="49" spans="1:13" ht="28.5">
      <c r="A49" s="4">
        <v>46</v>
      </c>
      <c r="B49" s="4" t="s">
        <v>84</v>
      </c>
      <c r="C49" s="4" t="s">
        <v>155</v>
      </c>
      <c r="D49" s="4" t="s">
        <v>156</v>
      </c>
      <c r="E49" s="4" t="s">
        <v>157</v>
      </c>
      <c r="F49" s="4" t="s">
        <v>88</v>
      </c>
      <c r="G49" s="4" t="s">
        <v>67</v>
      </c>
      <c r="H49" s="4" t="s">
        <v>89</v>
      </c>
      <c r="I49" s="4" t="s">
        <v>55</v>
      </c>
      <c r="J49" s="4" t="s">
        <v>581</v>
      </c>
      <c r="K49" s="4" t="s">
        <v>158</v>
      </c>
      <c r="L49" s="4" t="s">
        <v>50</v>
      </c>
    </row>
    <row r="50" spans="1:13" ht="57">
      <c r="A50" s="4">
        <v>47</v>
      </c>
      <c r="B50" s="4" t="s">
        <v>84</v>
      </c>
      <c r="C50" s="4" t="s">
        <v>155</v>
      </c>
      <c r="D50" s="4" t="s">
        <v>159</v>
      </c>
      <c r="E50" s="4" t="s">
        <v>160</v>
      </c>
      <c r="F50" s="4" t="s">
        <v>93</v>
      </c>
      <c r="G50" s="4" t="s">
        <v>67</v>
      </c>
      <c r="H50" s="4" t="s">
        <v>94</v>
      </c>
      <c r="I50" s="4" t="s">
        <v>55</v>
      </c>
      <c r="J50" s="4" t="s">
        <v>643</v>
      </c>
      <c r="K50" s="4" t="s">
        <v>158</v>
      </c>
      <c r="L50" s="4" t="s">
        <v>50</v>
      </c>
    </row>
    <row r="51" spans="1:13" ht="29.25" thickBot="1">
      <c r="A51" s="4">
        <v>48</v>
      </c>
      <c r="B51" s="4" t="s">
        <v>84</v>
      </c>
      <c r="C51" s="4" t="s">
        <v>155</v>
      </c>
      <c r="D51" s="4" t="s">
        <v>161</v>
      </c>
      <c r="E51" s="4" t="s">
        <v>160</v>
      </c>
      <c r="F51" s="4" t="s">
        <v>96</v>
      </c>
      <c r="G51" s="4" t="s">
        <v>67</v>
      </c>
      <c r="H51" s="4" t="s">
        <v>94</v>
      </c>
      <c r="I51" s="4" t="s">
        <v>55</v>
      </c>
      <c r="J51" s="4" t="s">
        <v>584</v>
      </c>
      <c r="K51" s="4" t="s">
        <v>158</v>
      </c>
      <c r="L51" s="4" t="s">
        <v>50</v>
      </c>
    </row>
    <row r="52" spans="1:13" ht="16.5" thickBot="1">
      <c r="A52" s="4">
        <v>49</v>
      </c>
      <c r="B52" s="4" t="s">
        <v>84</v>
      </c>
      <c r="C52" s="4" t="s">
        <v>155</v>
      </c>
      <c r="D52" s="4" t="s">
        <v>162</v>
      </c>
      <c r="E52" s="4" t="s">
        <v>163</v>
      </c>
      <c r="F52" s="4" t="s">
        <v>99</v>
      </c>
      <c r="G52" s="4" t="s">
        <v>67</v>
      </c>
      <c r="H52" s="4" t="s">
        <v>100</v>
      </c>
      <c r="I52" s="4" t="s">
        <v>55</v>
      </c>
      <c r="J52" s="4" t="s">
        <v>625</v>
      </c>
      <c r="K52" s="4" t="s">
        <v>158</v>
      </c>
      <c r="L52" s="4" t="s">
        <v>50</v>
      </c>
      <c r="M52" s="14" t="s">
        <v>654</v>
      </c>
    </row>
    <row r="53" spans="1:13" ht="28.5">
      <c r="A53" s="4">
        <v>50</v>
      </c>
      <c r="B53" s="4" t="s">
        <v>84</v>
      </c>
      <c r="C53" s="4" t="s">
        <v>164</v>
      </c>
      <c r="D53" s="4" t="s">
        <v>165</v>
      </c>
      <c r="E53" s="4" t="s">
        <v>166</v>
      </c>
      <c r="F53" s="4" t="s">
        <v>88</v>
      </c>
      <c r="G53" s="4" t="s">
        <v>67</v>
      </c>
      <c r="H53" s="4" t="s">
        <v>89</v>
      </c>
      <c r="I53" s="4" t="s">
        <v>55</v>
      </c>
      <c r="J53" s="4" t="s">
        <v>581</v>
      </c>
      <c r="K53" s="4" t="s">
        <v>167</v>
      </c>
      <c r="L53" s="4" t="s">
        <v>50</v>
      </c>
    </row>
    <row r="54" spans="1:13" ht="57">
      <c r="A54" s="4">
        <v>51</v>
      </c>
      <c r="B54" s="4" t="s">
        <v>84</v>
      </c>
      <c r="C54" s="4" t="s">
        <v>164</v>
      </c>
      <c r="D54" s="4" t="s">
        <v>168</v>
      </c>
      <c r="E54" s="4" t="s">
        <v>169</v>
      </c>
      <c r="F54" s="4" t="s">
        <v>93</v>
      </c>
      <c r="G54" s="4" t="s">
        <v>67</v>
      </c>
      <c r="H54" s="4" t="s">
        <v>94</v>
      </c>
      <c r="I54" s="4" t="s">
        <v>55</v>
      </c>
      <c r="J54" s="4" t="s">
        <v>643</v>
      </c>
      <c r="K54" s="4" t="s">
        <v>167</v>
      </c>
      <c r="L54" s="4" t="s">
        <v>50</v>
      </c>
    </row>
    <row r="55" spans="1:13" ht="29.25" thickBot="1">
      <c r="A55" s="4">
        <v>52</v>
      </c>
      <c r="B55" s="4" t="s">
        <v>84</v>
      </c>
      <c r="C55" s="4" t="s">
        <v>164</v>
      </c>
      <c r="D55" s="4" t="s">
        <v>170</v>
      </c>
      <c r="E55" s="4" t="s">
        <v>169</v>
      </c>
      <c r="F55" s="4" t="s">
        <v>96</v>
      </c>
      <c r="G55" s="4" t="s">
        <v>67</v>
      </c>
      <c r="H55" s="4" t="s">
        <v>94</v>
      </c>
      <c r="I55" s="4" t="s">
        <v>55</v>
      </c>
      <c r="J55" s="4" t="s">
        <v>584</v>
      </c>
      <c r="K55" s="4" t="s">
        <v>167</v>
      </c>
      <c r="L55" s="4" t="s">
        <v>50</v>
      </c>
    </row>
    <row r="56" spans="1:13" ht="16.5" thickBot="1">
      <c r="A56" s="4">
        <v>53</v>
      </c>
      <c r="B56" s="4" t="s">
        <v>84</v>
      </c>
      <c r="C56" s="4" t="s">
        <v>164</v>
      </c>
      <c r="D56" s="4" t="s">
        <v>171</v>
      </c>
      <c r="E56" s="4" t="s">
        <v>172</v>
      </c>
      <c r="F56" s="4" t="s">
        <v>99</v>
      </c>
      <c r="G56" s="4" t="s">
        <v>67</v>
      </c>
      <c r="H56" s="4" t="s">
        <v>100</v>
      </c>
      <c r="I56" s="4" t="s">
        <v>55</v>
      </c>
      <c r="J56" s="4" t="s">
        <v>626</v>
      </c>
      <c r="K56" s="4" t="s">
        <v>167</v>
      </c>
      <c r="L56" s="4" t="s">
        <v>50</v>
      </c>
      <c r="M56" s="14" t="s">
        <v>171</v>
      </c>
    </row>
    <row r="57" spans="1:13" ht="28.5">
      <c r="A57" s="4">
        <v>54</v>
      </c>
      <c r="B57" s="4" t="s">
        <v>84</v>
      </c>
      <c r="C57" s="4" t="s">
        <v>173</v>
      </c>
      <c r="D57" s="4" t="s">
        <v>174</v>
      </c>
      <c r="E57" s="4" t="s">
        <v>175</v>
      </c>
      <c r="F57" s="4" t="s">
        <v>88</v>
      </c>
      <c r="G57" s="4" t="s">
        <v>67</v>
      </c>
      <c r="H57" s="4" t="s">
        <v>89</v>
      </c>
      <c r="I57" s="4" t="s">
        <v>55</v>
      </c>
      <c r="J57" s="4" t="s">
        <v>581</v>
      </c>
      <c r="K57" s="4" t="s">
        <v>176</v>
      </c>
      <c r="L57" s="4" t="s">
        <v>50</v>
      </c>
    </row>
    <row r="58" spans="1:13" ht="57">
      <c r="A58" s="4">
        <v>55</v>
      </c>
      <c r="B58" s="4" t="s">
        <v>84</v>
      </c>
      <c r="C58" s="4" t="s">
        <v>173</v>
      </c>
      <c r="D58" s="4" t="s">
        <v>177</v>
      </c>
      <c r="E58" s="4" t="s">
        <v>178</v>
      </c>
      <c r="F58" s="4" t="s">
        <v>93</v>
      </c>
      <c r="G58" s="4" t="s">
        <v>67</v>
      </c>
      <c r="H58" s="4" t="s">
        <v>94</v>
      </c>
      <c r="I58" s="4" t="s">
        <v>55</v>
      </c>
      <c r="J58" s="4" t="s">
        <v>643</v>
      </c>
      <c r="K58" s="4" t="s">
        <v>176</v>
      </c>
      <c r="L58" s="4" t="s">
        <v>50</v>
      </c>
    </row>
    <row r="59" spans="1:13" ht="29.25" thickBot="1">
      <c r="A59" s="4">
        <v>56</v>
      </c>
      <c r="B59" s="4" t="s">
        <v>84</v>
      </c>
      <c r="C59" s="4" t="s">
        <v>173</v>
      </c>
      <c r="D59" s="4" t="s">
        <v>179</v>
      </c>
      <c r="E59" s="4" t="s">
        <v>178</v>
      </c>
      <c r="F59" s="4" t="s">
        <v>96</v>
      </c>
      <c r="G59" s="4" t="s">
        <v>67</v>
      </c>
      <c r="H59" s="4" t="s">
        <v>94</v>
      </c>
      <c r="I59" s="4" t="s">
        <v>55</v>
      </c>
      <c r="J59" s="4" t="s">
        <v>584</v>
      </c>
      <c r="K59" s="4" t="s">
        <v>176</v>
      </c>
      <c r="L59" s="4" t="s">
        <v>50</v>
      </c>
    </row>
    <row r="60" spans="1:13" ht="16.5" thickBot="1">
      <c r="A60" s="4">
        <v>57</v>
      </c>
      <c r="B60" s="4" t="s">
        <v>84</v>
      </c>
      <c r="C60" s="4" t="s">
        <v>173</v>
      </c>
      <c r="D60" s="4" t="s">
        <v>180</v>
      </c>
      <c r="E60" s="4" t="s">
        <v>181</v>
      </c>
      <c r="F60" s="4" t="s">
        <v>99</v>
      </c>
      <c r="G60" s="4" t="s">
        <v>67</v>
      </c>
      <c r="H60" s="4" t="s">
        <v>100</v>
      </c>
      <c r="I60" s="4" t="s">
        <v>55</v>
      </c>
      <c r="J60" s="4" t="s">
        <v>627</v>
      </c>
      <c r="K60" s="4" t="s">
        <v>176</v>
      </c>
      <c r="L60" s="4" t="s">
        <v>50</v>
      </c>
      <c r="M60" s="15" t="s">
        <v>653</v>
      </c>
    </row>
    <row r="61" spans="1:13" ht="28.5">
      <c r="A61" s="4">
        <v>58</v>
      </c>
      <c r="B61" s="4" t="s">
        <v>84</v>
      </c>
      <c r="C61" s="4" t="s">
        <v>182</v>
      </c>
      <c r="D61" s="4" t="s">
        <v>183</v>
      </c>
      <c r="E61" s="4" t="s">
        <v>184</v>
      </c>
      <c r="F61" s="4" t="s">
        <v>88</v>
      </c>
      <c r="G61" s="4" t="s">
        <v>67</v>
      </c>
      <c r="H61" s="4" t="s">
        <v>89</v>
      </c>
      <c r="I61" s="4" t="s">
        <v>55</v>
      </c>
      <c r="J61" s="4" t="s">
        <v>581</v>
      </c>
      <c r="K61" s="4" t="s">
        <v>185</v>
      </c>
      <c r="L61" s="4" t="s">
        <v>50</v>
      </c>
    </row>
    <row r="62" spans="1:13" ht="57">
      <c r="A62" s="4">
        <v>59</v>
      </c>
      <c r="B62" s="4" t="s">
        <v>84</v>
      </c>
      <c r="C62" s="4" t="s">
        <v>182</v>
      </c>
      <c r="D62" s="4" t="s">
        <v>186</v>
      </c>
      <c r="E62" s="4" t="s">
        <v>187</v>
      </c>
      <c r="F62" s="4" t="s">
        <v>93</v>
      </c>
      <c r="G62" s="4" t="s">
        <v>67</v>
      </c>
      <c r="H62" s="4" t="s">
        <v>94</v>
      </c>
      <c r="I62" s="4" t="s">
        <v>55</v>
      </c>
      <c r="J62" s="4" t="s">
        <v>643</v>
      </c>
      <c r="K62" s="4" t="s">
        <v>185</v>
      </c>
      <c r="L62" s="4" t="s">
        <v>50</v>
      </c>
    </row>
    <row r="63" spans="1:13" ht="28.5">
      <c r="A63" s="4">
        <v>60</v>
      </c>
      <c r="B63" s="4" t="s">
        <v>84</v>
      </c>
      <c r="C63" s="4" t="s">
        <v>182</v>
      </c>
      <c r="D63" s="4" t="s">
        <v>188</v>
      </c>
      <c r="E63" s="4" t="s">
        <v>187</v>
      </c>
      <c r="F63" s="4" t="s">
        <v>96</v>
      </c>
      <c r="G63" s="4" t="s">
        <v>67</v>
      </c>
      <c r="H63" s="4" t="s">
        <v>94</v>
      </c>
      <c r="I63" s="4" t="s">
        <v>55</v>
      </c>
      <c r="J63" s="4" t="s">
        <v>584</v>
      </c>
      <c r="K63" s="4" t="s">
        <v>185</v>
      </c>
      <c r="L63" s="4" t="s">
        <v>50</v>
      </c>
    </row>
    <row r="64" spans="1:13">
      <c r="A64" s="4">
        <v>61</v>
      </c>
      <c r="B64" s="4" t="s">
        <v>84</v>
      </c>
      <c r="C64" s="4" t="s">
        <v>182</v>
      </c>
      <c r="D64" s="4" t="s">
        <v>189</v>
      </c>
      <c r="E64" s="4" t="s">
        <v>190</v>
      </c>
      <c r="F64" s="4" t="s">
        <v>99</v>
      </c>
      <c r="G64" s="4" t="s">
        <v>67</v>
      </c>
      <c r="H64" s="4" t="s">
        <v>100</v>
      </c>
      <c r="I64" s="4" t="s">
        <v>55</v>
      </c>
      <c r="J64" s="4" t="s">
        <v>585</v>
      </c>
      <c r="K64" s="4" t="s">
        <v>185</v>
      </c>
      <c r="L64" s="4" t="s">
        <v>50</v>
      </c>
    </row>
    <row r="65" spans="1:12" ht="28.5">
      <c r="A65" s="4">
        <v>62</v>
      </c>
      <c r="B65" s="4" t="s">
        <v>84</v>
      </c>
      <c r="C65" s="4" t="s">
        <v>191</v>
      </c>
      <c r="D65" s="4" t="s">
        <v>192</v>
      </c>
      <c r="E65" s="4" t="s">
        <v>193</v>
      </c>
      <c r="F65" s="4" t="s">
        <v>88</v>
      </c>
      <c r="G65" s="4" t="s">
        <v>67</v>
      </c>
      <c r="H65" s="4" t="s">
        <v>89</v>
      </c>
      <c r="I65" s="4" t="s">
        <v>55</v>
      </c>
      <c r="J65" s="4" t="s">
        <v>581</v>
      </c>
      <c r="K65" s="4" t="s">
        <v>194</v>
      </c>
      <c r="L65" s="4" t="s">
        <v>50</v>
      </c>
    </row>
    <row r="66" spans="1:12" ht="57">
      <c r="A66" s="4">
        <v>63</v>
      </c>
      <c r="B66" s="4" t="s">
        <v>84</v>
      </c>
      <c r="C66" s="4" t="s">
        <v>191</v>
      </c>
      <c r="D66" s="4" t="s">
        <v>195</v>
      </c>
      <c r="E66" s="4" t="s">
        <v>196</v>
      </c>
      <c r="F66" s="4" t="s">
        <v>93</v>
      </c>
      <c r="G66" s="4" t="s">
        <v>67</v>
      </c>
      <c r="H66" s="4" t="s">
        <v>94</v>
      </c>
      <c r="I66" s="4" t="s">
        <v>55</v>
      </c>
      <c r="J66" s="4" t="s">
        <v>643</v>
      </c>
      <c r="K66" s="4" t="s">
        <v>194</v>
      </c>
      <c r="L66" s="4" t="s">
        <v>50</v>
      </c>
    </row>
    <row r="67" spans="1:12" ht="28.5">
      <c r="A67" s="4">
        <v>64</v>
      </c>
      <c r="B67" s="4" t="s">
        <v>84</v>
      </c>
      <c r="C67" s="4" t="s">
        <v>191</v>
      </c>
      <c r="D67" s="4" t="s">
        <v>197</v>
      </c>
      <c r="E67" s="4" t="s">
        <v>196</v>
      </c>
      <c r="F67" s="4" t="s">
        <v>96</v>
      </c>
      <c r="G67" s="4" t="s">
        <v>67</v>
      </c>
      <c r="H67" s="4" t="s">
        <v>94</v>
      </c>
      <c r="I67" s="4" t="s">
        <v>55</v>
      </c>
      <c r="J67" s="4" t="s">
        <v>584</v>
      </c>
      <c r="K67" s="4" t="s">
        <v>194</v>
      </c>
      <c r="L67" s="4" t="s">
        <v>50</v>
      </c>
    </row>
    <row r="68" spans="1:12">
      <c r="A68" s="4">
        <v>65</v>
      </c>
      <c r="B68" s="4" t="s">
        <v>84</v>
      </c>
      <c r="C68" s="4" t="s">
        <v>191</v>
      </c>
      <c r="D68" s="4" t="s">
        <v>198</v>
      </c>
      <c r="E68" s="4" t="s">
        <v>199</v>
      </c>
      <c r="F68" s="4" t="s">
        <v>99</v>
      </c>
      <c r="G68" s="4" t="s">
        <v>67</v>
      </c>
      <c r="H68" s="4" t="s">
        <v>100</v>
      </c>
      <c r="I68" s="4" t="s">
        <v>55</v>
      </c>
      <c r="J68" s="4" t="s">
        <v>585</v>
      </c>
      <c r="K68" s="4" t="s">
        <v>194</v>
      </c>
      <c r="L68" s="4" t="s">
        <v>50</v>
      </c>
    </row>
    <row r="69" spans="1:12" ht="42.75">
      <c r="A69" s="4">
        <v>66</v>
      </c>
      <c r="B69" s="4" t="s">
        <v>84</v>
      </c>
      <c r="C69" s="4" t="s">
        <v>200</v>
      </c>
      <c r="D69" s="4" t="s">
        <v>42</v>
      </c>
      <c r="E69" s="4" t="s">
        <v>201</v>
      </c>
      <c r="F69" s="4" t="s">
        <v>42</v>
      </c>
      <c r="G69" s="4" t="s">
        <v>67</v>
      </c>
      <c r="H69" s="4" t="s">
        <v>202</v>
      </c>
      <c r="I69" s="4" t="s">
        <v>55</v>
      </c>
      <c r="J69" s="4" t="s">
        <v>586</v>
      </c>
      <c r="K69" s="4" t="s">
        <v>203</v>
      </c>
      <c r="L69" s="4" t="s">
        <v>57</v>
      </c>
    </row>
    <row r="70" spans="1:12" ht="42.75">
      <c r="A70" s="4">
        <v>67</v>
      </c>
      <c r="B70" s="4" t="s">
        <v>84</v>
      </c>
      <c r="C70" s="4" t="s">
        <v>200</v>
      </c>
      <c r="D70" s="4" t="s">
        <v>204</v>
      </c>
      <c r="E70" s="4" t="s">
        <v>205</v>
      </c>
      <c r="F70" s="4" t="s">
        <v>206</v>
      </c>
      <c r="G70" s="4" t="s">
        <v>67</v>
      </c>
      <c r="H70" s="4" t="s">
        <v>202</v>
      </c>
      <c r="I70" s="4" t="s">
        <v>55</v>
      </c>
      <c r="J70" s="4" t="s">
        <v>587</v>
      </c>
      <c r="K70" s="4" t="s">
        <v>203</v>
      </c>
      <c r="L70" s="4" t="s">
        <v>57</v>
      </c>
    </row>
    <row r="71" spans="1:12" ht="42.75">
      <c r="A71" s="4">
        <v>68</v>
      </c>
      <c r="B71" s="4" t="s">
        <v>84</v>
      </c>
      <c r="C71" s="4" t="s">
        <v>200</v>
      </c>
      <c r="D71" s="4" t="s">
        <v>42</v>
      </c>
      <c r="E71" s="4" t="s">
        <v>207</v>
      </c>
      <c r="F71" s="4" t="s">
        <v>42</v>
      </c>
      <c r="G71" s="4" t="s">
        <v>67</v>
      </c>
      <c r="H71" s="4" t="s">
        <v>202</v>
      </c>
      <c r="I71" s="4" t="s">
        <v>55</v>
      </c>
      <c r="J71" s="4" t="s">
        <v>588</v>
      </c>
      <c r="K71" s="4" t="s">
        <v>203</v>
      </c>
      <c r="L71" s="4" t="s">
        <v>57</v>
      </c>
    </row>
    <row r="72" spans="1:12" ht="156.75">
      <c r="A72" s="4">
        <v>69</v>
      </c>
      <c r="B72" s="4" t="s">
        <v>84</v>
      </c>
      <c r="C72" s="4" t="s">
        <v>200</v>
      </c>
      <c r="D72" s="4" t="s">
        <v>42</v>
      </c>
      <c r="E72" s="4" t="s">
        <v>208</v>
      </c>
      <c r="F72" s="4" t="s">
        <v>209</v>
      </c>
      <c r="G72" s="4" t="s">
        <v>210</v>
      </c>
      <c r="H72" s="4" t="s">
        <v>202</v>
      </c>
      <c r="I72" s="4" t="s">
        <v>55</v>
      </c>
      <c r="J72" s="4" t="s">
        <v>636</v>
      </c>
      <c r="K72" s="4" t="s">
        <v>203</v>
      </c>
      <c r="L72" s="4" t="s">
        <v>57</v>
      </c>
    </row>
    <row r="73" spans="1:12" ht="42.75">
      <c r="A73" s="4">
        <v>70</v>
      </c>
      <c r="B73" s="4" t="s">
        <v>84</v>
      </c>
      <c r="C73" s="4" t="s">
        <v>200</v>
      </c>
      <c r="D73" s="4" t="s">
        <v>42</v>
      </c>
      <c r="E73" s="4" t="s">
        <v>211</v>
      </c>
      <c r="F73" s="4" t="s">
        <v>42</v>
      </c>
      <c r="G73" s="4" t="s">
        <v>67</v>
      </c>
      <c r="H73" s="4" t="s">
        <v>202</v>
      </c>
      <c r="I73" s="4" t="s">
        <v>55</v>
      </c>
      <c r="J73" s="4" t="s">
        <v>572</v>
      </c>
      <c r="K73" s="4" t="s">
        <v>203</v>
      </c>
      <c r="L73" s="4" t="s">
        <v>57</v>
      </c>
    </row>
    <row r="74" spans="1:12" ht="42.75">
      <c r="A74" s="4">
        <v>71</v>
      </c>
      <c r="B74" s="4" t="s">
        <v>84</v>
      </c>
      <c r="C74" s="4" t="s">
        <v>200</v>
      </c>
      <c r="D74" s="4" t="s">
        <v>42</v>
      </c>
      <c r="E74" s="4" t="s">
        <v>212</v>
      </c>
      <c r="F74" s="4" t="s">
        <v>42</v>
      </c>
      <c r="G74" s="4" t="s">
        <v>67</v>
      </c>
      <c r="H74" s="4" t="s">
        <v>202</v>
      </c>
      <c r="I74" s="4" t="s">
        <v>55</v>
      </c>
      <c r="J74" s="4" t="s">
        <v>590</v>
      </c>
      <c r="K74" s="4" t="s">
        <v>203</v>
      </c>
      <c r="L74" s="4" t="s">
        <v>57</v>
      </c>
    </row>
    <row r="75" spans="1:12" ht="42.75">
      <c r="A75" s="4">
        <v>72</v>
      </c>
      <c r="B75" s="4" t="s">
        <v>84</v>
      </c>
      <c r="C75" s="4" t="s">
        <v>200</v>
      </c>
      <c r="D75" s="4" t="s">
        <v>213</v>
      </c>
      <c r="E75" s="4" t="s">
        <v>214</v>
      </c>
      <c r="F75" s="4" t="s">
        <v>42</v>
      </c>
      <c r="G75" s="4" t="s">
        <v>67</v>
      </c>
      <c r="H75" s="4" t="s">
        <v>202</v>
      </c>
      <c r="I75" s="4" t="s">
        <v>55</v>
      </c>
      <c r="J75" s="4" t="s">
        <v>591</v>
      </c>
      <c r="K75" s="4" t="s">
        <v>203</v>
      </c>
      <c r="L75" s="4" t="s">
        <v>57</v>
      </c>
    </row>
    <row r="76" spans="1:12" ht="28.5">
      <c r="A76" s="4">
        <v>73</v>
      </c>
      <c r="B76" s="4" t="s">
        <v>84</v>
      </c>
      <c r="C76" s="4" t="s">
        <v>200</v>
      </c>
      <c r="D76" s="4" t="s">
        <v>215</v>
      </c>
      <c r="E76" s="4" t="s">
        <v>216</v>
      </c>
      <c r="F76" s="4" t="s">
        <v>217</v>
      </c>
      <c r="G76" s="4" t="s">
        <v>67</v>
      </c>
      <c r="H76" s="4" t="s">
        <v>218</v>
      </c>
      <c r="I76" s="4" t="s">
        <v>219</v>
      </c>
      <c r="J76" s="4" t="s">
        <v>220</v>
      </c>
      <c r="K76" s="4" t="s">
        <v>221</v>
      </c>
      <c r="L76" s="4" t="s">
        <v>50</v>
      </c>
    </row>
    <row r="77" spans="1:12" ht="28.5">
      <c r="A77" s="4">
        <v>74</v>
      </c>
      <c r="B77" s="4" t="s">
        <v>84</v>
      </c>
      <c r="C77" s="4" t="s">
        <v>222</v>
      </c>
      <c r="D77" s="4" t="s">
        <v>42</v>
      </c>
      <c r="E77" s="4" t="s">
        <v>88</v>
      </c>
      <c r="F77" s="4" t="s">
        <v>44</v>
      </c>
      <c r="G77" s="4" t="s">
        <v>223</v>
      </c>
      <c r="H77" s="4" t="s">
        <v>224</v>
      </c>
      <c r="I77" s="4" t="s">
        <v>55</v>
      </c>
      <c r="J77" s="4" t="s">
        <v>581</v>
      </c>
      <c r="K77" s="4" t="s">
        <v>225</v>
      </c>
      <c r="L77" s="4" t="s">
        <v>57</v>
      </c>
    </row>
    <row r="78" spans="1:12" ht="28.5">
      <c r="A78" s="4">
        <v>75</v>
      </c>
      <c r="B78" s="4" t="s">
        <v>84</v>
      </c>
      <c r="C78" s="4" t="s">
        <v>222</v>
      </c>
      <c r="D78" s="4" t="s">
        <v>42</v>
      </c>
      <c r="E78" s="4" t="s">
        <v>206</v>
      </c>
      <c r="F78" s="4" t="s">
        <v>62</v>
      </c>
      <c r="G78" s="4" t="s">
        <v>60</v>
      </c>
      <c r="H78" s="4" t="s">
        <v>224</v>
      </c>
      <c r="I78" s="4" t="s">
        <v>55</v>
      </c>
      <c r="J78" s="4" t="s">
        <v>587</v>
      </c>
      <c r="K78" s="4" t="s">
        <v>225</v>
      </c>
      <c r="L78" s="4" t="s">
        <v>57</v>
      </c>
    </row>
    <row r="79" spans="1:12" ht="28.5">
      <c r="A79" s="4">
        <v>76</v>
      </c>
      <c r="B79" s="4" t="s">
        <v>84</v>
      </c>
      <c r="C79" s="4" t="s">
        <v>222</v>
      </c>
      <c r="D79" s="4" t="s">
        <v>42</v>
      </c>
      <c r="E79" s="4" t="s">
        <v>226</v>
      </c>
      <c r="F79" s="4" t="s">
        <v>62</v>
      </c>
      <c r="G79" s="4" t="s">
        <v>60</v>
      </c>
      <c r="H79" s="4" t="s">
        <v>224</v>
      </c>
      <c r="I79" s="4" t="s">
        <v>55</v>
      </c>
      <c r="J79" s="4" t="s">
        <v>592</v>
      </c>
      <c r="K79" s="4" t="s">
        <v>225</v>
      </c>
      <c r="L79" s="4" t="s">
        <v>57</v>
      </c>
    </row>
    <row r="80" spans="1:12" ht="28.5">
      <c r="A80" s="4">
        <v>77</v>
      </c>
      <c r="B80" s="4" t="s">
        <v>84</v>
      </c>
      <c r="C80" s="4" t="s">
        <v>222</v>
      </c>
      <c r="D80" s="4" t="s">
        <v>42</v>
      </c>
      <c r="E80" s="4" t="s">
        <v>227</v>
      </c>
      <c r="F80" s="4" t="s">
        <v>62</v>
      </c>
      <c r="G80" s="4" t="s">
        <v>60</v>
      </c>
      <c r="H80" s="4" t="s">
        <v>224</v>
      </c>
      <c r="I80" s="4" t="s">
        <v>55</v>
      </c>
      <c r="J80" s="4" t="s">
        <v>584</v>
      </c>
      <c r="K80" s="4" t="s">
        <v>225</v>
      </c>
      <c r="L80" s="4" t="s">
        <v>57</v>
      </c>
    </row>
    <row r="81" spans="1:12" ht="28.5">
      <c r="A81" s="4">
        <v>78</v>
      </c>
      <c r="B81" s="4" t="s">
        <v>84</v>
      </c>
      <c r="C81" s="4" t="s">
        <v>222</v>
      </c>
      <c r="D81" s="4" t="s">
        <v>42</v>
      </c>
      <c r="E81" s="4" t="s">
        <v>228</v>
      </c>
      <c r="F81" s="4" t="s">
        <v>229</v>
      </c>
      <c r="G81" s="4" t="s">
        <v>230</v>
      </c>
      <c r="H81" s="4" t="s">
        <v>224</v>
      </c>
      <c r="I81" s="4" t="s">
        <v>55</v>
      </c>
      <c r="J81" s="4" t="s">
        <v>593</v>
      </c>
      <c r="K81" s="4" t="s">
        <v>225</v>
      </c>
      <c r="L81" s="4" t="s">
        <v>57</v>
      </c>
    </row>
    <row r="82" spans="1:12" ht="156.75">
      <c r="A82" s="4">
        <v>79</v>
      </c>
      <c r="B82" s="4" t="s">
        <v>84</v>
      </c>
      <c r="C82" s="4" t="s">
        <v>222</v>
      </c>
      <c r="D82" s="4" t="s">
        <v>42</v>
      </c>
      <c r="E82" s="4" t="s">
        <v>231</v>
      </c>
      <c r="F82" s="4" t="s">
        <v>209</v>
      </c>
      <c r="G82" s="4" t="s">
        <v>232</v>
      </c>
      <c r="H82" s="4" t="s">
        <v>224</v>
      </c>
      <c r="I82" s="4" t="s">
        <v>55</v>
      </c>
      <c r="J82" s="4" t="s">
        <v>636</v>
      </c>
      <c r="K82" s="4" t="s">
        <v>225</v>
      </c>
      <c r="L82" s="4" t="s">
        <v>57</v>
      </c>
    </row>
    <row r="83" spans="1:12" ht="57">
      <c r="A83" s="4">
        <v>80</v>
      </c>
      <c r="B83" s="4" t="s">
        <v>233</v>
      </c>
      <c r="C83" s="4" t="s">
        <v>234</v>
      </c>
      <c r="D83" s="4" t="s">
        <v>235</v>
      </c>
      <c r="E83" s="4" t="s">
        <v>236</v>
      </c>
      <c r="F83" s="4" t="s">
        <v>237</v>
      </c>
      <c r="G83" s="4" t="s">
        <v>67</v>
      </c>
      <c r="H83" s="4" t="s">
        <v>238</v>
      </c>
      <c r="I83" s="4" t="s">
        <v>47</v>
      </c>
      <c r="J83" s="4" t="s">
        <v>594</v>
      </c>
      <c r="K83" s="4" t="s">
        <v>239</v>
      </c>
      <c r="L83" s="4" t="s">
        <v>50</v>
      </c>
    </row>
    <row r="84" spans="1:12" ht="114">
      <c r="A84" s="4">
        <v>81</v>
      </c>
      <c r="B84" s="4" t="s">
        <v>233</v>
      </c>
      <c r="C84" s="4" t="s">
        <v>234</v>
      </c>
      <c r="D84" s="4" t="s">
        <v>240</v>
      </c>
      <c r="E84" s="4" t="s">
        <v>241</v>
      </c>
      <c r="F84" s="4" t="s">
        <v>237</v>
      </c>
      <c r="G84" s="4" t="s">
        <v>67</v>
      </c>
      <c r="H84" s="4" t="s">
        <v>238</v>
      </c>
      <c r="I84" s="4" t="s">
        <v>47</v>
      </c>
      <c r="J84" s="4" t="s">
        <v>595</v>
      </c>
      <c r="K84" s="4" t="s">
        <v>239</v>
      </c>
      <c r="L84" s="4" t="s">
        <v>50</v>
      </c>
    </row>
    <row r="85" spans="1:12" ht="28.5">
      <c r="A85" s="4">
        <v>82</v>
      </c>
      <c r="B85" s="4" t="s">
        <v>233</v>
      </c>
      <c r="C85" s="4" t="s">
        <v>234</v>
      </c>
      <c r="D85" s="4" t="s">
        <v>242</v>
      </c>
      <c r="E85" s="4" t="s">
        <v>243</v>
      </c>
      <c r="F85" s="4" t="s">
        <v>237</v>
      </c>
      <c r="G85" s="4" t="s">
        <v>67</v>
      </c>
      <c r="H85" s="4" t="s">
        <v>238</v>
      </c>
      <c r="I85" s="4" t="s">
        <v>47</v>
      </c>
      <c r="J85" s="4" t="s">
        <v>596</v>
      </c>
      <c r="K85" s="4" t="s">
        <v>239</v>
      </c>
      <c r="L85" s="4" t="s">
        <v>50</v>
      </c>
    </row>
    <row r="86" spans="1:12" ht="28.5">
      <c r="A86" s="4">
        <v>83</v>
      </c>
      <c r="B86" s="4" t="s">
        <v>233</v>
      </c>
      <c r="C86" s="4" t="s">
        <v>234</v>
      </c>
      <c r="D86" s="4" t="s">
        <v>244</v>
      </c>
      <c r="E86" s="4" t="s">
        <v>243</v>
      </c>
      <c r="F86" s="4" t="s">
        <v>237</v>
      </c>
      <c r="G86" s="4" t="s">
        <v>67</v>
      </c>
      <c r="H86" s="4" t="s">
        <v>238</v>
      </c>
      <c r="I86" s="4" t="s">
        <v>47</v>
      </c>
      <c r="J86" s="4" t="s">
        <v>596</v>
      </c>
      <c r="K86" s="4" t="s">
        <v>239</v>
      </c>
      <c r="L86" s="4" t="s">
        <v>50</v>
      </c>
    </row>
    <row r="87" spans="1:12" ht="28.5">
      <c r="A87" s="4">
        <v>84</v>
      </c>
      <c r="B87" s="4" t="s">
        <v>233</v>
      </c>
      <c r="C87" s="4" t="s">
        <v>234</v>
      </c>
      <c r="D87" s="4" t="s">
        <v>245</v>
      </c>
      <c r="E87" s="4" t="s">
        <v>243</v>
      </c>
      <c r="F87" s="4" t="s">
        <v>237</v>
      </c>
      <c r="G87" s="4" t="s">
        <v>67</v>
      </c>
      <c r="H87" s="4" t="s">
        <v>238</v>
      </c>
      <c r="I87" s="4" t="s">
        <v>47</v>
      </c>
      <c r="J87" s="4" t="s">
        <v>596</v>
      </c>
      <c r="K87" s="4" t="s">
        <v>239</v>
      </c>
      <c r="L87" s="4" t="s">
        <v>50</v>
      </c>
    </row>
    <row r="88" spans="1:12" ht="28.5">
      <c r="A88" s="4">
        <v>85</v>
      </c>
      <c r="B88" s="4" t="s">
        <v>233</v>
      </c>
      <c r="C88" s="4" t="s">
        <v>234</v>
      </c>
      <c r="D88" s="4" t="s">
        <v>246</v>
      </c>
      <c r="E88" s="4" t="s">
        <v>247</v>
      </c>
      <c r="F88" s="4" t="s">
        <v>237</v>
      </c>
      <c r="G88" s="4" t="s">
        <v>67</v>
      </c>
      <c r="H88" s="4" t="s">
        <v>238</v>
      </c>
      <c r="I88" s="4" t="s">
        <v>47</v>
      </c>
      <c r="J88" s="4" t="s">
        <v>596</v>
      </c>
      <c r="K88" s="4" t="s">
        <v>239</v>
      </c>
      <c r="L88" s="4" t="s">
        <v>50</v>
      </c>
    </row>
    <row r="89" spans="1:12" ht="28.5">
      <c r="A89" s="4">
        <v>86</v>
      </c>
      <c r="B89" s="4" t="s">
        <v>233</v>
      </c>
      <c r="C89" s="4" t="s">
        <v>234</v>
      </c>
      <c r="D89" s="4" t="s">
        <v>248</v>
      </c>
      <c r="E89" s="4" t="s">
        <v>249</v>
      </c>
      <c r="F89" s="4" t="s">
        <v>237</v>
      </c>
      <c r="G89" s="4" t="s">
        <v>67</v>
      </c>
      <c r="H89" s="4" t="s">
        <v>238</v>
      </c>
      <c r="I89" s="4" t="s">
        <v>47</v>
      </c>
      <c r="J89" s="4" t="s">
        <v>596</v>
      </c>
      <c r="K89" s="4" t="s">
        <v>239</v>
      </c>
      <c r="L89" s="4" t="s">
        <v>50</v>
      </c>
    </row>
    <row r="90" spans="1:12" ht="28.5">
      <c r="A90" s="4">
        <v>87</v>
      </c>
      <c r="B90" s="4" t="s">
        <v>233</v>
      </c>
      <c r="C90" s="4" t="s">
        <v>234</v>
      </c>
      <c r="D90" s="4" t="s">
        <v>250</v>
      </c>
      <c r="E90" s="4" t="s">
        <v>251</v>
      </c>
      <c r="F90" s="4" t="s">
        <v>237</v>
      </c>
      <c r="G90" s="4" t="s">
        <v>67</v>
      </c>
      <c r="H90" s="4" t="s">
        <v>238</v>
      </c>
      <c r="I90" s="4" t="s">
        <v>55</v>
      </c>
      <c r="J90" s="4" t="s">
        <v>596</v>
      </c>
      <c r="K90" s="4" t="s">
        <v>239</v>
      </c>
      <c r="L90" s="4" t="s">
        <v>50</v>
      </c>
    </row>
    <row r="91" spans="1:12" ht="28.5">
      <c r="A91" s="4">
        <v>88</v>
      </c>
      <c r="B91" s="4" t="s">
        <v>233</v>
      </c>
      <c r="C91" s="4" t="s">
        <v>234</v>
      </c>
      <c r="D91" s="4" t="s">
        <v>252</v>
      </c>
      <c r="E91" s="4" t="s">
        <v>251</v>
      </c>
      <c r="F91" s="4" t="s">
        <v>237</v>
      </c>
      <c r="G91" s="4" t="s">
        <v>67</v>
      </c>
      <c r="H91" s="4" t="s">
        <v>238</v>
      </c>
      <c r="I91" s="4" t="s">
        <v>55</v>
      </c>
      <c r="J91" s="4" t="s">
        <v>596</v>
      </c>
      <c r="K91" s="4" t="s">
        <v>239</v>
      </c>
      <c r="L91" s="4" t="s">
        <v>50</v>
      </c>
    </row>
    <row r="92" spans="1:12" ht="28.5">
      <c r="A92" s="4">
        <v>89</v>
      </c>
      <c r="B92" s="4" t="s">
        <v>233</v>
      </c>
      <c r="C92" s="4" t="s">
        <v>234</v>
      </c>
      <c r="D92" s="4" t="s">
        <v>253</v>
      </c>
      <c r="E92" s="4" t="s">
        <v>254</v>
      </c>
      <c r="F92" s="4" t="s">
        <v>237</v>
      </c>
      <c r="G92" s="4" t="s">
        <v>67</v>
      </c>
      <c r="H92" s="4" t="s">
        <v>238</v>
      </c>
      <c r="I92" s="4" t="s">
        <v>55</v>
      </c>
      <c r="J92" s="4" t="s">
        <v>596</v>
      </c>
      <c r="K92" s="4" t="s">
        <v>239</v>
      </c>
      <c r="L92" s="4" t="s">
        <v>50</v>
      </c>
    </row>
    <row r="93" spans="1:12" ht="28.5">
      <c r="A93" s="4">
        <v>90</v>
      </c>
      <c r="B93" s="4" t="s">
        <v>233</v>
      </c>
      <c r="C93" s="4" t="s">
        <v>234</v>
      </c>
      <c r="D93" s="4" t="s">
        <v>42</v>
      </c>
      <c r="E93" s="4" t="s">
        <v>255</v>
      </c>
      <c r="F93" s="4" t="s">
        <v>237</v>
      </c>
      <c r="G93" s="4" t="s">
        <v>67</v>
      </c>
      <c r="H93" s="4" t="s">
        <v>256</v>
      </c>
      <c r="I93" s="4" t="s">
        <v>55</v>
      </c>
      <c r="J93" s="4" t="s">
        <v>597</v>
      </c>
      <c r="K93" s="4" t="s">
        <v>239</v>
      </c>
      <c r="L93" s="4" t="s">
        <v>50</v>
      </c>
    </row>
    <row r="94" spans="1:12" ht="57">
      <c r="A94" s="4">
        <v>91</v>
      </c>
      <c r="B94" s="4" t="s">
        <v>233</v>
      </c>
      <c r="C94" s="4" t="s">
        <v>234</v>
      </c>
      <c r="D94" s="4" t="s">
        <v>257</v>
      </c>
      <c r="E94" s="4" t="s">
        <v>258</v>
      </c>
      <c r="F94" s="4" t="s">
        <v>237</v>
      </c>
      <c r="G94" s="4" t="s">
        <v>67</v>
      </c>
      <c r="H94" s="4" t="s">
        <v>238</v>
      </c>
      <c r="I94" s="4" t="s">
        <v>47</v>
      </c>
      <c r="J94" s="4" t="s">
        <v>598</v>
      </c>
      <c r="K94" s="4" t="s">
        <v>239</v>
      </c>
      <c r="L94" s="4" t="s">
        <v>50</v>
      </c>
    </row>
    <row r="95" spans="1:12" ht="57">
      <c r="A95" s="4">
        <v>92</v>
      </c>
      <c r="B95" s="4" t="s">
        <v>233</v>
      </c>
      <c r="C95" s="4" t="s">
        <v>234</v>
      </c>
      <c r="D95" s="4" t="s">
        <v>259</v>
      </c>
      <c r="E95" s="4" t="s">
        <v>260</v>
      </c>
      <c r="F95" s="4" t="s">
        <v>237</v>
      </c>
      <c r="G95" s="4" t="s">
        <v>67</v>
      </c>
      <c r="H95" s="4" t="s">
        <v>238</v>
      </c>
      <c r="I95" s="4" t="s">
        <v>55</v>
      </c>
      <c r="J95" s="4" t="s">
        <v>598</v>
      </c>
      <c r="K95" s="4" t="s">
        <v>239</v>
      </c>
      <c r="L95" s="4" t="s">
        <v>50</v>
      </c>
    </row>
    <row r="96" spans="1:12" ht="28.5">
      <c r="A96" s="4">
        <v>93</v>
      </c>
      <c r="B96" s="4" t="s">
        <v>233</v>
      </c>
      <c r="C96" s="4" t="s">
        <v>234</v>
      </c>
      <c r="D96" s="4" t="s">
        <v>42</v>
      </c>
      <c r="E96" s="4" t="s">
        <v>261</v>
      </c>
      <c r="F96" s="4" t="s">
        <v>237</v>
      </c>
      <c r="G96" s="4" t="s">
        <v>67</v>
      </c>
      <c r="H96" s="4" t="s">
        <v>256</v>
      </c>
      <c r="I96" s="4" t="s">
        <v>55</v>
      </c>
      <c r="J96" s="4" t="s">
        <v>573</v>
      </c>
      <c r="K96" s="4" t="s">
        <v>239</v>
      </c>
      <c r="L96" s="4" t="s">
        <v>50</v>
      </c>
    </row>
    <row r="97" spans="1:12" ht="28.5">
      <c r="A97" s="4">
        <v>94</v>
      </c>
      <c r="B97" s="4" t="s">
        <v>233</v>
      </c>
      <c r="C97" s="4" t="s">
        <v>234</v>
      </c>
      <c r="D97" s="4" t="s">
        <v>42</v>
      </c>
      <c r="E97" s="4" t="s">
        <v>262</v>
      </c>
      <c r="F97" s="4" t="s">
        <v>237</v>
      </c>
      <c r="G97" s="4" t="s">
        <v>67</v>
      </c>
      <c r="H97" s="4" t="s">
        <v>256</v>
      </c>
      <c r="I97" s="4" t="s">
        <v>55</v>
      </c>
      <c r="J97" s="4" t="s">
        <v>589</v>
      </c>
      <c r="K97" s="4" t="s">
        <v>239</v>
      </c>
      <c r="L97" s="4" t="s">
        <v>50</v>
      </c>
    </row>
    <row r="98" spans="1:12" ht="28.5">
      <c r="A98" s="4">
        <v>95</v>
      </c>
      <c r="B98" s="4" t="s">
        <v>233</v>
      </c>
      <c r="C98" s="4" t="s">
        <v>234</v>
      </c>
      <c r="D98" s="4" t="s">
        <v>42</v>
      </c>
      <c r="E98" s="4" t="s">
        <v>263</v>
      </c>
      <c r="F98" s="4" t="s">
        <v>237</v>
      </c>
      <c r="G98" s="4" t="s">
        <v>67</v>
      </c>
      <c r="H98" s="4" t="s">
        <v>256</v>
      </c>
      <c r="I98" s="4" t="s">
        <v>55</v>
      </c>
      <c r="J98" s="4" t="s">
        <v>599</v>
      </c>
      <c r="K98" s="4" t="s">
        <v>239</v>
      </c>
      <c r="L98" s="4" t="s">
        <v>50</v>
      </c>
    </row>
    <row r="99" spans="1:12" ht="28.5">
      <c r="A99" s="4">
        <v>96</v>
      </c>
      <c r="B99" s="4" t="s">
        <v>233</v>
      </c>
      <c r="C99" s="4" t="s">
        <v>234</v>
      </c>
      <c r="D99" s="4" t="s">
        <v>42</v>
      </c>
      <c r="E99" s="4" t="s">
        <v>264</v>
      </c>
      <c r="F99" s="4" t="s">
        <v>237</v>
      </c>
      <c r="G99" s="4" t="s">
        <v>67</v>
      </c>
      <c r="H99" s="4" t="s">
        <v>256</v>
      </c>
      <c r="I99" s="4" t="s">
        <v>55</v>
      </c>
      <c r="J99" s="4" t="s">
        <v>600</v>
      </c>
      <c r="K99" s="4" t="s">
        <v>239</v>
      </c>
      <c r="L99" s="4" t="s">
        <v>50</v>
      </c>
    </row>
    <row r="100" spans="1:12" ht="28.5">
      <c r="A100" s="4">
        <v>97</v>
      </c>
      <c r="B100" s="4" t="s">
        <v>233</v>
      </c>
      <c r="C100" s="4" t="s">
        <v>234</v>
      </c>
      <c r="D100" s="4" t="s">
        <v>42</v>
      </c>
      <c r="E100" s="4" t="s">
        <v>265</v>
      </c>
      <c r="F100" s="4" t="s">
        <v>237</v>
      </c>
      <c r="G100" s="4" t="s">
        <v>67</v>
      </c>
      <c r="H100" s="4" t="s">
        <v>256</v>
      </c>
      <c r="I100" s="4" t="s">
        <v>55</v>
      </c>
      <c r="J100" s="4" t="s">
        <v>601</v>
      </c>
      <c r="K100" s="4" t="s">
        <v>239</v>
      </c>
      <c r="L100" s="4" t="s">
        <v>50</v>
      </c>
    </row>
    <row r="101" spans="1:12" ht="28.5">
      <c r="A101" s="4">
        <v>98</v>
      </c>
      <c r="B101" s="4" t="s">
        <v>233</v>
      </c>
      <c r="C101" s="4" t="s">
        <v>234</v>
      </c>
      <c r="D101" s="4" t="s">
        <v>42</v>
      </c>
      <c r="E101" s="4" t="s">
        <v>266</v>
      </c>
      <c r="F101" s="4" t="s">
        <v>237</v>
      </c>
      <c r="G101" s="4" t="s">
        <v>67</v>
      </c>
      <c r="H101" s="4" t="s">
        <v>256</v>
      </c>
      <c r="I101" s="4" t="s">
        <v>55</v>
      </c>
      <c r="J101" s="4">
        <v>5291</v>
      </c>
      <c r="K101" s="4" t="s">
        <v>239</v>
      </c>
      <c r="L101" s="4" t="s">
        <v>50</v>
      </c>
    </row>
    <row r="102" spans="1:12" ht="28.5">
      <c r="A102" s="4">
        <v>99</v>
      </c>
      <c r="B102" s="4" t="s">
        <v>233</v>
      </c>
      <c r="C102" s="4" t="s">
        <v>234</v>
      </c>
      <c r="D102" s="4" t="s">
        <v>42</v>
      </c>
      <c r="E102" s="4" t="s">
        <v>267</v>
      </c>
      <c r="F102" s="4" t="s">
        <v>237</v>
      </c>
      <c r="G102" s="4" t="s">
        <v>67</v>
      </c>
      <c r="H102" s="4" t="s">
        <v>256</v>
      </c>
      <c r="I102" s="4" t="s">
        <v>55</v>
      </c>
      <c r="J102" s="4" t="s">
        <v>602</v>
      </c>
      <c r="K102" s="4" t="s">
        <v>239</v>
      </c>
      <c r="L102" s="4" t="s">
        <v>50</v>
      </c>
    </row>
    <row r="103" spans="1:12" ht="28.5">
      <c r="A103" s="4">
        <v>100</v>
      </c>
      <c r="B103" s="4" t="s">
        <v>233</v>
      </c>
      <c r="C103" s="4" t="s">
        <v>234</v>
      </c>
      <c r="D103" s="4" t="s">
        <v>42</v>
      </c>
      <c r="E103" s="4" t="s">
        <v>268</v>
      </c>
      <c r="F103" s="4" t="s">
        <v>237</v>
      </c>
      <c r="G103" s="4" t="s">
        <v>67</v>
      </c>
      <c r="H103" s="4" t="s">
        <v>256</v>
      </c>
      <c r="I103" s="4" t="s">
        <v>55</v>
      </c>
      <c r="J103" s="4" t="s">
        <v>603</v>
      </c>
      <c r="K103" s="4" t="s">
        <v>239</v>
      </c>
      <c r="L103" s="4" t="s">
        <v>50</v>
      </c>
    </row>
    <row r="104" spans="1:12" ht="28.5">
      <c r="A104" s="4">
        <v>101</v>
      </c>
      <c r="B104" s="4" t="s">
        <v>233</v>
      </c>
      <c r="C104" s="4" t="s">
        <v>234</v>
      </c>
      <c r="D104" s="4" t="s">
        <v>42</v>
      </c>
      <c r="E104" s="4" t="s">
        <v>269</v>
      </c>
      <c r="F104" s="4" t="s">
        <v>237</v>
      </c>
      <c r="G104" s="4" t="s">
        <v>67</v>
      </c>
      <c r="H104" s="4" t="s">
        <v>256</v>
      </c>
      <c r="I104" s="4" t="s">
        <v>55</v>
      </c>
      <c r="J104" s="4" t="s">
        <v>604</v>
      </c>
      <c r="K104" s="4" t="s">
        <v>239</v>
      </c>
      <c r="L104" s="4" t="s">
        <v>50</v>
      </c>
    </row>
    <row r="105" spans="1:12" ht="28.5">
      <c r="A105" s="4">
        <v>102</v>
      </c>
      <c r="B105" s="4" t="s">
        <v>233</v>
      </c>
      <c r="C105" s="4" t="s">
        <v>234</v>
      </c>
      <c r="D105" s="4" t="s">
        <v>42</v>
      </c>
      <c r="E105" s="4" t="s">
        <v>270</v>
      </c>
      <c r="F105" s="4" t="s">
        <v>237</v>
      </c>
      <c r="G105" s="4" t="s">
        <v>67</v>
      </c>
      <c r="H105" s="4" t="s">
        <v>256</v>
      </c>
      <c r="I105" s="4" t="s">
        <v>55</v>
      </c>
      <c r="J105" s="4" t="s">
        <v>605</v>
      </c>
      <c r="K105" s="4" t="s">
        <v>239</v>
      </c>
      <c r="L105" s="4" t="s">
        <v>50</v>
      </c>
    </row>
    <row r="106" spans="1:12" ht="28.5">
      <c r="A106" s="4">
        <v>103</v>
      </c>
      <c r="B106" s="4" t="s">
        <v>233</v>
      </c>
      <c r="C106" s="4" t="s">
        <v>234</v>
      </c>
      <c r="D106" s="4" t="s">
        <v>42</v>
      </c>
      <c r="E106" s="4" t="s">
        <v>271</v>
      </c>
      <c r="F106" s="4" t="s">
        <v>237</v>
      </c>
      <c r="G106" s="4" t="s">
        <v>67</v>
      </c>
      <c r="H106" s="4" t="s">
        <v>256</v>
      </c>
      <c r="I106" s="4" t="s">
        <v>55</v>
      </c>
      <c r="J106" s="4" t="s">
        <v>610</v>
      </c>
      <c r="K106" s="4" t="s">
        <v>239</v>
      </c>
      <c r="L106" s="4" t="s">
        <v>50</v>
      </c>
    </row>
    <row r="107" spans="1:12" ht="28.5">
      <c r="A107" s="4">
        <v>104</v>
      </c>
      <c r="B107" s="4" t="s">
        <v>233</v>
      </c>
      <c r="C107" s="4" t="s">
        <v>234</v>
      </c>
      <c r="D107" s="4" t="s">
        <v>42</v>
      </c>
      <c r="E107" s="4" t="s">
        <v>272</v>
      </c>
      <c r="F107" s="4" t="s">
        <v>237</v>
      </c>
      <c r="G107" s="4" t="s">
        <v>67</v>
      </c>
      <c r="H107" s="4" t="s">
        <v>256</v>
      </c>
      <c r="I107" s="4" t="s">
        <v>55</v>
      </c>
      <c r="J107" s="4" t="s">
        <v>611</v>
      </c>
      <c r="K107" s="4" t="s">
        <v>239</v>
      </c>
      <c r="L107" s="4" t="s">
        <v>50</v>
      </c>
    </row>
    <row r="108" spans="1:12" ht="99.75">
      <c r="A108" s="4">
        <v>105</v>
      </c>
      <c r="B108" s="4" t="s">
        <v>233</v>
      </c>
      <c r="C108" s="4" t="s">
        <v>234</v>
      </c>
      <c r="D108" s="4" t="s">
        <v>42</v>
      </c>
      <c r="E108" s="4" t="s">
        <v>273</v>
      </c>
      <c r="F108" s="4" t="s">
        <v>237</v>
      </c>
      <c r="G108" s="4" t="s">
        <v>67</v>
      </c>
      <c r="H108" s="4" t="s">
        <v>256</v>
      </c>
      <c r="I108" s="4" t="s">
        <v>55</v>
      </c>
      <c r="J108" s="4" t="s">
        <v>634</v>
      </c>
      <c r="K108" s="4" t="s">
        <v>239</v>
      </c>
      <c r="L108" s="4" t="s">
        <v>50</v>
      </c>
    </row>
    <row r="109" spans="1:12" ht="99.75">
      <c r="A109" s="4">
        <v>106</v>
      </c>
      <c r="B109" s="4" t="s">
        <v>233</v>
      </c>
      <c r="C109" s="4" t="s">
        <v>234</v>
      </c>
      <c r="D109" s="4" t="s">
        <v>42</v>
      </c>
      <c r="E109" s="4" t="s">
        <v>274</v>
      </c>
      <c r="F109" s="4" t="s">
        <v>237</v>
      </c>
      <c r="G109" s="4" t="s">
        <v>67</v>
      </c>
      <c r="H109" s="4" t="s">
        <v>256</v>
      </c>
      <c r="I109" s="4" t="s">
        <v>55</v>
      </c>
      <c r="J109" s="4" t="s">
        <v>634</v>
      </c>
      <c r="K109" s="4" t="s">
        <v>239</v>
      </c>
      <c r="L109" s="4" t="s">
        <v>50</v>
      </c>
    </row>
    <row r="110" spans="1:12" ht="99.75">
      <c r="A110" s="4">
        <v>107</v>
      </c>
      <c r="B110" s="4" t="s">
        <v>233</v>
      </c>
      <c r="C110" s="4" t="s">
        <v>234</v>
      </c>
      <c r="D110" s="4" t="s">
        <v>42</v>
      </c>
      <c r="E110" s="4" t="s">
        <v>275</v>
      </c>
      <c r="F110" s="4" t="s">
        <v>237</v>
      </c>
      <c r="G110" s="4" t="s">
        <v>67</v>
      </c>
      <c r="H110" s="4" t="s">
        <v>256</v>
      </c>
      <c r="I110" s="4" t="s">
        <v>55</v>
      </c>
      <c r="J110" s="4" t="s">
        <v>634</v>
      </c>
      <c r="K110" s="4" t="s">
        <v>239</v>
      </c>
      <c r="L110" s="4" t="s">
        <v>50</v>
      </c>
    </row>
    <row r="111" spans="1:12" ht="28.5">
      <c r="A111" s="4">
        <v>108</v>
      </c>
      <c r="B111" s="4" t="s">
        <v>233</v>
      </c>
      <c r="C111" s="4" t="s">
        <v>234</v>
      </c>
      <c r="D111" s="4" t="s">
        <v>42</v>
      </c>
      <c r="E111" s="4" t="s">
        <v>276</v>
      </c>
      <c r="F111" s="4" t="s">
        <v>237</v>
      </c>
      <c r="G111" s="4" t="s">
        <v>67</v>
      </c>
      <c r="H111" s="4" t="s">
        <v>256</v>
      </c>
      <c r="I111" s="4" t="s">
        <v>55</v>
      </c>
      <c r="J111" s="4" t="s">
        <v>629</v>
      </c>
      <c r="K111" s="4" t="s">
        <v>239</v>
      </c>
      <c r="L111" s="4" t="s">
        <v>50</v>
      </c>
    </row>
    <row r="112" spans="1:12" ht="28.5">
      <c r="A112" s="4">
        <v>109</v>
      </c>
      <c r="B112" s="4" t="s">
        <v>233</v>
      </c>
      <c r="C112" s="4" t="s">
        <v>234</v>
      </c>
      <c r="D112" s="4" t="s">
        <v>42</v>
      </c>
      <c r="E112" s="4" t="s">
        <v>277</v>
      </c>
      <c r="F112" s="4" t="s">
        <v>237</v>
      </c>
      <c r="G112" s="4" t="s">
        <v>67</v>
      </c>
      <c r="H112" s="4" t="s">
        <v>256</v>
      </c>
      <c r="I112" s="4" t="s">
        <v>55</v>
      </c>
      <c r="J112" s="4" t="s">
        <v>628</v>
      </c>
      <c r="K112" s="4" t="s">
        <v>239</v>
      </c>
      <c r="L112" s="4" t="s">
        <v>50</v>
      </c>
    </row>
    <row r="113" spans="1:12" ht="57">
      <c r="A113" s="4">
        <v>110</v>
      </c>
      <c r="B113" s="4" t="s">
        <v>233</v>
      </c>
      <c r="C113" s="4" t="s">
        <v>234</v>
      </c>
      <c r="D113" s="4" t="s">
        <v>42</v>
      </c>
      <c r="E113" s="4" t="s">
        <v>278</v>
      </c>
      <c r="F113" s="4" t="s">
        <v>237</v>
      </c>
      <c r="G113" s="4" t="s">
        <v>67</v>
      </c>
      <c r="H113" s="4" t="s">
        <v>256</v>
      </c>
      <c r="I113" s="4" t="s">
        <v>55</v>
      </c>
      <c r="J113" s="4" t="s">
        <v>614</v>
      </c>
      <c r="K113" s="4" t="s">
        <v>239</v>
      </c>
      <c r="L113" s="4" t="s">
        <v>50</v>
      </c>
    </row>
    <row r="114" spans="1:12" ht="57">
      <c r="A114" s="4">
        <v>111</v>
      </c>
      <c r="B114" s="4" t="s">
        <v>233</v>
      </c>
      <c r="C114" s="4" t="s">
        <v>234</v>
      </c>
      <c r="D114" s="4" t="s">
        <v>42</v>
      </c>
      <c r="E114" s="4" t="s">
        <v>279</v>
      </c>
      <c r="F114" s="4" t="s">
        <v>237</v>
      </c>
      <c r="G114" s="4" t="s">
        <v>67</v>
      </c>
      <c r="H114" s="4" t="s">
        <v>256</v>
      </c>
      <c r="I114" s="4" t="s">
        <v>55</v>
      </c>
      <c r="J114" s="4" t="s">
        <v>615</v>
      </c>
      <c r="K114" s="4" t="s">
        <v>239</v>
      </c>
      <c r="L114" s="4" t="s">
        <v>50</v>
      </c>
    </row>
    <row r="115" spans="1:12" ht="57">
      <c r="A115" s="4">
        <v>112</v>
      </c>
      <c r="B115" s="4" t="s">
        <v>233</v>
      </c>
      <c r="C115" s="4" t="s">
        <v>234</v>
      </c>
      <c r="D115" s="4" t="s">
        <v>42</v>
      </c>
      <c r="E115" s="4" t="s">
        <v>280</v>
      </c>
      <c r="F115" s="4" t="s">
        <v>237</v>
      </c>
      <c r="G115" s="4" t="s">
        <v>67</v>
      </c>
      <c r="H115" s="4" t="s">
        <v>256</v>
      </c>
      <c r="I115" s="4" t="s">
        <v>55</v>
      </c>
      <c r="J115" s="4" t="s">
        <v>616</v>
      </c>
      <c r="K115" s="4" t="s">
        <v>239</v>
      </c>
      <c r="L115" s="4" t="s">
        <v>50</v>
      </c>
    </row>
    <row r="116" spans="1:12" ht="79.5" customHeight="1">
      <c r="A116" s="4">
        <v>113</v>
      </c>
      <c r="B116" s="4" t="s">
        <v>233</v>
      </c>
      <c r="C116" s="4" t="s">
        <v>241</v>
      </c>
      <c r="D116" s="4" t="s">
        <v>281</v>
      </c>
      <c r="E116" s="4" t="s">
        <v>282</v>
      </c>
      <c r="F116" s="4" t="s">
        <v>237</v>
      </c>
      <c r="G116" s="4" t="s">
        <v>67</v>
      </c>
      <c r="H116" s="4" t="s">
        <v>238</v>
      </c>
      <c r="I116" s="4" t="s">
        <v>55</v>
      </c>
      <c r="J116" s="4" t="s">
        <v>617</v>
      </c>
      <c r="K116" s="4" t="s">
        <v>239</v>
      </c>
      <c r="L116" s="4" t="s">
        <v>50</v>
      </c>
    </row>
    <row r="117" spans="1:12" ht="57">
      <c r="A117" s="4">
        <v>114</v>
      </c>
      <c r="B117" s="4" t="s">
        <v>233</v>
      </c>
      <c r="C117" s="4" t="s">
        <v>241</v>
      </c>
      <c r="D117" s="4" t="s">
        <v>283</v>
      </c>
      <c r="E117" s="4" t="s">
        <v>284</v>
      </c>
      <c r="F117" s="4" t="s">
        <v>237</v>
      </c>
      <c r="G117" s="4" t="s">
        <v>67</v>
      </c>
      <c r="H117" s="4" t="s">
        <v>238</v>
      </c>
      <c r="I117" s="4" t="s">
        <v>55</v>
      </c>
      <c r="J117" s="4" t="s">
        <v>617</v>
      </c>
      <c r="K117" s="4" t="s">
        <v>239</v>
      </c>
      <c r="L117" s="4" t="s">
        <v>50</v>
      </c>
    </row>
    <row r="118" spans="1:12" ht="57">
      <c r="A118" s="4">
        <v>115</v>
      </c>
      <c r="B118" s="4" t="s">
        <v>233</v>
      </c>
      <c r="C118" s="4" t="s">
        <v>241</v>
      </c>
      <c r="D118" s="4" t="s">
        <v>285</v>
      </c>
      <c r="E118" s="4" t="s">
        <v>286</v>
      </c>
      <c r="F118" s="4" t="s">
        <v>237</v>
      </c>
      <c r="G118" s="4" t="s">
        <v>67</v>
      </c>
      <c r="H118" s="4" t="s">
        <v>238</v>
      </c>
      <c r="I118" s="4" t="s">
        <v>55</v>
      </c>
      <c r="J118" s="4" t="s">
        <v>617</v>
      </c>
      <c r="K118" s="4" t="s">
        <v>239</v>
      </c>
      <c r="L118" s="4" t="s">
        <v>50</v>
      </c>
    </row>
    <row r="119" spans="1:12" ht="57">
      <c r="A119" s="4">
        <v>116</v>
      </c>
      <c r="B119" s="4" t="s">
        <v>233</v>
      </c>
      <c r="C119" s="4" t="s">
        <v>241</v>
      </c>
      <c r="D119" s="4" t="s">
        <v>287</v>
      </c>
      <c r="E119" s="4" t="s">
        <v>288</v>
      </c>
      <c r="F119" s="4" t="s">
        <v>237</v>
      </c>
      <c r="G119" s="4" t="s">
        <v>67</v>
      </c>
      <c r="H119" s="4" t="s">
        <v>238</v>
      </c>
      <c r="I119" s="4" t="s">
        <v>55</v>
      </c>
      <c r="J119" s="4" t="s">
        <v>617</v>
      </c>
      <c r="K119" s="4" t="s">
        <v>239</v>
      </c>
      <c r="L119" s="4" t="s">
        <v>50</v>
      </c>
    </row>
    <row r="120" spans="1:12" ht="57">
      <c r="A120" s="4">
        <v>117</v>
      </c>
      <c r="B120" s="4" t="s">
        <v>233</v>
      </c>
      <c r="C120" s="4" t="s">
        <v>241</v>
      </c>
      <c r="D120" s="4" t="s">
        <v>289</v>
      </c>
      <c r="E120" s="4" t="s">
        <v>290</v>
      </c>
      <c r="F120" s="4" t="s">
        <v>237</v>
      </c>
      <c r="G120" s="4" t="s">
        <v>67</v>
      </c>
      <c r="H120" s="4" t="s">
        <v>238</v>
      </c>
      <c r="I120" s="4" t="s">
        <v>47</v>
      </c>
      <c r="J120" s="4" t="s">
        <v>617</v>
      </c>
      <c r="K120" s="4" t="s">
        <v>239</v>
      </c>
      <c r="L120" s="4" t="s">
        <v>50</v>
      </c>
    </row>
    <row r="121" spans="1:12" ht="57">
      <c r="A121" s="4">
        <v>118</v>
      </c>
      <c r="B121" s="4" t="s">
        <v>233</v>
      </c>
      <c r="C121" s="4" t="s">
        <v>241</v>
      </c>
      <c r="D121" s="4" t="s">
        <v>291</v>
      </c>
      <c r="E121" s="4" t="s">
        <v>292</v>
      </c>
      <c r="F121" s="4" t="s">
        <v>237</v>
      </c>
      <c r="G121" s="4" t="s">
        <v>67</v>
      </c>
      <c r="H121" s="4" t="s">
        <v>238</v>
      </c>
      <c r="I121" s="4" t="s">
        <v>55</v>
      </c>
      <c r="J121" s="4" t="s">
        <v>617</v>
      </c>
      <c r="K121" s="4" t="s">
        <v>239</v>
      </c>
      <c r="L121" s="4" t="s">
        <v>50</v>
      </c>
    </row>
    <row r="122" spans="1:12" ht="57">
      <c r="A122" s="4">
        <v>119</v>
      </c>
      <c r="B122" s="4" t="s">
        <v>233</v>
      </c>
      <c r="C122" s="4" t="s">
        <v>241</v>
      </c>
      <c r="D122" s="4" t="s">
        <v>293</v>
      </c>
      <c r="E122" s="4" t="s">
        <v>292</v>
      </c>
      <c r="F122" s="4" t="s">
        <v>237</v>
      </c>
      <c r="G122" s="4" t="s">
        <v>67</v>
      </c>
      <c r="H122" s="4" t="s">
        <v>238</v>
      </c>
      <c r="I122" s="4" t="s">
        <v>55</v>
      </c>
      <c r="J122" s="4" t="s">
        <v>617</v>
      </c>
      <c r="K122" s="4" t="s">
        <v>239</v>
      </c>
      <c r="L122" s="4" t="s">
        <v>50</v>
      </c>
    </row>
    <row r="123" spans="1:12" ht="57">
      <c r="A123" s="4">
        <v>120</v>
      </c>
      <c r="B123" s="4" t="s">
        <v>233</v>
      </c>
      <c r="C123" s="4" t="s">
        <v>241</v>
      </c>
      <c r="D123" s="4" t="s">
        <v>294</v>
      </c>
      <c r="E123" s="4" t="s">
        <v>295</v>
      </c>
      <c r="F123" s="4" t="s">
        <v>237</v>
      </c>
      <c r="G123" s="4" t="s">
        <v>67</v>
      </c>
      <c r="H123" s="4" t="s">
        <v>238</v>
      </c>
      <c r="I123" s="4" t="s">
        <v>55</v>
      </c>
      <c r="J123" s="4" t="s">
        <v>617</v>
      </c>
      <c r="K123" s="4" t="s">
        <v>239</v>
      </c>
      <c r="L123" s="4" t="s">
        <v>50</v>
      </c>
    </row>
    <row r="124" spans="1:12" ht="57">
      <c r="A124" s="4">
        <v>121</v>
      </c>
      <c r="B124" s="4" t="s">
        <v>233</v>
      </c>
      <c r="C124" s="4" t="s">
        <v>241</v>
      </c>
      <c r="D124" s="4" t="s">
        <v>296</v>
      </c>
      <c r="E124" s="4" t="s">
        <v>297</v>
      </c>
      <c r="F124" s="4" t="s">
        <v>237</v>
      </c>
      <c r="G124" s="4" t="s">
        <v>67</v>
      </c>
      <c r="H124" s="4" t="s">
        <v>238</v>
      </c>
      <c r="I124" s="4" t="s">
        <v>55</v>
      </c>
      <c r="J124" s="4" t="s">
        <v>617</v>
      </c>
      <c r="K124" s="4" t="s">
        <v>239</v>
      </c>
      <c r="L124" s="4" t="s">
        <v>50</v>
      </c>
    </row>
    <row r="125" spans="1:12" ht="57">
      <c r="A125" s="4">
        <v>122</v>
      </c>
      <c r="B125" s="4" t="s">
        <v>233</v>
      </c>
      <c r="C125" s="4" t="s">
        <v>241</v>
      </c>
      <c r="D125" s="4" t="s">
        <v>298</v>
      </c>
      <c r="E125" s="4" t="s">
        <v>299</v>
      </c>
      <c r="F125" s="4" t="s">
        <v>237</v>
      </c>
      <c r="G125" s="4" t="s">
        <v>67</v>
      </c>
      <c r="H125" s="4" t="s">
        <v>238</v>
      </c>
      <c r="I125" s="4" t="s">
        <v>55</v>
      </c>
      <c r="J125" s="4" t="s">
        <v>617</v>
      </c>
      <c r="K125" s="4" t="s">
        <v>239</v>
      </c>
      <c r="L125" s="4" t="s">
        <v>50</v>
      </c>
    </row>
    <row r="126" spans="1:12" ht="57">
      <c r="A126" s="4">
        <v>123</v>
      </c>
      <c r="B126" s="4" t="s">
        <v>233</v>
      </c>
      <c r="C126" s="4" t="s">
        <v>241</v>
      </c>
      <c r="D126" s="4" t="s">
        <v>300</v>
      </c>
      <c r="E126" s="4" t="s">
        <v>301</v>
      </c>
      <c r="F126" s="4" t="s">
        <v>237</v>
      </c>
      <c r="G126" s="4" t="s">
        <v>67</v>
      </c>
      <c r="H126" s="4" t="s">
        <v>238</v>
      </c>
      <c r="I126" s="4" t="s">
        <v>47</v>
      </c>
      <c r="J126" s="4" t="s">
        <v>617</v>
      </c>
      <c r="K126" s="4" t="s">
        <v>239</v>
      </c>
      <c r="L126" s="4" t="s">
        <v>50</v>
      </c>
    </row>
    <row r="127" spans="1:12" ht="57">
      <c r="A127" s="4">
        <v>124</v>
      </c>
      <c r="B127" s="4" t="s">
        <v>233</v>
      </c>
      <c r="C127" s="4" t="s">
        <v>241</v>
      </c>
      <c r="D127" s="4" t="s">
        <v>302</v>
      </c>
      <c r="E127" s="4" t="s">
        <v>297</v>
      </c>
      <c r="F127" s="4" t="s">
        <v>237</v>
      </c>
      <c r="G127" s="4" t="s">
        <v>67</v>
      </c>
      <c r="H127" s="4" t="s">
        <v>238</v>
      </c>
      <c r="I127" s="4" t="s">
        <v>55</v>
      </c>
      <c r="J127" s="4" t="s">
        <v>617</v>
      </c>
      <c r="K127" s="4" t="s">
        <v>239</v>
      </c>
      <c r="L127" s="4" t="s">
        <v>50</v>
      </c>
    </row>
    <row r="128" spans="1:12" ht="57">
      <c r="A128" s="4">
        <v>125</v>
      </c>
      <c r="B128" s="4" t="s">
        <v>233</v>
      </c>
      <c r="C128" s="4" t="s">
        <v>241</v>
      </c>
      <c r="D128" s="4" t="s">
        <v>303</v>
      </c>
      <c r="E128" s="4" t="s">
        <v>297</v>
      </c>
      <c r="F128" s="4" t="s">
        <v>237</v>
      </c>
      <c r="G128" s="4" t="s">
        <v>67</v>
      </c>
      <c r="H128" s="4" t="s">
        <v>238</v>
      </c>
      <c r="I128" s="4" t="s">
        <v>55</v>
      </c>
      <c r="J128" s="4" t="s">
        <v>617</v>
      </c>
      <c r="K128" s="4" t="s">
        <v>239</v>
      </c>
      <c r="L128" s="4" t="s">
        <v>50</v>
      </c>
    </row>
    <row r="129" spans="1:12" ht="57">
      <c r="A129" s="4">
        <v>126</v>
      </c>
      <c r="B129" s="4" t="s">
        <v>233</v>
      </c>
      <c r="C129" s="4" t="s">
        <v>241</v>
      </c>
      <c r="D129" s="4" t="s">
        <v>304</v>
      </c>
      <c r="E129" s="4" t="s">
        <v>254</v>
      </c>
      <c r="F129" s="4" t="s">
        <v>237</v>
      </c>
      <c r="G129" s="4" t="s">
        <v>67</v>
      </c>
      <c r="H129" s="4" t="s">
        <v>238</v>
      </c>
      <c r="I129" s="4" t="s">
        <v>55</v>
      </c>
      <c r="J129" s="4" t="s">
        <v>617</v>
      </c>
      <c r="K129" s="4" t="s">
        <v>239</v>
      </c>
      <c r="L129" s="4" t="s">
        <v>50</v>
      </c>
    </row>
    <row r="130" spans="1:12" ht="57">
      <c r="A130" s="4">
        <v>127</v>
      </c>
      <c r="B130" s="4" t="s">
        <v>233</v>
      </c>
      <c r="C130" s="4" t="s">
        <v>241</v>
      </c>
      <c r="D130" s="4" t="s">
        <v>305</v>
      </c>
      <c r="E130" s="4" t="s">
        <v>306</v>
      </c>
      <c r="F130" s="4" t="s">
        <v>237</v>
      </c>
      <c r="G130" s="4" t="s">
        <v>67</v>
      </c>
      <c r="H130" s="4" t="s">
        <v>238</v>
      </c>
      <c r="I130" s="4" t="s">
        <v>55</v>
      </c>
      <c r="J130" s="4" t="s">
        <v>617</v>
      </c>
      <c r="K130" s="4" t="s">
        <v>239</v>
      </c>
      <c r="L130" s="4" t="s">
        <v>50</v>
      </c>
    </row>
    <row r="131" spans="1:12" ht="57">
      <c r="A131" s="4">
        <v>128</v>
      </c>
      <c r="B131" s="4" t="s">
        <v>233</v>
      </c>
      <c r="C131" s="4" t="s">
        <v>241</v>
      </c>
      <c r="D131" s="4" t="s">
        <v>307</v>
      </c>
      <c r="E131" s="4" t="s">
        <v>254</v>
      </c>
      <c r="F131" s="4" t="s">
        <v>237</v>
      </c>
      <c r="G131" s="4" t="s">
        <v>67</v>
      </c>
      <c r="H131" s="4" t="s">
        <v>238</v>
      </c>
      <c r="I131" s="4" t="s">
        <v>55</v>
      </c>
      <c r="J131" s="4" t="s">
        <v>617</v>
      </c>
      <c r="K131" s="4" t="s">
        <v>239</v>
      </c>
      <c r="L131" s="4" t="s">
        <v>50</v>
      </c>
    </row>
    <row r="132" spans="1:12" ht="28.5">
      <c r="A132" s="4">
        <v>129</v>
      </c>
      <c r="B132" s="4" t="s">
        <v>233</v>
      </c>
      <c r="C132" s="4" t="s">
        <v>241</v>
      </c>
      <c r="D132" s="4" t="s">
        <v>42</v>
      </c>
      <c r="E132" s="4" t="s">
        <v>308</v>
      </c>
      <c r="F132" s="4" t="s">
        <v>237</v>
      </c>
      <c r="G132" s="4" t="s">
        <v>67</v>
      </c>
      <c r="H132" s="4" t="s">
        <v>256</v>
      </c>
      <c r="I132" s="4" t="s">
        <v>55</v>
      </c>
      <c r="J132" s="4" t="s">
        <v>618</v>
      </c>
      <c r="K132" s="4" t="s">
        <v>239</v>
      </c>
      <c r="L132" s="4" t="s">
        <v>50</v>
      </c>
    </row>
    <row r="133" spans="1:12" ht="28.5">
      <c r="A133" s="4">
        <v>130</v>
      </c>
      <c r="B133" s="4" t="s">
        <v>233</v>
      </c>
      <c r="C133" s="4" t="s">
        <v>241</v>
      </c>
      <c r="D133" s="4" t="s">
        <v>42</v>
      </c>
      <c r="E133" s="4" t="s">
        <v>309</v>
      </c>
      <c r="F133" s="4" t="s">
        <v>237</v>
      </c>
      <c r="G133" s="4" t="s">
        <v>67</v>
      </c>
      <c r="H133" s="4" t="s">
        <v>256</v>
      </c>
      <c r="I133" s="4" t="s">
        <v>55</v>
      </c>
      <c r="J133" s="4" t="s">
        <v>630</v>
      </c>
      <c r="K133" s="4" t="s">
        <v>239</v>
      </c>
      <c r="L133" s="4" t="s">
        <v>50</v>
      </c>
    </row>
    <row r="134" spans="1:12" ht="28.5">
      <c r="A134" s="4">
        <v>131</v>
      </c>
      <c r="B134" s="4" t="s">
        <v>233</v>
      </c>
      <c r="C134" s="4" t="s">
        <v>241</v>
      </c>
      <c r="D134" s="4" t="s">
        <v>42</v>
      </c>
      <c r="E134" s="4" t="s">
        <v>310</v>
      </c>
      <c r="F134" s="4" t="s">
        <v>237</v>
      </c>
      <c r="G134" s="4" t="s">
        <v>67</v>
      </c>
      <c r="H134" s="4" t="s">
        <v>256</v>
      </c>
      <c r="I134" s="4" t="s">
        <v>55</v>
      </c>
      <c r="J134" s="4" t="s">
        <v>606</v>
      </c>
      <c r="K134" s="4" t="s">
        <v>239</v>
      </c>
      <c r="L134" s="4" t="s">
        <v>50</v>
      </c>
    </row>
    <row r="135" spans="1:12" ht="28.5">
      <c r="A135" s="4">
        <v>132</v>
      </c>
      <c r="B135" s="4" t="s">
        <v>233</v>
      </c>
      <c r="C135" s="4" t="s">
        <v>241</v>
      </c>
      <c r="D135" s="4" t="s">
        <v>42</v>
      </c>
      <c r="E135" s="4" t="s">
        <v>311</v>
      </c>
      <c r="F135" s="4" t="s">
        <v>237</v>
      </c>
      <c r="G135" s="4" t="s">
        <v>67</v>
      </c>
      <c r="H135" s="4" t="s">
        <v>256</v>
      </c>
      <c r="I135" s="4" t="s">
        <v>55</v>
      </c>
      <c r="J135" s="4" t="s">
        <v>607</v>
      </c>
      <c r="K135" s="4" t="s">
        <v>239</v>
      </c>
      <c r="L135" s="4" t="s">
        <v>50</v>
      </c>
    </row>
    <row r="136" spans="1:12" ht="28.5">
      <c r="A136" s="4">
        <v>133</v>
      </c>
      <c r="B136" s="4" t="s">
        <v>233</v>
      </c>
      <c r="C136" s="4" t="s">
        <v>241</v>
      </c>
      <c r="D136" s="4" t="s">
        <v>42</v>
      </c>
      <c r="E136" s="4" t="s">
        <v>312</v>
      </c>
      <c r="F136" s="4" t="s">
        <v>237</v>
      </c>
      <c r="G136" s="4" t="s">
        <v>67</v>
      </c>
      <c r="H136" s="4" t="s">
        <v>256</v>
      </c>
      <c r="I136" s="4" t="s">
        <v>55</v>
      </c>
      <c r="J136" s="4" t="s">
        <v>608</v>
      </c>
      <c r="K136" s="4" t="s">
        <v>239</v>
      </c>
      <c r="L136" s="4" t="s">
        <v>50</v>
      </c>
    </row>
    <row r="137" spans="1:12" ht="28.5">
      <c r="A137" s="4">
        <v>134</v>
      </c>
      <c r="B137" s="4" t="s">
        <v>233</v>
      </c>
      <c r="C137" s="4" t="s">
        <v>241</v>
      </c>
      <c r="D137" s="4" t="s">
        <v>42</v>
      </c>
      <c r="E137" s="4" t="s">
        <v>313</v>
      </c>
      <c r="F137" s="4" t="s">
        <v>237</v>
      </c>
      <c r="G137" s="4" t="s">
        <v>67</v>
      </c>
      <c r="H137" s="4" t="s">
        <v>256</v>
      </c>
      <c r="I137" s="4" t="s">
        <v>55</v>
      </c>
      <c r="J137" s="4" t="s">
        <v>574</v>
      </c>
      <c r="K137" s="4" t="s">
        <v>239</v>
      </c>
      <c r="L137" s="4" t="s">
        <v>50</v>
      </c>
    </row>
    <row r="138" spans="1:12" ht="28.5">
      <c r="A138" s="4">
        <v>135</v>
      </c>
      <c r="B138" s="4" t="s">
        <v>233</v>
      </c>
      <c r="C138" s="4" t="s">
        <v>241</v>
      </c>
      <c r="D138" s="4" t="s">
        <v>42</v>
      </c>
      <c r="E138" s="4" t="s">
        <v>314</v>
      </c>
      <c r="F138" s="4" t="s">
        <v>237</v>
      </c>
      <c r="G138" s="4" t="s">
        <v>67</v>
      </c>
      <c r="H138" s="4" t="s">
        <v>256</v>
      </c>
      <c r="I138" s="4" t="s">
        <v>55</v>
      </c>
      <c r="J138" s="4" t="s">
        <v>609</v>
      </c>
      <c r="K138" s="4" t="s">
        <v>239</v>
      </c>
      <c r="L138" s="4" t="s">
        <v>50</v>
      </c>
    </row>
    <row r="139" spans="1:12" ht="28.5">
      <c r="A139" s="4">
        <v>136</v>
      </c>
      <c r="B139" s="4" t="s">
        <v>233</v>
      </c>
      <c r="C139" s="4" t="s">
        <v>241</v>
      </c>
      <c r="D139" s="4" t="s">
        <v>42</v>
      </c>
      <c r="E139" s="4" t="s">
        <v>315</v>
      </c>
      <c r="F139" s="4" t="s">
        <v>237</v>
      </c>
      <c r="G139" s="4" t="s">
        <v>67</v>
      </c>
      <c r="H139" s="4" t="s">
        <v>256</v>
      </c>
      <c r="I139" s="4" t="s">
        <v>55</v>
      </c>
      <c r="J139" s="4" t="s">
        <v>631</v>
      </c>
      <c r="K139" s="4" t="s">
        <v>239</v>
      </c>
      <c r="L139" s="4" t="s">
        <v>50</v>
      </c>
    </row>
    <row r="140" spans="1:12" ht="28.5">
      <c r="A140" s="4">
        <v>137</v>
      </c>
      <c r="B140" s="4" t="s">
        <v>233</v>
      </c>
      <c r="C140" s="4" t="s">
        <v>241</v>
      </c>
      <c r="D140" s="4" t="s">
        <v>42</v>
      </c>
      <c r="E140" s="4" t="s">
        <v>316</v>
      </c>
      <c r="F140" s="4" t="s">
        <v>237</v>
      </c>
      <c r="G140" s="4" t="s">
        <v>67</v>
      </c>
      <c r="H140" s="4" t="s">
        <v>256</v>
      </c>
      <c r="I140" s="4" t="s">
        <v>55</v>
      </c>
      <c r="J140" s="4" t="s">
        <v>642</v>
      </c>
      <c r="K140" s="4" t="s">
        <v>239</v>
      </c>
      <c r="L140" s="4" t="s">
        <v>50</v>
      </c>
    </row>
    <row r="141" spans="1:12" ht="28.5">
      <c r="A141" s="4">
        <v>138</v>
      </c>
      <c r="B141" s="4" t="s">
        <v>233</v>
      </c>
      <c r="C141" s="4" t="s">
        <v>241</v>
      </c>
      <c r="D141" s="4" t="s">
        <v>42</v>
      </c>
      <c r="E141" s="4" t="s">
        <v>317</v>
      </c>
      <c r="F141" s="4" t="s">
        <v>237</v>
      </c>
      <c r="G141" s="4" t="s">
        <v>67</v>
      </c>
      <c r="H141" s="4" t="s">
        <v>256</v>
      </c>
      <c r="I141" s="4" t="s">
        <v>55</v>
      </c>
      <c r="J141" s="4" t="s">
        <v>612</v>
      </c>
      <c r="K141" s="4" t="s">
        <v>239</v>
      </c>
      <c r="L141" s="4" t="s">
        <v>50</v>
      </c>
    </row>
    <row r="142" spans="1:12" ht="28.5">
      <c r="A142" s="4">
        <v>139</v>
      </c>
      <c r="B142" s="4" t="s">
        <v>233</v>
      </c>
      <c r="C142" s="4" t="s">
        <v>241</v>
      </c>
      <c r="D142" s="4" t="s">
        <v>42</v>
      </c>
      <c r="E142" s="4" t="s">
        <v>318</v>
      </c>
      <c r="F142" s="4" t="s">
        <v>237</v>
      </c>
      <c r="G142" s="4" t="s">
        <v>67</v>
      </c>
      <c r="H142" s="4" t="s">
        <v>256</v>
      </c>
      <c r="I142" s="4" t="s">
        <v>55</v>
      </c>
      <c r="J142" s="4" t="s">
        <v>613</v>
      </c>
      <c r="K142" s="4" t="s">
        <v>239</v>
      </c>
      <c r="L142" s="4" t="s">
        <v>50</v>
      </c>
    </row>
    <row r="143" spans="1:12" ht="28.5">
      <c r="A143" s="4">
        <v>140</v>
      </c>
      <c r="B143" s="4" t="s">
        <v>233</v>
      </c>
      <c r="C143" s="4" t="s">
        <v>241</v>
      </c>
      <c r="D143" s="4" t="s">
        <v>42</v>
      </c>
      <c r="E143" s="4" t="s">
        <v>319</v>
      </c>
      <c r="F143" s="4" t="s">
        <v>237</v>
      </c>
      <c r="G143" s="4" t="s">
        <v>67</v>
      </c>
      <c r="H143" s="4" t="s">
        <v>256</v>
      </c>
      <c r="I143" s="4" t="s">
        <v>55</v>
      </c>
      <c r="J143" s="4" t="s">
        <v>632</v>
      </c>
      <c r="K143" s="4" t="s">
        <v>239</v>
      </c>
      <c r="L143" s="4" t="s">
        <v>50</v>
      </c>
    </row>
    <row r="144" spans="1:12" ht="57">
      <c r="A144" s="4">
        <v>141</v>
      </c>
      <c r="B144" s="4" t="s">
        <v>233</v>
      </c>
      <c r="C144" s="4" t="s">
        <v>288</v>
      </c>
      <c r="D144" s="4" t="s">
        <v>320</v>
      </c>
      <c r="E144" s="4" t="s">
        <v>288</v>
      </c>
      <c r="F144" s="4" t="s">
        <v>237</v>
      </c>
      <c r="G144" s="4" t="s">
        <v>67</v>
      </c>
      <c r="H144" s="4" t="s">
        <v>238</v>
      </c>
      <c r="I144" s="4" t="s">
        <v>55</v>
      </c>
      <c r="J144" s="4" t="s">
        <v>617</v>
      </c>
      <c r="K144" s="4" t="s">
        <v>239</v>
      </c>
      <c r="L144" s="4" t="s">
        <v>50</v>
      </c>
    </row>
    <row r="145" spans="1:12" ht="156.75">
      <c r="A145" s="4">
        <v>142</v>
      </c>
      <c r="B145" s="4" t="s">
        <v>233</v>
      </c>
      <c r="C145" s="4" t="s">
        <v>288</v>
      </c>
      <c r="D145" s="4" t="s">
        <v>42</v>
      </c>
      <c r="E145" s="4" t="s">
        <v>321</v>
      </c>
      <c r="F145" s="4" t="s">
        <v>237</v>
      </c>
      <c r="G145" s="4" t="s">
        <v>67</v>
      </c>
      <c r="H145" s="4" t="s">
        <v>256</v>
      </c>
      <c r="I145" s="4" t="s">
        <v>55</v>
      </c>
      <c r="J145" s="4" t="s">
        <v>636</v>
      </c>
      <c r="K145" s="4" t="s">
        <v>239</v>
      </c>
      <c r="L145" s="4" t="s">
        <v>50</v>
      </c>
    </row>
    <row r="146" spans="1:12" ht="28.5">
      <c r="A146" s="4">
        <v>143</v>
      </c>
      <c r="B146" s="4" t="s">
        <v>233</v>
      </c>
      <c r="C146" s="4" t="s">
        <v>288</v>
      </c>
      <c r="D146" s="4" t="s">
        <v>322</v>
      </c>
      <c r="E146" s="4" t="s">
        <v>323</v>
      </c>
      <c r="F146" s="4" t="s">
        <v>237</v>
      </c>
      <c r="G146" s="4" t="s">
        <v>67</v>
      </c>
      <c r="H146" s="4" t="s">
        <v>238</v>
      </c>
      <c r="I146" s="4" t="s">
        <v>55</v>
      </c>
      <c r="J146" s="4" t="s">
        <v>635</v>
      </c>
      <c r="K146" s="4" t="s">
        <v>239</v>
      </c>
      <c r="L146" s="4" t="s">
        <v>50</v>
      </c>
    </row>
    <row r="147" spans="1:12" ht="57">
      <c r="A147" s="4">
        <v>144</v>
      </c>
      <c r="B147" s="4" t="s">
        <v>233</v>
      </c>
      <c r="C147" s="4" t="s">
        <v>324</v>
      </c>
      <c r="D147" s="4" t="s">
        <v>325</v>
      </c>
      <c r="E147" s="4" t="s">
        <v>324</v>
      </c>
      <c r="F147" s="4" t="s">
        <v>237</v>
      </c>
      <c r="G147" s="4" t="s">
        <v>67</v>
      </c>
      <c r="H147" s="4" t="s">
        <v>238</v>
      </c>
      <c r="I147" s="4" t="s">
        <v>55</v>
      </c>
      <c r="J147" s="4" t="s">
        <v>617</v>
      </c>
      <c r="K147" s="4" t="s">
        <v>239</v>
      </c>
      <c r="L147" s="4" t="s">
        <v>50</v>
      </c>
    </row>
    <row r="148" spans="1:12" ht="57">
      <c r="A148" s="4">
        <v>145</v>
      </c>
      <c r="B148" s="4" t="s">
        <v>233</v>
      </c>
      <c r="C148" s="4" t="s">
        <v>292</v>
      </c>
      <c r="D148" s="4" t="s">
        <v>326</v>
      </c>
      <c r="E148" s="4" t="s">
        <v>292</v>
      </c>
      <c r="F148" s="4" t="s">
        <v>237</v>
      </c>
      <c r="G148" s="4" t="s">
        <v>67</v>
      </c>
      <c r="H148" s="4" t="s">
        <v>238</v>
      </c>
      <c r="I148" s="4" t="s">
        <v>55</v>
      </c>
      <c r="J148" s="4" t="s">
        <v>617</v>
      </c>
      <c r="K148" s="4" t="s">
        <v>239</v>
      </c>
      <c r="L148" s="4" t="s">
        <v>50</v>
      </c>
    </row>
    <row r="149" spans="1:12" ht="57">
      <c r="A149" s="4">
        <v>146</v>
      </c>
      <c r="B149" s="4" t="s">
        <v>233</v>
      </c>
      <c r="C149" s="4" t="s">
        <v>292</v>
      </c>
      <c r="D149" s="4" t="s">
        <v>327</v>
      </c>
      <c r="E149" s="4" t="s">
        <v>292</v>
      </c>
      <c r="F149" s="4" t="s">
        <v>237</v>
      </c>
      <c r="G149" s="4" t="s">
        <v>67</v>
      </c>
      <c r="H149" s="4" t="s">
        <v>238</v>
      </c>
      <c r="I149" s="4" t="s">
        <v>55</v>
      </c>
      <c r="J149" s="4" t="s">
        <v>617</v>
      </c>
      <c r="K149" s="4" t="s">
        <v>239</v>
      </c>
      <c r="L149" s="4" t="s">
        <v>50</v>
      </c>
    </row>
    <row r="150" spans="1:12" ht="57">
      <c r="A150" s="4">
        <v>147</v>
      </c>
      <c r="B150" s="4" t="s">
        <v>233</v>
      </c>
      <c r="C150" s="4" t="s">
        <v>292</v>
      </c>
      <c r="D150" s="4" t="s">
        <v>328</v>
      </c>
      <c r="E150" s="4" t="s">
        <v>329</v>
      </c>
      <c r="F150" s="4" t="s">
        <v>237</v>
      </c>
      <c r="G150" s="4" t="s">
        <v>67</v>
      </c>
      <c r="H150" s="4" t="s">
        <v>238</v>
      </c>
      <c r="I150" s="4" t="s">
        <v>55</v>
      </c>
      <c r="J150" s="4" t="s">
        <v>617</v>
      </c>
      <c r="K150" s="4" t="s">
        <v>239</v>
      </c>
      <c r="L150" s="4" t="s">
        <v>50</v>
      </c>
    </row>
    <row r="151" spans="1:12" ht="28.5">
      <c r="A151" s="4">
        <v>148</v>
      </c>
      <c r="B151" s="4" t="s">
        <v>233</v>
      </c>
      <c r="C151" s="4" t="s">
        <v>330</v>
      </c>
      <c r="D151" s="4" t="s">
        <v>42</v>
      </c>
      <c r="E151" s="4" t="s">
        <v>331</v>
      </c>
      <c r="F151" s="4" t="s">
        <v>332</v>
      </c>
      <c r="G151" s="4" t="s">
        <v>333</v>
      </c>
      <c r="H151" s="4" t="s">
        <v>334</v>
      </c>
      <c r="I151" s="4" t="s">
        <v>47</v>
      </c>
      <c r="J151" s="4"/>
      <c r="K151" s="4" t="s">
        <v>335</v>
      </c>
      <c r="L151" s="4" t="s">
        <v>57</v>
      </c>
    </row>
    <row r="152" spans="1:12" ht="28.5">
      <c r="A152" s="4">
        <v>149</v>
      </c>
      <c r="B152" s="4" t="s">
        <v>233</v>
      </c>
      <c r="C152" s="4" t="s">
        <v>330</v>
      </c>
      <c r="D152" s="4" t="s">
        <v>42</v>
      </c>
      <c r="E152" s="4" t="s">
        <v>336</v>
      </c>
      <c r="F152" s="4" t="s">
        <v>337</v>
      </c>
      <c r="G152" s="4" t="s">
        <v>333</v>
      </c>
      <c r="H152" s="4" t="s">
        <v>334</v>
      </c>
      <c r="I152" s="4" t="s">
        <v>47</v>
      </c>
      <c r="J152" s="4"/>
      <c r="K152" s="4" t="s">
        <v>335</v>
      </c>
      <c r="L152" s="4" t="s">
        <v>57</v>
      </c>
    </row>
    <row r="153" spans="1:12" ht="28.5">
      <c r="A153" s="4">
        <v>150</v>
      </c>
      <c r="B153" s="4" t="s">
        <v>233</v>
      </c>
      <c r="C153" s="4" t="s">
        <v>330</v>
      </c>
      <c r="D153" s="4" t="s">
        <v>42</v>
      </c>
      <c r="E153" s="4" t="s">
        <v>338</v>
      </c>
      <c r="F153" s="4" t="s">
        <v>339</v>
      </c>
      <c r="G153" s="4" t="s">
        <v>340</v>
      </c>
      <c r="H153" s="4" t="s">
        <v>334</v>
      </c>
      <c r="I153" s="4" t="s">
        <v>47</v>
      </c>
      <c r="J153" s="4" t="s">
        <v>641</v>
      </c>
      <c r="K153" s="4" t="s">
        <v>335</v>
      </c>
      <c r="L153" s="4" t="s">
        <v>57</v>
      </c>
    </row>
    <row r="154" spans="1:12" ht="71.25">
      <c r="A154" s="4">
        <v>151</v>
      </c>
      <c r="B154" s="4" t="s">
        <v>233</v>
      </c>
      <c r="C154" s="4" t="s">
        <v>330</v>
      </c>
      <c r="D154" s="4" t="s">
        <v>42</v>
      </c>
      <c r="E154" s="4" t="s">
        <v>341</v>
      </c>
      <c r="F154" s="4" t="s">
        <v>342</v>
      </c>
      <c r="G154" s="4" t="s">
        <v>343</v>
      </c>
      <c r="H154" s="4" t="s">
        <v>334</v>
      </c>
      <c r="I154" s="4" t="s">
        <v>47</v>
      </c>
      <c r="J154" s="4" t="s">
        <v>640</v>
      </c>
      <c r="K154" s="4" t="s">
        <v>335</v>
      </c>
      <c r="L154" s="4" t="s">
        <v>57</v>
      </c>
    </row>
    <row r="155" spans="1:12" ht="42.75">
      <c r="A155" s="4">
        <v>152</v>
      </c>
      <c r="B155" s="4" t="s">
        <v>344</v>
      </c>
      <c r="C155" s="4" t="s">
        <v>345</v>
      </c>
      <c r="D155" s="4" t="s">
        <v>346</v>
      </c>
      <c r="E155" s="4" t="s">
        <v>347</v>
      </c>
      <c r="F155" s="4" t="s">
        <v>42</v>
      </c>
      <c r="G155" s="4" t="s">
        <v>67</v>
      </c>
      <c r="H155" s="4" t="s">
        <v>348</v>
      </c>
      <c r="I155" s="4" t="s">
        <v>47</v>
      </c>
      <c r="J155" s="4" t="s">
        <v>639</v>
      </c>
      <c r="K155" s="4" t="s">
        <v>349</v>
      </c>
      <c r="L155" s="4" t="s">
        <v>50</v>
      </c>
    </row>
    <row r="156" spans="1:12" ht="71.25">
      <c r="A156" s="4">
        <v>153</v>
      </c>
      <c r="B156" s="4" t="s">
        <v>350</v>
      </c>
      <c r="C156" s="4" t="s">
        <v>41</v>
      </c>
      <c r="D156" s="4" t="s">
        <v>42</v>
      </c>
      <c r="E156" s="4" t="s">
        <v>351</v>
      </c>
      <c r="F156" s="4" t="s">
        <v>352</v>
      </c>
      <c r="G156" s="4" t="s">
        <v>45</v>
      </c>
      <c r="H156" s="4" t="s">
        <v>353</v>
      </c>
      <c r="I156" s="4" t="s">
        <v>354</v>
      </c>
      <c r="J156" s="4" t="s">
        <v>637</v>
      </c>
      <c r="K156" s="4" t="s">
        <v>355</v>
      </c>
      <c r="L156" s="4" t="s">
        <v>50</v>
      </c>
    </row>
    <row r="157" spans="1:12" ht="28.5">
      <c r="A157" s="4">
        <v>154</v>
      </c>
      <c r="B157" s="4" t="s">
        <v>350</v>
      </c>
      <c r="C157" s="4" t="s">
        <v>356</v>
      </c>
      <c r="D157" s="4" t="s">
        <v>42</v>
      </c>
      <c r="E157" s="4" t="s">
        <v>357</v>
      </c>
      <c r="F157" s="4" t="s">
        <v>358</v>
      </c>
      <c r="G157" s="4" t="s">
        <v>359</v>
      </c>
      <c r="H157" s="4" t="s">
        <v>360</v>
      </c>
      <c r="I157" s="4" t="s">
        <v>354</v>
      </c>
      <c r="J157" s="4" t="s">
        <v>633</v>
      </c>
      <c r="K157" s="4" t="s">
        <v>355</v>
      </c>
      <c r="L157" s="4" t="s">
        <v>50</v>
      </c>
    </row>
    <row r="158" spans="1:12" ht="28.5">
      <c r="A158" s="5">
        <v>155</v>
      </c>
      <c r="B158" s="5" t="s">
        <v>350</v>
      </c>
      <c r="C158" s="5" t="s">
        <v>282</v>
      </c>
      <c r="D158" s="5" t="s">
        <v>42</v>
      </c>
      <c r="E158" s="5" t="s">
        <v>361</v>
      </c>
      <c r="F158" s="5" t="s">
        <v>358</v>
      </c>
      <c r="G158" s="5" t="s">
        <v>362</v>
      </c>
      <c r="H158" s="5" t="s">
        <v>360</v>
      </c>
      <c r="I158" s="5" t="s">
        <v>354</v>
      </c>
      <c r="J158" s="5" t="s">
        <v>638</v>
      </c>
      <c r="K158" s="5" t="s">
        <v>355</v>
      </c>
      <c r="L158" s="5" t="s">
        <v>50</v>
      </c>
    </row>
  </sheetData>
  <mergeCells count="1">
    <mergeCell ref="A1:L1"/>
  </mergeCells>
  <conditionalFormatting sqref="I4:I158">
    <cfRule type="containsText" dxfId="6" priority="4" operator="containsText" text="Критический"/>
    <cfRule type="containsText" dxfId="5" priority="5" operator="containsText" text="Высокий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5"/>
  <sheetViews>
    <sheetView showGridLines="0" topLeftCell="A13" workbookViewId="0">
      <selection activeCell="N9" sqref="N9"/>
    </sheetView>
  </sheetViews>
  <sheetFormatPr defaultRowHeight="14.25"/>
  <cols>
    <col min="1" max="1" width="6" customWidth="1"/>
    <col min="2" max="2" width="16" customWidth="1"/>
    <col min="3" max="3" width="30" customWidth="1"/>
    <col min="4" max="4" width="28" customWidth="1"/>
    <col min="5" max="5" width="40" customWidth="1"/>
    <col min="6" max="6" width="42" customWidth="1"/>
    <col min="7" max="7" width="13" customWidth="1"/>
    <col min="8" max="8" width="19" customWidth="1"/>
    <col min="9" max="9" width="38" customWidth="1"/>
    <col min="10" max="10" width="34" customWidth="1"/>
    <col min="11" max="11" width="14" customWidth="1"/>
  </cols>
  <sheetData>
    <row r="1" spans="1:11" ht="30" customHeight="1">
      <c r="A1" s="19" t="s">
        <v>363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3" spans="1:11" ht="39.950000000000003" customHeight="1">
      <c r="A3" s="2" t="s">
        <v>27</v>
      </c>
      <c r="B3" s="2" t="s">
        <v>364</v>
      </c>
      <c r="C3" s="2" t="s">
        <v>365</v>
      </c>
      <c r="D3" s="2" t="s">
        <v>366</v>
      </c>
      <c r="E3" s="2" t="s">
        <v>367</v>
      </c>
      <c r="F3" s="2" t="s">
        <v>368</v>
      </c>
      <c r="G3" s="2" t="s">
        <v>35</v>
      </c>
      <c r="H3" s="2" t="s">
        <v>36</v>
      </c>
      <c r="I3" s="2" t="s">
        <v>369</v>
      </c>
      <c r="J3" s="2" t="s">
        <v>38</v>
      </c>
      <c r="K3" s="2" t="s">
        <v>39</v>
      </c>
    </row>
    <row r="4" spans="1:11" ht="142.5">
      <c r="A4" s="3">
        <v>1</v>
      </c>
      <c r="B4" s="3" t="s">
        <v>370</v>
      </c>
      <c r="C4" s="3" t="s">
        <v>371</v>
      </c>
      <c r="D4" s="3" t="s">
        <v>372</v>
      </c>
      <c r="E4" s="3" t="s">
        <v>373</v>
      </c>
      <c r="F4" s="3" t="s">
        <v>374</v>
      </c>
      <c r="G4" s="3" t="s">
        <v>47</v>
      </c>
      <c r="H4" s="3" t="s">
        <v>48</v>
      </c>
      <c r="I4" s="3" t="s">
        <v>663</v>
      </c>
      <c r="J4" s="3" t="s">
        <v>375</v>
      </c>
      <c r="K4" s="3" t="s">
        <v>50</v>
      </c>
    </row>
    <row r="5" spans="1:11" ht="114">
      <c r="A5" s="4">
        <v>2</v>
      </c>
      <c r="B5" s="4" t="s">
        <v>370</v>
      </c>
      <c r="C5" s="4" t="s">
        <v>376</v>
      </c>
      <c r="D5" s="4" t="s">
        <v>377</v>
      </c>
      <c r="E5" s="4" t="s">
        <v>378</v>
      </c>
      <c r="F5" s="4" t="s">
        <v>379</v>
      </c>
      <c r="G5" s="4" t="s">
        <v>47</v>
      </c>
      <c r="H5" s="4" t="s">
        <v>48</v>
      </c>
      <c r="I5" s="3" t="s">
        <v>644</v>
      </c>
      <c r="J5" s="4" t="s">
        <v>375</v>
      </c>
      <c r="K5" s="4" t="s">
        <v>50</v>
      </c>
    </row>
    <row r="6" spans="1:11" ht="28.5">
      <c r="A6" s="4">
        <v>3</v>
      </c>
      <c r="B6" s="4" t="s">
        <v>370</v>
      </c>
      <c r="C6" s="4" t="s">
        <v>233</v>
      </c>
      <c r="D6" s="4" t="s">
        <v>380</v>
      </c>
      <c r="E6" s="4" t="s">
        <v>381</v>
      </c>
      <c r="F6" s="4" t="s">
        <v>382</v>
      </c>
      <c r="G6" s="4" t="s">
        <v>55</v>
      </c>
      <c r="H6" s="4" t="s">
        <v>48</v>
      </c>
      <c r="I6" s="3" t="s">
        <v>645</v>
      </c>
      <c r="J6" s="4" t="s">
        <v>383</v>
      </c>
      <c r="K6" s="4" t="s">
        <v>50</v>
      </c>
    </row>
    <row r="7" spans="1:11" ht="28.5">
      <c r="A7" s="4">
        <v>4</v>
      </c>
      <c r="B7" s="4" t="s">
        <v>370</v>
      </c>
      <c r="C7" s="4" t="s">
        <v>233</v>
      </c>
      <c r="D7" s="4" t="s">
        <v>384</v>
      </c>
      <c r="E7" s="4" t="s">
        <v>385</v>
      </c>
      <c r="F7" s="4" t="s">
        <v>386</v>
      </c>
      <c r="G7" s="4" t="s">
        <v>55</v>
      </c>
      <c r="H7" s="4" t="s">
        <v>48</v>
      </c>
      <c r="I7" s="3" t="s">
        <v>646</v>
      </c>
      <c r="J7" s="4" t="s">
        <v>387</v>
      </c>
      <c r="K7" s="4" t="s">
        <v>50</v>
      </c>
    </row>
    <row r="8" spans="1:11" ht="28.5">
      <c r="A8" s="4">
        <v>5</v>
      </c>
      <c r="B8" s="4" t="s">
        <v>370</v>
      </c>
      <c r="C8" s="4" t="s">
        <v>388</v>
      </c>
      <c r="D8" s="4" t="s">
        <v>389</v>
      </c>
      <c r="E8" s="4" t="s">
        <v>390</v>
      </c>
      <c r="F8" s="4" t="s">
        <v>391</v>
      </c>
      <c r="G8" s="4" t="s">
        <v>47</v>
      </c>
      <c r="H8" s="4" t="s">
        <v>48</v>
      </c>
      <c r="I8" s="4" t="s">
        <v>647</v>
      </c>
      <c r="J8" s="4" t="s">
        <v>392</v>
      </c>
      <c r="K8" s="4" t="s">
        <v>50</v>
      </c>
    </row>
    <row r="9" spans="1:11" ht="42.75">
      <c r="A9" s="4">
        <v>6</v>
      </c>
      <c r="B9" s="4" t="s">
        <v>370</v>
      </c>
      <c r="C9" s="4" t="s">
        <v>393</v>
      </c>
      <c r="D9" s="4" t="s">
        <v>394</v>
      </c>
      <c r="E9" s="4" t="s">
        <v>395</v>
      </c>
      <c r="F9" s="4" t="s">
        <v>396</v>
      </c>
      <c r="G9" s="4" t="s">
        <v>47</v>
      </c>
      <c r="H9" s="4" t="s">
        <v>48</v>
      </c>
      <c r="I9" s="4" t="s">
        <v>656</v>
      </c>
      <c r="J9" s="4" t="s">
        <v>397</v>
      </c>
      <c r="K9" s="4" t="s">
        <v>50</v>
      </c>
    </row>
    <row r="10" spans="1:11" ht="85.5">
      <c r="A10" s="4">
        <v>7</v>
      </c>
      <c r="B10" s="4" t="s">
        <v>370</v>
      </c>
      <c r="C10" s="4" t="s">
        <v>398</v>
      </c>
      <c r="D10" s="4" t="s">
        <v>399</v>
      </c>
      <c r="E10" s="4" t="s">
        <v>400</v>
      </c>
      <c r="F10" s="4" t="s">
        <v>401</v>
      </c>
      <c r="G10" s="4" t="s">
        <v>47</v>
      </c>
      <c r="H10" s="4" t="s">
        <v>48</v>
      </c>
      <c r="I10" s="4" t="s">
        <v>657</v>
      </c>
      <c r="J10" s="4" t="s">
        <v>402</v>
      </c>
      <c r="K10" s="4" t="s">
        <v>50</v>
      </c>
    </row>
    <row r="11" spans="1:11" ht="71.25">
      <c r="A11" s="4">
        <v>8</v>
      </c>
      <c r="B11" s="4" t="s">
        <v>403</v>
      </c>
      <c r="C11" s="4" t="s">
        <v>404</v>
      </c>
      <c r="D11" s="4" t="s">
        <v>405</v>
      </c>
      <c r="E11" s="4" t="s">
        <v>406</v>
      </c>
      <c r="F11" s="4" t="s">
        <v>407</v>
      </c>
      <c r="G11" s="4" t="s">
        <v>47</v>
      </c>
      <c r="H11" s="4" t="s">
        <v>48</v>
      </c>
      <c r="I11" s="4" t="s">
        <v>658</v>
      </c>
      <c r="J11" s="4" t="s">
        <v>408</v>
      </c>
      <c r="K11" s="4" t="s">
        <v>50</v>
      </c>
    </row>
    <row r="12" spans="1:11" ht="99.75">
      <c r="A12" s="4">
        <v>9</v>
      </c>
      <c r="B12" s="4" t="s">
        <v>403</v>
      </c>
      <c r="C12" s="4" t="s">
        <v>409</v>
      </c>
      <c r="D12" s="4" t="s">
        <v>410</v>
      </c>
      <c r="E12" s="4" t="s">
        <v>411</v>
      </c>
      <c r="F12" s="4" t="s">
        <v>412</v>
      </c>
      <c r="G12" s="4" t="s">
        <v>354</v>
      </c>
      <c r="H12" s="4" t="s">
        <v>413</v>
      </c>
      <c r="I12" s="3" t="s">
        <v>660</v>
      </c>
      <c r="J12" s="4" t="s">
        <v>414</v>
      </c>
      <c r="K12" s="4" t="s">
        <v>57</v>
      </c>
    </row>
    <row r="13" spans="1:11" ht="42.75">
      <c r="A13" s="4">
        <v>10</v>
      </c>
      <c r="B13" s="4" t="s">
        <v>403</v>
      </c>
      <c r="C13" s="4" t="s">
        <v>415</v>
      </c>
      <c r="D13" s="4" t="s">
        <v>416</v>
      </c>
      <c r="E13" s="4" t="s">
        <v>417</v>
      </c>
      <c r="F13" s="4" t="s">
        <v>418</v>
      </c>
      <c r="G13" s="4" t="s">
        <v>55</v>
      </c>
      <c r="H13" s="4" t="s">
        <v>48</v>
      </c>
      <c r="I13" s="4" t="s">
        <v>659</v>
      </c>
      <c r="J13" s="4" t="s">
        <v>408</v>
      </c>
      <c r="K13" s="4" t="s">
        <v>50</v>
      </c>
    </row>
    <row r="14" spans="1:11" ht="85.5">
      <c r="A14" s="4">
        <v>11</v>
      </c>
      <c r="B14" s="4" t="s">
        <v>403</v>
      </c>
      <c r="C14" s="4" t="s">
        <v>208</v>
      </c>
      <c r="D14" s="4" t="s">
        <v>419</v>
      </c>
      <c r="E14" s="4" t="s">
        <v>420</v>
      </c>
      <c r="F14" s="4" t="s">
        <v>421</v>
      </c>
      <c r="G14" s="4" t="s">
        <v>55</v>
      </c>
      <c r="H14" s="4" t="s">
        <v>48</v>
      </c>
      <c r="I14" s="4" t="s">
        <v>636</v>
      </c>
      <c r="J14" s="4" t="s">
        <v>408</v>
      </c>
      <c r="K14" s="4" t="s">
        <v>50</v>
      </c>
    </row>
    <row r="15" spans="1:11" ht="42.75">
      <c r="A15" s="4">
        <v>12</v>
      </c>
      <c r="B15" s="4" t="s">
        <v>403</v>
      </c>
      <c r="C15" s="4" t="s">
        <v>422</v>
      </c>
      <c r="D15" s="4" t="s">
        <v>423</v>
      </c>
      <c r="E15" s="4" t="s">
        <v>424</v>
      </c>
      <c r="F15" s="4" t="s">
        <v>425</v>
      </c>
      <c r="G15" s="4" t="s">
        <v>55</v>
      </c>
      <c r="H15" s="4" t="s">
        <v>48</v>
      </c>
      <c r="I15" s="4" t="s">
        <v>661</v>
      </c>
      <c r="J15" s="4" t="s">
        <v>408</v>
      </c>
      <c r="K15" s="4" t="s">
        <v>50</v>
      </c>
    </row>
    <row r="16" spans="1:11" ht="57">
      <c r="A16" s="4">
        <v>13</v>
      </c>
      <c r="B16" s="4" t="s">
        <v>403</v>
      </c>
      <c r="C16" s="4" t="s">
        <v>426</v>
      </c>
      <c r="D16" s="4" t="s">
        <v>427</v>
      </c>
      <c r="E16" s="4" t="s">
        <v>428</v>
      </c>
      <c r="F16" s="4" t="s">
        <v>429</v>
      </c>
      <c r="G16" s="4" t="s">
        <v>55</v>
      </c>
      <c r="H16" s="4" t="s">
        <v>48</v>
      </c>
      <c r="I16" s="4" t="s">
        <v>662</v>
      </c>
      <c r="J16" s="4" t="s">
        <v>430</v>
      </c>
      <c r="K16" s="4" t="s">
        <v>57</v>
      </c>
    </row>
    <row r="17" spans="1:11" ht="28.5">
      <c r="A17" s="4">
        <v>14</v>
      </c>
      <c r="B17" s="4" t="s">
        <v>431</v>
      </c>
      <c r="C17" s="4" t="s">
        <v>432</v>
      </c>
      <c r="D17" s="4" t="s">
        <v>433</v>
      </c>
      <c r="E17" s="4" t="s">
        <v>434</v>
      </c>
      <c r="F17" s="4" t="s">
        <v>435</v>
      </c>
      <c r="G17" s="4" t="s">
        <v>47</v>
      </c>
      <c r="H17" s="4" t="s">
        <v>48</v>
      </c>
      <c r="I17" s="4"/>
      <c r="J17" s="4" t="s">
        <v>375</v>
      </c>
      <c r="K17" s="4" t="s">
        <v>50</v>
      </c>
    </row>
    <row r="18" spans="1:11" ht="28.5">
      <c r="A18" s="4">
        <v>15</v>
      </c>
      <c r="B18" s="4" t="s">
        <v>431</v>
      </c>
      <c r="C18" s="4" t="s">
        <v>436</v>
      </c>
      <c r="D18" s="4" t="s">
        <v>437</v>
      </c>
      <c r="E18" s="4" t="s">
        <v>438</v>
      </c>
      <c r="F18" s="4" t="s">
        <v>439</v>
      </c>
      <c r="G18" s="4" t="s">
        <v>47</v>
      </c>
      <c r="H18" s="4" t="s">
        <v>48</v>
      </c>
      <c r="I18" s="4"/>
      <c r="J18" s="4" t="s">
        <v>440</v>
      </c>
      <c r="K18" s="4" t="s">
        <v>50</v>
      </c>
    </row>
    <row r="19" spans="1:11" ht="28.5">
      <c r="A19" s="4">
        <v>16</v>
      </c>
      <c r="B19" s="4" t="s">
        <v>441</v>
      </c>
      <c r="C19" s="4" t="s">
        <v>442</v>
      </c>
      <c r="D19" s="4" t="s">
        <v>443</v>
      </c>
      <c r="E19" s="4" t="s">
        <v>444</v>
      </c>
      <c r="F19" s="4" t="s">
        <v>445</v>
      </c>
      <c r="G19" s="4" t="s">
        <v>47</v>
      </c>
      <c r="H19" s="4" t="s">
        <v>48</v>
      </c>
      <c r="I19" s="4"/>
      <c r="J19" s="4" t="s">
        <v>446</v>
      </c>
      <c r="K19" s="4" t="s">
        <v>50</v>
      </c>
    </row>
    <row r="20" spans="1:11" ht="28.5">
      <c r="A20" s="4">
        <v>17</v>
      </c>
      <c r="B20" s="4" t="s">
        <v>282</v>
      </c>
      <c r="C20" s="4" t="s">
        <v>447</v>
      </c>
      <c r="D20" s="4" t="s">
        <v>448</v>
      </c>
      <c r="E20" s="4" t="s">
        <v>449</v>
      </c>
      <c r="F20" s="4" t="s">
        <v>450</v>
      </c>
      <c r="G20" s="4" t="s">
        <v>55</v>
      </c>
      <c r="H20" s="4" t="s">
        <v>48</v>
      </c>
      <c r="I20" s="4"/>
      <c r="J20" s="4" t="s">
        <v>451</v>
      </c>
      <c r="K20" s="4" t="s">
        <v>50</v>
      </c>
    </row>
    <row r="21" spans="1:11" ht="28.5">
      <c r="A21" s="4">
        <v>18</v>
      </c>
      <c r="B21" s="4" t="s">
        <v>78</v>
      </c>
      <c r="C21" s="4" t="s">
        <v>79</v>
      </c>
      <c r="D21" s="4" t="s">
        <v>452</v>
      </c>
      <c r="E21" s="4" t="s">
        <v>453</v>
      </c>
      <c r="F21" s="4" t="s">
        <v>454</v>
      </c>
      <c r="G21" s="4" t="s">
        <v>55</v>
      </c>
      <c r="H21" s="4" t="s">
        <v>48</v>
      </c>
      <c r="I21" s="4"/>
      <c r="J21" s="4" t="s">
        <v>455</v>
      </c>
      <c r="K21" s="4" t="s">
        <v>50</v>
      </c>
    </row>
    <row r="22" spans="1:11" ht="114">
      <c r="A22" s="4">
        <v>19</v>
      </c>
      <c r="B22" s="4" t="s">
        <v>78</v>
      </c>
      <c r="C22" s="4" t="s">
        <v>79</v>
      </c>
      <c r="D22" s="4" t="s">
        <v>456</v>
      </c>
      <c r="E22" s="4" t="s">
        <v>457</v>
      </c>
      <c r="F22" s="4" t="s">
        <v>458</v>
      </c>
      <c r="G22" s="4" t="s">
        <v>55</v>
      </c>
      <c r="H22" s="4" t="s">
        <v>48</v>
      </c>
      <c r="I22" s="4" t="s">
        <v>644</v>
      </c>
      <c r="J22" s="4" t="s">
        <v>459</v>
      </c>
      <c r="K22" s="4" t="s">
        <v>50</v>
      </c>
    </row>
    <row r="23" spans="1:11" ht="114">
      <c r="A23" s="4">
        <v>20</v>
      </c>
      <c r="B23" s="4" t="s">
        <v>350</v>
      </c>
      <c r="C23" s="4" t="s">
        <v>460</v>
      </c>
      <c r="D23" s="4" t="s">
        <v>461</v>
      </c>
      <c r="E23" s="4" t="s">
        <v>462</v>
      </c>
      <c r="F23" s="4" t="s">
        <v>463</v>
      </c>
      <c r="G23" s="4" t="s">
        <v>354</v>
      </c>
      <c r="H23" s="4" t="s">
        <v>48</v>
      </c>
      <c r="I23" s="4" t="s">
        <v>644</v>
      </c>
      <c r="J23" s="4" t="s">
        <v>430</v>
      </c>
      <c r="K23" s="4" t="s">
        <v>50</v>
      </c>
    </row>
    <row r="24" spans="1:11" ht="28.5">
      <c r="A24" s="4">
        <v>21</v>
      </c>
      <c r="B24" s="4" t="s">
        <v>464</v>
      </c>
      <c r="C24" s="4" t="s">
        <v>465</v>
      </c>
      <c r="D24" s="4" t="s">
        <v>466</v>
      </c>
      <c r="E24" s="4" t="s">
        <v>467</v>
      </c>
      <c r="F24" s="4" t="s">
        <v>468</v>
      </c>
      <c r="G24" s="4" t="s">
        <v>47</v>
      </c>
      <c r="H24" s="4" t="s">
        <v>48</v>
      </c>
      <c r="I24" s="4" t="s">
        <v>664</v>
      </c>
      <c r="J24" s="4" t="s">
        <v>430</v>
      </c>
      <c r="K24" s="4" t="s">
        <v>50</v>
      </c>
    </row>
    <row r="25" spans="1:11" ht="57">
      <c r="A25" s="4">
        <v>22</v>
      </c>
      <c r="B25" s="4" t="s">
        <v>469</v>
      </c>
      <c r="C25" s="4" t="s">
        <v>470</v>
      </c>
      <c r="D25" s="4" t="s">
        <v>471</v>
      </c>
      <c r="E25" s="4" t="s">
        <v>472</v>
      </c>
      <c r="F25" s="4" t="s">
        <v>473</v>
      </c>
      <c r="G25" s="4" t="s">
        <v>47</v>
      </c>
      <c r="H25" s="4" t="s">
        <v>48</v>
      </c>
      <c r="I25" s="4" t="s">
        <v>665</v>
      </c>
      <c r="J25" s="4" t="s">
        <v>446</v>
      </c>
      <c r="K25" s="4" t="s">
        <v>50</v>
      </c>
    </row>
    <row r="26" spans="1:11" ht="28.5">
      <c r="A26" s="4">
        <v>23</v>
      </c>
      <c r="B26" s="4" t="s">
        <v>474</v>
      </c>
      <c r="C26" s="4" t="s">
        <v>475</v>
      </c>
      <c r="D26" s="4" t="s">
        <v>476</v>
      </c>
      <c r="E26" s="4" t="s">
        <v>477</v>
      </c>
      <c r="F26" s="4" t="s">
        <v>478</v>
      </c>
      <c r="G26" s="4" t="s">
        <v>47</v>
      </c>
      <c r="H26" s="4" t="s">
        <v>48</v>
      </c>
      <c r="I26" s="4" t="s">
        <v>666</v>
      </c>
      <c r="J26" s="4" t="s">
        <v>479</v>
      </c>
      <c r="K26" s="4" t="s">
        <v>50</v>
      </c>
    </row>
    <row r="27" spans="1:11" ht="28.5">
      <c r="A27" s="4">
        <v>24</v>
      </c>
      <c r="B27" s="4" t="s">
        <v>480</v>
      </c>
      <c r="C27" s="4" t="s">
        <v>481</v>
      </c>
      <c r="D27" s="4" t="s">
        <v>482</v>
      </c>
      <c r="E27" s="4" t="s">
        <v>483</v>
      </c>
      <c r="F27" s="4" t="s">
        <v>484</v>
      </c>
      <c r="G27" s="4" t="s">
        <v>55</v>
      </c>
      <c r="H27" s="4" t="s">
        <v>48</v>
      </c>
      <c r="I27" s="4" t="s">
        <v>667</v>
      </c>
      <c r="J27" s="4" t="s">
        <v>375</v>
      </c>
      <c r="K27" s="4" t="s">
        <v>50</v>
      </c>
    </row>
    <row r="28" spans="1:11" ht="28.5">
      <c r="A28" s="4">
        <v>25</v>
      </c>
      <c r="B28" s="4" t="s">
        <v>485</v>
      </c>
      <c r="C28" s="4" t="s">
        <v>486</v>
      </c>
      <c r="D28" s="4" t="s">
        <v>487</v>
      </c>
      <c r="E28" s="4" t="s">
        <v>488</v>
      </c>
      <c r="F28" s="4" t="s">
        <v>489</v>
      </c>
      <c r="G28" s="4" t="s">
        <v>47</v>
      </c>
      <c r="H28" s="4" t="s">
        <v>48</v>
      </c>
      <c r="I28" s="4" t="s">
        <v>668</v>
      </c>
      <c r="J28" s="4" t="s">
        <v>490</v>
      </c>
      <c r="K28" s="4" t="s">
        <v>50</v>
      </c>
    </row>
    <row r="29" spans="1:11" ht="42.75">
      <c r="A29" s="4">
        <v>26</v>
      </c>
      <c r="B29" s="4" t="s">
        <v>485</v>
      </c>
      <c r="C29" s="4" t="s">
        <v>491</v>
      </c>
      <c r="D29" s="4" t="s">
        <v>492</v>
      </c>
      <c r="E29" s="4" t="s">
        <v>493</v>
      </c>
      <c r="F29" s="4" t="s">
        <v>494</v>
      </c>
      <c r="G29" s="4" t="s">
        <v>55</v>
      </c>
      <c r="H29" s="4" t="s">
        <v>495</v>
      </c>
      <c r="I29" s="4" t="s">
        <v>669</v>
      </c>
      <c r="J29" s="4" t="s">
        <v>496</v>
      </c>
      <c r="K29" s="4" t="s">
        <v>50</v>
      </c>
    </row>
    <row r="30" spans="1:11" ht="57">
      <c r="A30" s="4">
        <v>27</v>
      </c>
      <c r="B30" s="4" t="s">
        <v>497</v>
      </c>
      <c r="C30" s="4" t="s">
        <v>498</v>
      </c>
      <c r="D30" s="4" t="s">
        <v>499</v>
      </c>
      <c r="E30" s="4" t="s">
        <v>500</v>
      </c>
      <c r="F30" s="4" t="s">
        <v>501</v>
      </c>
      <c r="G30" s="4" t="s">
        <v>55</v>
      </c>
      <c r="H30" s="4" t="s">
        <v>495</v>
      </c>
      <c r="I30" s="4" t="s">
        <v>671</v>
      </c>
      <c r="J30" s="4" t="s">
        <v>496</v>
      </c>
      <c r="K30" s="4" t="s">
        <v>50</v>
      </c>
    </row>
    <row r="31" spans="1:11" ht="42.75">
      <c r="A31" s="4">
        <v>28</v>
      </c>
      <c r="B31" s="4" t="s">
        <v>502</v>
      </c>
      <c r="C31" s="4" t="s">
        <v>503</v>
      </c>
      <c r="D31" s="4" t="s">
        <v>504</v>
      </c>
      <c r="E31" s="4" t="s">
        <v>505</v>
      </c>
      <c r="F31" s="4" t="s">
        <v>506</v>
      </c>
      <c r="G31" s="4" t="s">
        <v>55</v>
      </c>
      <c r="H31" s="4" t="s">
        <v>495</v>
      </c>
      <c r="I31" s="4" t="s">
        <v>670</v>
      </c>
      <c r="J31" s="4" t="s">
        <v>496</v>
      </c>
      <c r="K31" s="4" t="s">
        <v>50</v>
      </c>
    </row>
    <row r="32" spans="1:11" ht="128.25">
      <c r="A32" s="4">
        <v>29</v>
      </c>
      <c r="B32" s="4" t="s">
        <v>502</v>
      </c>
      <c r="C32" s="4" t="s">
        <v>507</v>
      </c>
      <c r="D32" s="4" t="s">
        <v>508</v>
      </c>
      <c r="E32" s="4" t="s">
        <v>509</v>
      </c>
      <c r="F32" s="4" t="s">
        <v>510</v>
      </c>
      <c r="G32" s="4" t="s">
        <v>55</v>
      </c>
      <c r="H32" s="4" t="s">
        <v>48</v>
      </c>
      <c r="I32" s="4" t="s">
        <v>672</v>
      </c>
      <c r="J32" s="4" t="s">
        <v>375</v>
      </c>
      <c r="K32" s="4" t="s">
        <v>50</v>
      </c>
    </row>
    <row r="33" spans="1:11" ht="42.75">
      <c r="A33" s="4">
        <v>30</v>
      </c>
      <c r="B33" s="4" t="s">
        <v>497</v>
      </c>
      <c r="C33" s="4" t="s">
        <v>511</v>
      </c>
      <c r="D33" s="4" t="s">
        <v>512</v>
      </c>
      <c r="E33" s="4" t="s">
        <v>513</v>
      </c>
      <c r="F33" s="4" t="s">
        <v>514</v>
      </c>
      <c r="G33" s="4" t="s">
        <v>47</v>
      </c>
      <c r="H33" s="4" t="s">
        <v>48</v>
      </c>
      <c r="I33" s="4" t="s">
        <v>674</v>
      </c>
      <c r="J33" s="4" t="s">
        <v>515</v>
      </c>
      <c r="K33" s="4" t="s">
        <v>50</v>
      </c>
    </row>
    <row r="34" spans="1:11">
      <c r="A34" s="4">
        <v>31</v>
      </c>
      <c r="B34" s="4" t="s">
        <v>516</v>
      </c>
      <c r="C34" s="4" t="s">
        <v>517</v>
      </c>
      <c r="D34" s="4" t="s">
        <v>518</v>
      </c>
      <c r="E34" s="4" t="s">
        <v>519</v>
      </c>
      <c r="F34" s="4" t="s">
        <v>520</v>
      </c>
      <c r="G34" s="4" t="s">
        <v>47</v>
      </c>
      <c r="H34" s="4" t="s">
        <v>495</v>
      </c>
      <c r="I34" s="4" t="s">
        <v>495</v>
      </c>
      <c r="J34" s="4" t="s">
        <v>496</v>
      </c>
      <c r="K34" s="4" t="s">
        <v>50</v>
      </c>
    </row>
    <row r="35" spans="1:11" ht="42.75">
      <c r="A35" s="4">
        <v>32</v>
      </c>
      <c r="B35" s="4" t="s">
        <v>516</v>
      </c>
      <c r="C35" s="4" t="s">
        <v>521</v>
      </c>
      <c r="D35" s="4" t="s">
        <v>522</v>
      </c>
      <c r="E35" s="4" t="s">
        <v>523</v>
      </c>
      <c r="F35" s="4" t="s">
        <v>524</v>
      </c>
      <c r="G35" s="4" t="s">
        <v>55</v>
      </c>
      <c r="H35" s="4" t="s">
        <v>495</v>
      </c>
      <c r="I35" s="4" t="s">
        <v>675</v>
      </c>
      <c r="J35" s="4" t="s">
        <v>496</v>
      </c>
      <c r="K35" s="4" t="s">
        <v>50</v>
      </c>
    </row>
    <row r="36" spans="1:11" ht="28.5">
      <c r="A36" s="5">
        <v>33</v>
      </c>
      <c r="B36" s="5" t="s">
        <v>525</v>
      </c>
      <c r="C36" s="5" t="s">
        <v>526</v>
      </c>
      <c r="D36" s="5" t="s">
        <v>527</v>
      </c>
      <c r="E36" s="5" t="s">
        <v>528</v>
      </c>
      <c r="F36" s="5" t="s">
        <v>529</v>
      </c>
      <c r="G36" s="5" t="s">
        <v>354</v>
      </c>
      <c r="H36" s="5" t="s">
        <v>48</v>
      </c>
      <c r="I36" s="5" t="s">
        <v>676</v>
      </c>
      <c r="J36" s="5" t="s">
        <v>430</v>
      </c>
      <c r="K36" s="5" t="s">
        <v>57</v>
      </c>
    </row>
    <row r="45" spans="1:11">
      <c r="I45" s="13" t="s">
        <v>673</v>
      </c>
    </row>
  </sheetData>
  <mergeCells count="1">
    <mergeCell ref="A1:K1"/>
  </mergeCells>
  <conditionalFormatting sqref="H4:H36">
    <cfRule type="containsText" dxfId="4" priority="1" operator="containsText" text="Закрыто"/>
    <cfRule type="containsText" dxfId="3" priority="2" operator="containsText" text="Принято"/>
    <cfRule type="containsText" dxfId="2" priority="3" operator="containsText" text="Не начато"/>
  </conditionalFormatting>
  <conditionalFormatting sqref="G4:G36">
    <cfRule type="containsText" dxfId="1" priority="4" operator="containsText" text="Критический"/>
    <cfRule type="containsText" dxfId="0" priority="5" operator="containsText" text="Высокий"/>
  </conditionalFormatting>
  <dataValidations disablePrompts="1" count="1">
    <dataValidation type="list" sqref="H4:H36">
      <formula1>"Не начато,В работе,Ожидает подтверждения,Принято,Отложено,Закрыто"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showGridLines="0" workbookViewId="0">
      <selection activeCell="E17" sqref="E17"/>
    </sheetView>
  </sheetViews>
  <sheetFormatPr defaultRowHeight="14.25"/>
  <cols>
    <col min="1" max="1" width="6" customWidth="1"/>
    <col min="2" max="2" width="42" customWidth="1"/>
    <col min="3" max="3" width="34" customWidth="1"/>
    <col min="4" max="4" width="22" customWidth="1"/>
    <col min="5" max="5" width="62" customWidth="1"/>
    <col min="6" max="6" width="14" customWidth="1"/>
  </cols>
  <sheetData>
    <row r="1" spans="1:6" ht="30" customHeight="1">
      <c r="A1" s="19" t="s">
        <v>530</v>
      </c>
      <c r="B1" s="19"/>
      <c r="C1" s="19"/>
      <c r="D1" s="19"/>
      <c r="E1" s="19"/>
      <c r="F1" s="19"/>
    </row>
    <row r="3" spans="1:6" ht="39.950000000000003" customHeight="1">
      <c r="A3" s="2" t="s">
        <v>27</v>
      </c>
      <c r="B3" s="2" t="s">
        <v>531</v>
      </c>
      <c r="C3" s="2" t="s">
        <v>532</v>
      </c>
      <c r="D3" s="2" t="s">
        <v>533</v>
      </c>
      <c r="E3" s="2" t="s">
        <v>24</v>
      </c>
      <c r="F3" s="2" t="s">
        <v>39</v>
      </c>
    </row>
    <row r="4" spans="1:6" ht="28.5">
      <c r="A4" s="3">
        <v>1</v>
      </c>
      <c r="B4" s="3" t="s">
        <v>534</v>
      </c>
      <c r="C4" s="3" t="s">
        <v>535</v>
      </c>
      <c r="D4" s="3" t="s">
        <v>536</v>
      </c>
      <c r="E4" s="3" t="s">
        <v>537</v>
      </c>
      <c r="F4" s="3" t="s">
        <v>50</v>
      </c>
    </row>
    <row r="5" spans="1:6">
      <c r="A5" s="4">
        <v>2</v>
      </c>
      <c r="B5" s="4" t="s">
        <v>538</v>
      </c>
      <c r="C5" s="4" t="s">
        <v>539</v>
      </c>
      <c r="D5" s="4" t="s">
        <v>536</v>
      </c>
      <c r="E5" s="4" t="s">
        <v>540</v>
      </c>
      <c r="F5" s="4" t="s">
        <v>50</v>
      </c>
    </row>
    <row r="6" spans="1:6" ht="28.5">
      <c r="A6" s="4">
        <v>3</v>
      </c>
      <c r="B6" s="4" t="s">
        <v>541</v>
      </c>
      <c r="C6" s="4" t="s">
        <v>542</v>
      </c>
      <c r="D6" s="4" t="s">
        <v>536</v>
      </c>
      <c r="E6" s="4" t="s">
        <v>543</v>
      </c>
      <c r="F6" s="4" t="s">
        <v>50</v>
      </c>
    </row>
    <row r="7" spans="1:6" ht="28.5">
      <c r="A7" s="4">
        <v>4</v>
      </c>
      <c r="B7" s="4" t="s">
        <v>544</v>
      </c>
      <c r="C7" s="4" t="s">
        <v>545</v>
      </c>
      <c r="D7" s="4" t="s">
        <v>536</v>
      </c>
      <c r="E7" s="4" t="s">
        <v>546</v>
      </c>
      <c r="F7" s="4" t="s">
        <v>50</v>
      </c>
    </row>
    <row r="8" spans="1:6" ht="28.5">
      <c r="A8" s="4">
        <v>5</v>
      </c>
      <c r="B8" s="4" t="s">
        <v>547</v>
      </c>
      <c r="C8" s="4" t="s">
        <v>548</v>
      </c>
      <c r="D8" s="4" t="s">
        <v>549</v>
      </c>
      <c r="E8" s="4" t="s">
        <v>550</v>
      </c>
      <c r="F8" s="4" t="s">
        <v>50</v>
      </c>
    </row>
    <row r="9" spans="1:6" ht="28.5">
      <c r="A9" s="4">
        <v>6</v>
      </c>
      <c r="B9" s="4" t="s">
        <v>551</v>
      </c>
      <c r="C9" s="4" t="s">
        <v>552</v>
      </c>
      <c r="D9" s="4" t="s">
        <v>553</v>
      </c>
      <c r="E9" s="4" t="s">
        <v>554</v>
      </c>
      <c r="F9" s="4" t="s">
        <v>50</v>
      </c>
    </row>
    <row r="10" spans="1:6" ht="28.5">
      <c r="A10" s="4">
        <v>7</v>
      </c>
      <c r="B10" s="4" t="s">
        <v>555</v>
      </c>
      <c r="C10" s="4" t="s">
        <v>556</v>
      </c>
      <c r="D10" s="4" t="s">
        <v>557</v>
      </c>
      <c r="E10" s="4" t="s">
        <v>558</v>
      </c>
      <c r="F10" s="4" t="s">
        <v>50</v>
      </c>
    </row>
    <row r="11" spans="1:6">
      <c r="A11" s="4">
        <v>8</v>
      </c>
      <c r="B11" s="4" t="s">
        <v>559</v>
      </c>
      <c r="C11" s="4" t="s">
        <v>560</v>
      </c>
      <c r="D11" s="4" t="s">
        <v>561</v>
      </c>
      <c r="E11" s="4" t="s">
        <v>562</v>
      </c>
      <c r="F11" s="4" t="s">
        <v>50</v>
      </c>
    </row>
    <row r="12" spans="1:6" ht="28.5">
      <c r="A12" s="5">
        <v>9</v>
      </c>
      <c r="B12" s="5" t="s">
        <v>517</v>
      </c>
      <c r="C12" s="5" t="s">
        <v>563</v>
      </c>
      <c r="D12" s="5" t="s">
        <v>8</v>
      </c>
      <c r="E12" s="5" t="s">
        <v>564</v>
      </c>
      <c r="F12" s="5" t="s">
        <v>50</v>
      </c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Сводка</vt:lpstr>
      <vt:lpstr>Требуются коды 1С</vt:lpstr>
      <vt:lpstr>Не определено как считать</vt:lpstr>
      <vt:lpstr>Источники и ограничения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Bannikov</cp:lastModifiedBy>
  <dcterms:modified xsi:type="dcterms:W3CDTF">2026-08-27T12:38:02Z</dcterms:modified>
</cp:coreProperties>
</file>