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0.10\общая\Расчёт мастера\"/>
    </mc:Choice>
  </mc:AlternateContent>
  <xr:revisionPtr revIDLastSave="0" documentId="13_ncr:1_{88084BB6-C1D0-48B7-96DE-090C12890D48}" xr6:coauthVersionLast="47" xr6:coauthVersionMax="47" xr10:uidLastSave="{00000000-0000-0000-0000-000000000000}"/>
  <bookViews>
    <workbookView xWindow="-120" yWindow="-120" windowWidth="29040" windowHeight="15840" tabRatio="933" activeTab="2" xr2:uid="{00000000-000D-0000-FFFF-FFFF00000000}"/>
  </bookViews>
  <sheets>
    <sheet name="БАЗА" sheetId="10" r:id="rId1"/>
    <sheet name="СПРАВОЧНИК" sheetId="13" r:id="rId2"/>
    <sheet name="форма для расчета" sheetId="5" r:id="rId3"/>
    <sheet name="Последние изменения" sheetId="14" r:id="rId4"/>
  </sheets>
  <definedNames>
    <definedName name="_xlnm._FilterDatabase" localSheetId="0" hidden="1">БАЗА!$A$1:$M$1893</definedName>
    <definedName name="_xlnm._FilterDatabase" localSheetId="3" hidden="1">'Последние изменения'!$A$2:$B$2</definedName>
    <definedName name="_xlnm.Print_Area" localSheetId="0">БАЗА!$A$1:$H$1872</definedName>
    <definedName name="_xlnm.Print_Area" localSheetId="2">'форма для расчета'!$A$1:$G$25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5" i="10" l="1"/>
  <c r="E595" i="10" s="1"/>
  <c r="G596" i="10"/>
  <c r="F596" i="10" s="1"/>
  <c r="F597" i="10"/>
  <c r="G597" i="10"/>
  <c r="E597" i="10" s="1"/>
  <c r="G598" i="10"/>
  <c r="F598" i="10" s="1"/>
  <c r="F599" i="10"/>
  <c r="G599" i="10"/>
  <c r="E599" i="10" s="1"/>
  <c r="G600" i="10"/>
  <c r="F600" i="10" s="1"/>
  <c r="F601" i="10"/>
  <c r="G601" i="10"/>
  <c r="E601" i="10" s="1"/>
  <c r="G602" i="10"/>
  <c r="F602" i="10" s="1"/>
  <c r="G192" i="10"/>
  <c r="G193" i="10"/>
  <c r="G194" i="10"/>
  <c r="G195" i="10"/>
  <c r="G196" i="10"/>
  <c r="G942" i="10"/>
  <c r="F942" i="10" s="1"/>
  <c r="G941" i="10"/>
  <c r="F941" i="10" s="1"/>
  <c r="G566" i="10"/>
  <c r="F595" i="10" l="1"/>
  <c r="E602" i="10"/>
  <c r="E600" i="10"/>
  <c r="E598" i="10"/>
  <c r="E596" i="10"/>
  <c r="E942" i="10"/>
  <c r="E941" i="10"/>
  <c r="G943" i="10" l="1"/>
  <c r="F943" i="10" s="1"/>
  <c r="G944" i="10"/>
  <c r="E944" i="10" s="1"/>
  <c r="G940" i="10"/>
  <c r="F940" i="10" s="1"/>
  <c r="G270" i="10"/>
  <c r="E270" i="10" s="1"/>
  <c r="G271" i="10"/>
  <c r="F271" i="10" s="1"/>
  <c r="G272" i="10"/>
  <c r="E272" i="10" s="1"/>
  <c r="G273" i="10"/>
  <c r="F273" i="10" s="1"/>
  <c r="G330" i="10"/>
  <c r="E330" i="10" s="1"/>
  <c r="G331" i="10"/>
  <c r="F331" i="10" s="1"/>
  <c r="G332" i="10"/>
  <c r="E332" i="10" s="1"/>
  <c r="G329" i="10"/>
  <c r="F329" i="10" s="1"/>
  <c r="G1551" i="10"/>
  <c r="E1551" i="10" s="1"/>
  <c r="G1552" i="10"/>
  <c r="F1552" i="10" s="1"/>
  <c r="G1553" i="10"/>
  <c r="E1553" i="10" s="1"/>
  <c r="G1554" i="10"/>
  <c r="F1554" i="10" s="1"/>
  <c r="G1555" i="10"/>
  <c r="E1555" i="10" s="1"/>
  <c r="G1556" i="10"/>
  <c r="F1556" i="10" s="1"/>
  <c r="G1557" i="10"/>
  <c r="E1557" i="10" s="1"/>
  <c r="G1558" i="10"/>
  <c r="F1558" i="10" s="1"/>
  <c r="G1559" i="10"/>
  <c r="E1559" i="10" s="1"/>
  <c r="G1560" i="10"/>
  <c r="F1560" i="10" s="1"/>
  <c r="G1561" i="10"/>
  <c r="E1561" i="10" s="1"/>
  <c r="G1562" i="10"/>
  <c r="F1562" i="10" s="1"/>
  <c r="G1563" i="10"/>
  <c r="E1563" i="10" s="1"/>
  <c r="G1565" i="10"/>
  <c r="E1565" i="10" s="1"/>
  <c r="G1564" i="10"/>
  <c r="F1564" i="10" s="1"/>
  <c r="F1565" i="10"/>
  <c r="F332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6" i="10"/>
  <c r="F667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634" i="10"/>
  <c r="F252" i="10"/>
  <c r="F254" i="10"/>
  <c r="F260" i="10"/>
  <c r="F264" i="10"/>
  <c r="F265" i="10"/>
  <c r="F297" i="10"/>
  <c r="F302" i="10"/>
  <c r="F307" i="10"/>
  <c r="F352" i="10"/>
  <c r="F355" i="10"/>
  <c r="F357" i="10"/>
  <c r="F361" i="10"/>
  <c r="F365" i="10"/>
  <c r="F392" i="10"/>
  <c r="F404" i="10"/>
  <c r="F405" i="10"/>
  <c r="F418" i="10"/>
  <c r="F425" i="10"/>
  <c r="F426" i="10"/>
  <c r="F427" i="10"/>
  <c r="F428" i="10"/>
  <c r="F429" i="10"/>
  <c r="F430" i="10"/>
  <c r="F439" i="10"/>
  <c r="F446" i="10"/>
  <c r="F447" i="10"/>
  <c r="F454" i="10"/>
  <c r="F457" i="10"/>
  <c r="F466" i="10"/>
  <c r="F479" i="10"/>
  <c r="F484" i="10"/>
  <c r="F485" i="10"/>
  <c r="F504" i="10"/>
  <c r="F507" i="10"/>
  <c r="F545" i="10"/>
  <c r="F551" i="10"/>
  <c r="F556" i="10"/>
  <c r="F563" i="10"/>
  <c r="F578" i="10"/>
  <c r="F579" i="10"/>
  <c r="F580" i="10"/>
  <c r="F585" i="10"/>
  <c r="F591" i="10"/>
  <c r="F626" i="10"/>
  <c r="F627" i="10"/>
  <c r="F633" i="10"/>
  <c r="F635" i="10"/>
  <c r="F636" i="10"/>
  <c r="F637" i="10"/>
  <c r="G209" i="10"/>
  <c r="F209" i="10" s="1"/>
  <c r="G210" i="10"/>
  <c r="F210" i="10" s="1"/>
  <c r="G211" i="10"/>
  <c r="F211" i="10" s="1"/>
  <c r="G212" i="10"/>
  <c r="F212" i="10" s="1"/>
  <c r="G213" i="10"/>
  <c r="F213" i="10" s="1"/>
  <c r="G214" i="10"/>
  <c r="F214" i="10" s="1"/>
  <c r="G215" i="10"/>
  <c r="F215" i="10" s="1"/>
  <c r="G565" i="10"/>
  <c r="F565" i="10" s="1"/>
  <c r="F566" i="10"/>
  <c r="G567" i="10"/>
  <c r="F567" i="10" s="1"/>
  <c r="G568" i="10"/>
  <c r="F568" i="10" s="1"/>
  <c r="G569" i="10"/>
  <c r="F569" i="10" s="1"/>
  <c r="G570" i="10"/>
  <c r="F570" i="10" s="1"/>
  <c r="G571" i="10"/>
  <c r="F571" i="10" s="1"/>
  <c r="G572" i="10"/>
  <c r="F572" i="10" s="1"/>
  <c r="G573" i="10"/>
  <c r="F573" i="10" s="1"/>
  <c r="G574" i="10"/>
  <c r="F574" i="10" s="1"/>
  <c r="G575" i="10"/>
  <c r="F575" i="10" s="1"/>
  <c r="G576" i="10"/>
  <c r="F576" i="10" s="1"/>
  <c r="G577" i="10"/>
  <c r="F577" i="10" s="1"/>
  <c r="G564" i="10"/>
  <c r="F564" i="10" s="1"/>
  <c r="G582" i="10"/>
  <c r="F582" i="10" s="1"/>
  <c r="G583" i="10"/>
  <c r="F583" i="10" s="1"/>
  <c r="G584" i="10"/>
  <c r="F584" i="10" s="1"/>
  <c r="G581" i="10"/>
  <c r="F581" i="10" s="1"/>
  <c r="G587" i="10"/>
  <c r="G588" i="10"/>
  <c r="F588" i="10" s="1"/>
  <c r="G589" i="10"/>
  <c r="F589" i="10" s="1"/>
  <c r="G590" i="10"/>
  <c r="E590" i="10" s="1"/>
  <c r="E591" i="10"/>
  <c r="G586" i="10"/>
  <c r="F586" i="10" s="1"/>
  <c r="I253" i="10"/>
  <c r="K253" i="10" s="1"/>
  <c r="J253" i="10" s="1"/>
  <c r="G253" i="10"/>
  <c r="F253" i="10" s="1"/>
  <c r="G263" i="10"/>
  <c r="G262" i="10"/>
  <c r="E262" i="10" s="1"/>
  <c r="G261" i="10"/>
  <c r="G259" i="10"/>
  <c r="F259" i="10" s="1"/>
  <c r="G258" i="10"/>
  <c r="F258" i="10" s="1"/>
  <c r="G257" i="10"/>
  <c r="G256" i="10"/>
  <c r="F256" i="10" s="1"/>
  <c r="G255" i="10"/>
  <c r="I255" i="10"/>
  <c r="K255" i="10" s="1"/>
  <c r="J255" i="10" s="1"/>
  <c r="I259" i="10"/>
  <c r="K259" i="10" s="1"/>
  <c r="J259" i="10" s="1"/>
  <c r="I256" i="10"/>
  <c r="K256" i="10" s="1"/>
  <c r="J256" i="10" s="1"/>
  <c r="I257" i="10"/>
  <c r="K257" i="10" s="1"/>
  <c r="J257" i="10" s="1"/>
  <c r="I262" i="10"/>
  <c r="K262" i="10" s="1"/>
  <c r="J262" i="10" s="1"/>
  <c r="I263" i="10"/>
  <c r="K263" i="10" s="1"/>
  <c r="J263" i="10" s="1"/>
  <c r="G208" i="10"/>
  <c r="F208" i="10" s="1"/>
  <c r="I261" i="10"/>
  <c r="K261" i="10" s="1"/>
  <c r="J261" i="10" s="1"/>
  <c r="I258" i="10"/>
  <c r="K258" i="10" s="1"/>
  <c r="J258" i="10" s="1"/>
  <c r="G1261" i="10"/>
  <c r="F1261" i="10" s="1"/>
  <c r="I1262" i="10"/>
  <c r="K1262" i="10" s="1"/>
  <c r="J1262" i="10" s="1"/>
  <c r="G1262" i="10"/>
  <c r="F1262" i="10" s="1"/>
  <c r="I1261" i="10"/>
  <c r="K1261" i="10" s="1"/>
  <c r="J1261" i="10" s="1"/>
  <c r="I1260" i="10"/>
  <c r="K1260" i="10" s="1"/>
  <c r="J1260" i="10" s="1"/>
  <c r="G1260" i="10"/>
  <c r="F1260" i="10" s="1"/>
  <c r="I1259" i="10"/>
  <c r="K1259" i="10" s="1"/>
  <c r="J1259" i="10" s="1"/>
  <c r="G1259" i="10"/>
  <c r="E1259" i="10" s="1"/>
  <c r="I1258" i="10"/>
  <c r="K1258" i="10" s="1"/>
  <c r="J1258" i="10" s="1"/>
  <c r="G1258" i="10"/>
  <c r="F1258" i="10" s="1"/>
  <c r="F330" i="10" l="1"/>
  <c r="E940" i="10"/>
  <c r="F944" i="10"/>
  <c r="E943" i="10"/>
  <c r="F272" i="10"/>
  <c r="F270" i="10"/>
  <c r="E273" i="10"/>
  <c r="E271" i="10"/>
  <c r="E329" i="10"/>
  <c r="F1557" i="10"/>
  <c r="F1561" i="10"/>
  <c r="F1553" i="10"/>
  <c r="E1564" i="10"/>
  <c r="F1563" i="10"/>
  <c r="F1559" i="10"/>
  <c r="F1555" i="10"/>
  <c r="F1551" i="10"/>
  <c r="E1562" i="10"/>
  <c r="E1560" i="10"/>
  <c r="E1558" i="10"/>
  <c r="E1556" i="10"/>
  <c r="E1554" i="10"/>
  <c r="E1552" i="10"/>
  <c r="E331" i="10"/>
  <c r="F590" i="10"/>
  <c r="F262" i="10"/>
  <c r="E261" i="10"/>
  <c r="F261" i="10"/>
  <c r="E263" i="10"/>
  <c r="F263" i="10"/>
  <c r="E587" i="10"/>
  <c r="F587" i="10"/>
  <c r="E255" i="10"/>
  <c r="F255" i="10"/>
  <c r="E257" i="10"/>
  <c r="F257" i="10"/>
  <c r="E579" i="10"/>
  <c r="E578" i="10"/>
  <c r="E589" i="10"/>
  <c r="E576" i="10"/>
  <c r="E574" i="10"/>
  <c r="E572" i="10"/>
  <c r="E568" i="10"/>
  <c r="E566" i="10"/>
  <c r="E571" i="10"/>
  <c r="E565" i="10"/>
  <c r="E570" i="10"/>
  <c r="E577" i="10"/>
  <c r="E575" i="10"/>
  <c r="E573" i="10"/>
  <c r="E569" i="10"/>
  <c r="E567" i="10"/>
  <c r="E564" i="10"/>
  <c r="E583" i="10"/>
  <c r="E582" i="10"/>
  <c r="E584" i="10"/>
  <c r="E581" i="10"/>
  <c r="E588" i="10"/>
  <c r="E586" i="10"/>
  <c r="E253" i="10"/>
  <c r="E259" i="10"/>
  <c r="E258" i="10"/>
  <c r="E256" i="10"/>
  <c r="F1259" i="10"/>
  <c r="E1261" i="10"/>
  <c r="E1258" i="10"/>
  <c r="E1260" i="10"/>
  <c r="E1262" i="10"/>
  <c r="G1236" i="10" l="1"/>
  <c r="G1233" i="10" l="1"/>
  <c r="G1137" i="10" l="1"/>
  <c r="G1235" i="10"/>
  <c r="G1240" i="10"/>
  <c r="I1082" i="10" l="1"/>
  <c r="K1082" i="10" s="1"/>
  <c r="I1081" i="10"/>
  <c r="K1081" i="10" s="1"/>
  <c r="I1080" i="10"/>
  <c r="K1080" i="10" s="1"/>
  <c r="I1079" i="10"/>
  <c r="K1079" i="10" s="1"/>
  <c r="I1451" i="10"/>
  <c r="K1451" i="10" s="1"/>
  <c r="I827" i="10"/>
  <c r="K827" i="10" s="1"/>
  <c r="J827" i="10" s="1"/>
  <c r="G1203" i="10"/>
  <c r="F1203" i="10" s="1"/>
  <c r="G237" i="10"/>
  <c r="F237" i="10" s="1"/>
  <c r="G236" i="10"/>
  <c r="F236" i="10" s="1"/>
  <c r="G235" i="10"/>
  <c r="F235" i="10" s="1"/>
  <c r="G219" i="10"/>
  <c r="F219" i="10" s="1"/>
  <c r="G218" i="10"/>
  <c r="F218" i="10" s="1"/>
  <c r="G217" i="10"/>
  <c r="F217" i="10" s="1"/>
  <c r="G201" i="10"/>
  <c r="F201" i="10" s="1"/>
  <c r="G200" i="10"/>
  <c r="F200" i="10" s="1"/>
  <c r="G1205" i="10"/>
  <c r="G1157" i="10"/>
  <c r="F1157" i="10" s="1"/>
  <c r="I22" i="10"/>
  <c r="K22" i="10" s="1"/>
  <c r="J22" i="10" s="1"/>
  <c r="G22" i="10"/>
  <c r="F22" i="10" s="1"/>
  <c r="I21" i="10"/>
  <c r="K21" i="10" s="1"/>
  <c r="J21" i="10" s="1"/>
  <c r="G21" i="10"/>
  <c r="F21" i="10" s="1"/>
  <c r="I20" i="10"/>
  <c r="K20" i="10" s="1"/>
  <c r="J20" i="10" s="1"/>
  <c r="G20" i="10"/>
  <c r="F20" i="10" s="1"/>
  <c r="I19" i="10"/>
  <c r="K19" i="10" s="1"/>
  <c r="J19" i="10" s="1"/>
  <c r="G19" i="10"/>
  <c r="F19" i="10" s="1"/>
  <c r="G1201" i="10"/>
  <c r="I1893" i="10"/>
  <c r="K1893" i="10" s="1"/>
  <c r="I1892" i="10"/>
  <c r="K1892" i="10" s="1"/>
  <c r="I1891" i="10"/>
  <c r="K1891" i="10" s="1"/>
  <c r="I1890" i="10"/>
  <c r="K1890" i="10" s="1"/>
  <c r="I1889" i="10"/>
  <c r="K1889" i="10" s="1"/>
  <c r="I1888" i="10"/>
  <c r="K1888" i="10" s="1"/>
  <c r="I1887" i="10"/>
  <c r="K1887" i="10" s="1"/>
  <c r="I1886" i="10"/>
  <c r="K1886" i="10" s="1"/>
  <c r="G1079" i="10" l="1"/>
  <c r="E1079" i="10" s="1"/>
  <c r="J1079" i="10"/>
  <c r="F1079" i="10" s="1"/>
  <c r="G1081" i="10"/>
  <c r="E1081" i="10" s="1"/>
  <c r="J1081" i="10"/>
  <c r="F1081" i="10" s="1"/>
  <c r="J1080" i="10"/>
  <c r="F1080" i="10" s="1"/>
  <c r="G1080" i="10"/>
  <c r="E1080" i="10" s="1"/>
  <c r="J1082" i="10"/>
  <c r="F1082" i="10" s="1"/>
  <c r="G1082" i="10"/>
  <c r="E1082" i="10" s="1"/>
  <c r="G1451" i="10"/>
  <c r="J1451" i="10"/>
  <c r="E1203" i="10"/>
  <c r="G827" i="10"/>
  <c r="E219" i="10"/>
  <c r="E235" i="10"/>
  <c r="E236" i="10"/>
  <c r="E237" i="10"/>
  <c r="E201" i="10"/>
  <c r="E217" i="10"/>
  <c r="E1157" i="10"/>
  <c r="E218" i="10"/>
  <c r="E19" i="10"/>
  <c r="E200" i="10"/>
  <c r="E21" i="10"/>
  <c r="E20" i="10"/>
  <c r="E22" i="10"/>
  <c r="J1892" i="10"/>
  <c r="F1892" i="10" s="1"/>
  <c r="G1892" i="10"/>
  <c r="E1892" i="10" s="1"/>
  <c r="J1886" i="10"/>
  <c r="F1886" i="10" s="1"/>
  <c r="G1886" i="10"/>
  <c r="E1886" i="10" s="1"/>
  <c r="J1888" i="10"/>
  <c r="F1888" i="10" s="1"/>
  <c r="G1888" i="10"/>
  <c r="E1888" i="10" s="1"/>
  <c r="J1890" i="10"/>
  <c r="F1890" i="10" s="1"/>
  <c r="G1890" i="10"/>
  <c r="E1890" i="10" s="1"/>
  <c r="J1887" i="10"/>
  <c r="F1887" i="10" s="1"/>
  <c r="G1887" i="10"/>
  <c r="E1887" i="10" s="1"/>
  <c r="J1889" i="10"/>
  <c r="F1889" i="10" s="1"/>
  <c r="G1889" i="10"/>
  <c r="E1889" i="10" s="1"/>
  <c r="J1891" i="10"/>
  <c r="F1891" i="10" s="1"/>
  <c r="G1891" i="10"/>
  <c r="E1891" i="10" s="1"/>
  <c r="J1893" i="10"/>
  <c r="F1893" i="10" s="1"/>
  <c r="G1893" i="10"/>
  <c r="E1893" i="10" s="1"/>
  <c r="G1194" i="10"/>
  <c r="E1194" i="10" s="1"/>
  <c r="G1195" i="10"/>
  <c r="F1195" i="10" s="1"/>
  <c r="G1196" i="10"/>
  <c r="E1196" i="10" s="1"/>
  <c r="G1197" i="10"/>
  <c r="F1197" i="10" s="1"/>
  <c r="G1198" i="10"/>
  <c r="E1198" i="10" s="1"/>
  <c r="G1199" i="10"/>
  <c r="F1199" i="10" s="1"/>
  <c r="G1200" i="10"/>
  <c r="E1200" i="10" s="1"/>
  <c r="F1201" i="10"/>
  <c r="G1193" i="10"/>
  <c r="F1193" i="10" s="1"/>
  <c r="G1192" i="10"/>
  <c r="F1192" i="10" s="1"/>
  <c r="G1183" i="10"/>
  <c r="E1183" i="10" s="1"/>
  <c r="G1184" i="10"/>
  <c r="F1184" i="10" s="1"/>
  <c r="G1185" i="10"/>
  <c r="E1185" i="10" s="1"/>
  <c r="G1186" i="10"/>
  <c r="F1186" i="10" s="1"/>
  <c r="G1187" i="10"/>
  <c r="E1187" i="10" s="1"/>
  <c r="G1188" i="10"/>
  <c r="F1188" i="10" s="1"/>
  <c r="G1189" i="10"/>
  <c r="E1189" i="10" s="1"/>
  <c r="G1190" i="10"/>
  <c r="F1190" i="10" s="1"/>
  <c r="G1182" i="10"/>
  <c r="F1182" i="10" s="1"/>
  <c r="G1181" i="10"/>
  <c r="F1181" i="10" s="1"/>
  <c r="G1172" i="10"/>
  <c r="E1172" i="10" s="1"/>
  <c r="G1173" i="10"/>
  <c r="F1173" i="10" s="1"/>
  <c r="G1174" i="10"/>
  <c r="E1174" i="10" s="1"/>
  <c r="G1175" i="10"/>
  <c r="F1175" i="10" s="1"/>
  <c r="G1176" i="10"/>
  <c r="E1176" i="10" s="1"/>
  <c r="G1177" i="10"/>
  <c r="F1177" i="10" s="1"/>
  <c r="G1178" i="10"/>
  <c r="E1178" i="10" s="1"/>
  <c r="G1179" i="10"/>
  <c r="F1179" i="10" s="1"/>
  <c r="G1171" i="10"/>
  <c r="F1171" i="10" s="1"/>
  <c r="G1170" i="10"/>
  <c r="G1160" i="10"/>
  <c r="E1160" i="10" s="1"/>
  <c r="G1161" i="10"/>
  <c r="F1161" i="10" s="1"/>
  <c r="G1162" i="10"/>
  <c r="E1162" i="10" s="1"/>
  <c r="G1163" i="10"/>
  <c r="F1163" i="10" s="1"/>
  <c r="G1164" i="10"/>
  <c r="E1164" i="10" s="1"/>
  <c r="G1165" i="10"/>
  <c r="F1165" i="10" s="1"/>
  <c r="G1166" i="10"/>
  <c r="E1166" i="10" s="1"/>
  <c r="G1167" i="10"/>
  <c r="F1167" i="10" s="1"/>
  <c r="G1168" i="10"/>
  <c r="E1168" i="10" s="1"/>
  <c r="G1159" i="10"/>
  <c r="E1159" i="10" s="1"/>
  <c r="G199" i="10"/>
  <c r="F199" i="10" s="1"/>
  <c r="I614" i="10"/>
  <c r="K614" i="10" s="1"/>
  <c r="J614" i="10" s="1"/>
  <c r="I615" i="10"/>
  <c r="K615" i="10" s="1"/>
  <c r="J615" i="10" s="1"/>
  <c r="I616" i="10"/>
  <c r="K616" i="10" s="1"/>
  <c r="J616" i="10" s="1"/>
  <c r="I617" i="10"/>
  <c r="K617" i="10" s="1"/>
  <c r="J617" i="10" s="1"/>
  <c r="I618" i="10"/>
  <c r="K618" i="10" s="1"/>
  <c r="J618" i="10" s="1"/>
  <c r="I619" i="10"/>
  <c r="K619" i="10" s="1"/>
  <c r="J619" i="10" s="1"/>
  <c r="I620" i="10"/>
  <c r="K620" i="10" s="1"/>
  <c r="J620" i="10" s="1"/>
  <c r="I621" i="10"/>
  <c r="K621" i="10" s="1"/>
  <c r="J621" i="10" s="1"/>
  <c r="I622" i="10"/>
  <c r="K622" i="10" s="1"/>
  <c r="J622" i="10" s="1"/>
  <c r="I623" i="10"/>
  <c r="K623" i="10" s="1"/>
  <c r="J623" i="10" s="1"/>
  <c r="I624" i="10"/>
  <c r="K624" i="10" s="1"/>
  <c r="J624" i="10" s="1"/>
  <c r="I625" i="10"/>
  <c r="K625" i="10" s="1"/>
  <c r="J625" i="10" s="1"/>
  <c r="I602" i="10"/>
  <c r="K602" i="10" s="1"/>
  <c r="J602" i="10" s="1"/>
  <c r="I603" i="10"/>
  <c r="K603" i="10" s="1"/>
  <c r="J603" i="10" s="1"/>
  <c r="I604" i="10"/>
  <c r="K604" i="10" s="1"/>
  <c r="J604" i="10" s="1"/>
  <c r="I605" i="10"/>
  <c r="K605" i="10" s="1"/>
  <c r="J605" i="10" s="1"/>
  <c r="I606" i="10"/>
  <c r="K606" i="10" s="1"/>
  <c r="J606" i="10" s="1"/>
  <c r="I607" i="10"/>
  <c r="K607" i="10" s="1"/>
  <c r="J607" i="10" s="1"/>
  <c r="I608" i="10"/>
  <c r="K608" i="10" s="1"/>
  <c r="J608" i="10" s="1"/>
  <c r="I609" i="10"/>
  <c r="K609" i="10" s="1"/>
  <c r="J609" i="10" s="1"/>
  <c r="I610" i="10"/>
  <c r="K610" i="10" s="1"/>
  <c r="J610" i="10" s="1"/>
  <c r="I611" i="10"/>
  <c r="K611" i="10" s="1"/>
  <c r="J611" i="10" s="1"/>
  <c r="I612" i="10"/>
  <c r="K612" i="10" s="1"/>
  <c r="J612" i="10" s="1"/>
  <c r="I613" i="10"/>
  <c r="K613" i="10" s="1"/>
  <c r="J613" i="10" s="1"/>
  <c r="G603" i="10"/>
  <c r="F603" i="10" s="1"/>
  <c r="B2" i="5"/>
  <c r="G616" i="10"/>
  <c r="G617" i="10"/>
  <c r="F617" i="10" s="1"/>
  <c r="G618" i="10"/>
  <c r="G619" i="10"/>
  <c r="F619" i="10" s="1"/>
  <c r="G620" i="10"/>
  <c r="G621" i="10"/>
  <c r="F621" i="10" s="1"/>
  <c r="G622" i="10"/>
  <c r="G623" i="10"/>
  <c r="F623" i="10" s="1"/>
  <c r="G624" i="10"/>
  <c r="G625" i="10"/>
  <c r="F625" i="10" s="1"/>
  <c r="G605" i="10"/>
  <c r="G606" i="10"/>
  <c r="F606" i="10" s="1"/>
  <c r="G607" i="10"/>
  <c r="G608" i="10"/>
  <c r="F608" i="10" s="1"/>
  <c r="G609" i="10"/>
  <c r="G610" i="10"/>
  <c r="F610" i="10" s="1"/>
  <c r="G611" i="10"/>
  <c r="G612" i="10"/>
  <c r="F612" i="10" s="1"/>
  <c r="G613" i="10"/>
  <c r="G614" i="10"/>
  <c r="F614" i="10" s="1"/>
  <c r="G615" i="10"/>
  <c r="G604" i="10"/>
  <c r="F604" i="10" s="1"/>
  <c r="G232" i="10"/>
  <c r="F232" i="10" s="1"/>
  <c r="G238" i="10"/>
  <c r="F238" i="10" s="1"/>
  <c r="G246" i="10"/>
  <c r="F246" i="10" s="1"/>
  <c r="G242" i="10"/>
  <c r="F242" i="10" s="1"/>
  <c r="G240" i="10"/>
  <c r="F240" i="10" s="1"/>
  <c r="G250" i="10"/>
  <c r="F250" i="10" s="1"/>
  <c r="G239" i="10"/>
  <c r="G241" i="10"/>
  <c r="G243" i="10"/>
  <c r="G244" i="10"/>
  <c r="F244" i="10" s="1"/>
  <c r="G245" i="10"/>
  <c r="G247" i="10"/>
  <c r="G248" i="10"/>
  <c r="F248" i="10" s="1"/>
  <c r="G249" i="10"/>
  <c r="G251" i="10"/>
  <c r="G233" i="10"/>
  <c r="G929" i="10"/>
  <c r="E929" i="10" s="1"/>
  <c r="I1882" i="10"/>
  <c r="K1882" i="10" s="1"/>
  <c r="I1872" i="10"/>
  <c r="K1872" i="10" s="1"/>
  <c r="I1862" i="10"/>
  <c r="K1862" i="10" s="1"/>
  <c r="I1852" i="10"/>
  <c r="K1852" i="10" s="1"/>
  <c r="I1842" i="10"/>
  <c r="K1842" i="10" s="1"/>
  <c r="I1836" i="10"/>
  <c r="K1836" i="10" s="1"/>
  <c r="I1835" i="10"/>
  <c r="K1835" i="10" s="1"/>
  <c r="I1834" i="10"/>
  <c r="K1834" i="10" s="1"/>
  <c r="I1833" i="10"/>
  <c r="K1833" i="10" s="1"/>
  <c r="I1832" i="10"/>
  <c r="K1832" i="10" s="1"/>
  <c r="I1831" i="10"/>
  <c r="K1831" i="10" s="1"/>
  <c r="I1830" i="10"/>
  <c r="K1830" i="10" s="1"/>
  <c r="I1829" i="10"/>
  <c r="K1829" i="10" s="1"/>
  <c r="I1828" i="10"/>
  <c r="K1828" i="10" s="1"/>
  <c r="I1827" i="10"/>
  <c r="K1827" i="10" s="1"/>
  <c r="I1822" i="10"/>
  <c r="K1822" i="10" s="1"/>
  <c r="I1812" i="10"/>
  <c r="K1812" i="10" s="1"/>
  <c r="I1802" i="10"/>
  <c r="K1802" i="10" s="1"/>
  <c r="I1792" i="10"/>
  <c r="K1792" i="10" s="1"/>
  <c r="I1782" i="10"/>
  <c r="K1782" i="10" s="1"/>
  <c r="I1776" i="10"/>
  <c r="K1776" i="10" s="1"/>
  <c r="I1775" i="10"/>
  <c r="K1775" i="10" s="1"/>
  <c r="I1774" i="10"/>
  <c r="K1774" i="10" s="1"/>
  <c r="I1773" i="10"/>
  <c r="K1773" i="10" s="1"/>
  <c r="I1772" i="10"/>
  <c r="K1772" i="10" s="1"/>
  <c r="I1771" i="10"/>
  <c r="K1771" i="10" s="1"/>
  <c r="I1770" i="10"/>
  <c r="K1770" i="10" s="1"/>
  <c r="I1769" i="10"/>
  <c r="K1769" i="10" s="1"/>
  <c r="I1768" i="10"/>
  <c r="K1768" i="10" s="1"/>
  <c r="I1767" i="10"/>
  <c r="K1767" i="10" s="1"/>
  <c r="I1766" i="10"/>
  <c r="K1766" i="10" s="1"/>
  <c r="I1765" i="10"/>
  <c r="K1765" i="10" s="1"/>
  <c r="I1764" i="10"/>
  <c r="K1764" i="10" s="1"/>
  <c r="I1763" i="10"/>
  <c r="K1763" i="10" s="1"/>
  <c r="I1762" i="10"/>
  <c r="K1762" i="10" s="1"/>
  <c r="I1761" i="10"/>
  <c r="K1761" i="10" s="1"/>
  <c r="I1760" i="10"/>
  <c r="K1760" i="10" s="1"/>
  <c r="I1759" i="10"/>
  <c r="K1759" i="10" s="1"/>
  <c r="I1758" i="10"/>
  <c r="K1758" i="10" s="1"/>
  <c r="I1757" i="10"/>
  <c r="K1757" i="10" s="1"/>
  <c r="I1756" i="10"/>
  <c r="K1756" i="10" s="1"/>
  <c r="I1755" i="10"/>
  <c r="K1755" i="10" s="1"/>
  <c r="I1754" i="10"/>
  <c r="K1754" i="10" s="1"/>
  <c r="I1753" i="10"/>
  <c r="K1753" i="10" s="1"/>
  <c r="I1752" i="10"/>
  <c r="K1752" i="10" s="1"/>
  <c r="I1751" i="10"/>
  <c r="K1751" i="10" s="1"/>
  <c r="I1750" i="10"/>
  <c r="K1750" i="10" s="1"/>
  <c r="I1749" i="10"/>
  <c r="K1749" i="10" s="1"/>
  <c r="I1748" i="10"/>
  <c r="K1748" i="10" s="1"/>
  <c r="I1747" i="10"/>
  <c r="K1747" i="10" s="1"/>
  <c r="I1746" i="10"/>
  <c r="K1746" i="10" s="1"/>
  <c r="I1745" i="10"/>
  <c r="K1745" i="10" s="1"/>
  <c r="I1744" i="10"/>
  <c r="K1744" i="10" s="1"/>
  <c r="I1743" i="10"/>
  <c r="K1743" i="10" s="1"/>
  <c r="I1742" i="10"/>
  <c r="K1742" i="10" s="1"/>
  <c r="I1741" i="10"/>
  <c r="K1741" i="10" s="1"/>
  <c r="I1740" i="10"/>
  <c r="K1740" i="10" s="1"/>
  <c r="I1739" i="10"/>
  <c r="K1739" i="10" s="1"/>
  <c r="I1738" i="10"/>
  <c r="K1738" i="10" s="1"/>
  <c r="I1737" i="10"/>
  <c r="K1737" i="10" s="1"/>
  <c r="I1736" i="10"/>
  <c r="K1736" i="10" s="1"/>
  <c r="I1735" i="10"/>
  <c r="K1735" i="10" s="1"/>
  <c r="I1734" i="10"/>
  <c r="K1734" i="10" s="1"/>
  <c r="I1733" i="10"/>
  <c r="K1733" i="10" s="1"/>
  <c r="I1732" i="10"/>
  <c r="K1732" i="10" s="1"/>
  <c r="I1731" i="10"/>
  <c r="K1731" i="10" s="1"/>
  <c r="I1730" i="10"/>
  <c r="K1730" i="10" s="1"/>
  <c r="I1729" i="10"/>
  <c r="K1729" i="10" s="1"/>
  <c r="I1728" i="10"/>
  <c r="K1728" i="10" s="1"/>
  <c r="I1727" i="10"/>
  <c r="K1727" i="10" s="1"/>
  <c r="I1726" i="10"/>
  <c r="K1726" i="10" s="1"/>
  <c r="I1725" i="10"/>
  <c r="K1725" i="10" s="1"/>
  <c r="I1724" i="10"/>
  <c r="K1724" i="10" s="1"/>
  <c r="I1723" i="10"/>
  <c r="K1723" i="10" s="1"/>
  <c r="I1722" i="10"/>
  <c r="K1722" i="10" s="1"/>
  <c r="I1721" i="10"/>
  <c r="K1721" i="10" s="1"/>
  <c r="I1720" i="10"/>
  <c r="K1720" i="10" s="1"/>
  <c r="I1719" i="10"/>
  <c r="K1719" i="10" s="1"/>
  <c r="I1718" i="10"/>
  <c r="K1718" i="10" s="1"/>
  <c r="I1717" i="10"/>
  <c r="K1717" i="10" s="1"/>
  <c r="I1716" i="10"/>
  <c r="K1716" i="10" s="1"/>
  <c r="I1715" i="10"/>
  <c r="K1715" i="10" s="1"/>
  <c r="I1714" i="10"/>
  <c r="K1714" i="10" s="1"/>
  <c r="I1713" i="10"/>
  <c r="K1713" i="10" s="1"/>
  <c r="I1712" i="10"/>
  <c r="K1712" i="10" s="1"/>
  <c r="I1711" i="10"/>
  <c r="K1711" i="10" s="1"/>
  <c r="I1710" i="10"/>
  <c r="K1710" i="10" s="1"/>
  <c r="I1709" i="10"/>
  <c r="K1709" i="10" s="1"/>
  <c r="I1708" i="10"/>
  <c r="K1708" i="10" s="1"/>
  <c r="I1707" i="10"/>
  <c r="K1707" i="10" s="1"/>
  <c r="I1706" i="10"/>
  <c r="K1706" i="10" s="1"/>
  <c r="I1705" i="10"/>
  <c r="K1705" i="10" s="1"/>
  <c r="I1704" i="10"/>
  <c r="K1704" i="10" s="1"/>
  <c r="I1703" i="10"/>
  <c r="K1703" i="10" s="1"/>
  <c r="I1702" i="10"/>
  <c r="K1702" i="10" s="1"/>
  <c r="I1701" i="10"/>
  <c r="K1701" i="10" s="1"/>
  <c r="I1700" i="10"/>
  <c r="K1700" i="10" s="1"/>
  <c r="I1699" i="10"/>
  <c r="K1699" i="10" s="1"/>
  <c r="I1698" i="10"/>
  <c r="K1698" i="10" s="1"/>
  <c r="I1697" i="10"/>
  <c r="K1697" i="10" s="1"/>
  <c r="I1696" i="10"/>
  <c r="K1696" i="10" s="1"/>
  <c r="I1695" i="10"/>
  <c r="K1695" i="10" s="1"/>
  <c r="I1694" i="10"/>
  <c r="K1694" i="10" s="1"/>
  <c r="I1693" i="10"/>
  <c r="K1693" i="10" s="1"/>
  <c r="I1692" i="10"/>
  <c r="K1692" i="10" s="1"/>
  <c r="I1691" i="10"/>
  <c r="K1691" i="10" s="1"/>
  <c r="I1690" i="10"/>
  <c r="K1690" i="10" s="1"/>
  <c r="I1689" i="10"/>
  <c r="K1689" i="10" s="1"/>
  <c r="I1688" i="10"/>
  <c r="K1688" i="10" s="1"/>
  <c r="I1687" i="10"/>
  <c r="K1687" i="10" s="1"/>
  <c r="I1686" i="10"/>
  <c r="K1686" i="10" s="1"/>
  <c r="I1685" i="10"/>
  <c r="K1685" i="10" s="1"/>
  <c r="I1684" i="10"/>
  <c r="K1684" i="10" s="1"/>
  <c r="I1683" i="10"/>
  <c r="K1683" i="10" s="1"/>
  <c r="I1682" i="10"/>
  <c r="K1682" i="10" s="1"/>
  <c r="I1681" i="10"/>
  <c r="K1681" i="10" s="1"/>
  <c r="I1680" i="10"/>
  <c r="K1680" i="10" s="1"/>
  <c r="I1679" i="10"/>
  <c r="K1679" i="10" s="1"/>
  <c r="I1678" i="10"/>
  <c r="K1678" i="10" s="1"/>
  <c r="I1677" i="10"/>
  <c r="K1677" i="10" s="1"/>
  <c r="I1672" i="10"/>
  <c r="K1672" i="10" s="1"/>
  <c r="I1662" i="10"/>
  <c r="K1662" i="10" s="1"/>
  <c r="I1652" i="10"/>
  <c r="K1652" i="10" s="1"/>
  <c r="I1642" i="10"/>
  <c r="K1642" i="10" s="1"/>
  <c r="I1636" i="10"/>
  <c r="K1636" i="10" s="1"/>
  <c r="I1635" i="10"/>
  <c r="K1635" i="10" s="1"/>
  <c r="I1634" i="10"/>
  <c r="K1634" i="10" s="1"/>
  <c r="I1633" i="10"/>
  <c r="K1633" i="10" s="1"/>
  <c r="I1632" i="10"/>
  <c r="K1632" i="10" s="1"/>
  <c r="I1631" i="10"/>
  <c r="K1631" i="10" s="1"/>
  <c r="I1630" i="10"/>
  <c r="K1630" i="10" s="1"/>
  <c r="I1629" i="10"/>
  <c r="K1629" i="10" s="1"/>
  <c r="I1628" i="10"/>
  <c r="K1628" i="10" s="1"/>
  <c r="I1627" i="10"/>
  <c r="K1627" i="10" s="1"/>
  <c r="E1622" i="10"/>
  <c r="I1612" i="10"/>
  <c r="K1612" i="10" s="1"/>
  <c r="I1602" i="10"/>
  <c r="K1602" i="10" s="1"/>
  <c r="I1592" i="10"/>
  <c r="K1592" i="10" s="1"/>
  <c r="I1582" i="10"/>
  <c r="K1582" i="10" s="1"/>
  <c r="I1572" i="10"/>
  <c r="K1572" i="10" s="1"/>
  <c r="I1560" i="10"/>
  <c r="K1560" i="10" s="1"/>
  <c r="I1540" i="10"/>
  <c r="K1540" i="10" s="1"/>
  <c r="I1534" i="10"/>
  <c r="K1534" i="10" s="1"/>
  <c r="I1533" i="10"/>
  <c r="K1533" i="10" s="1"/>
  <c r="I1532" i="10"/>
  <c r="K1532" i="10" s="1"/>
  <c r="I1531" i="10"/>
  <c r="K1531" i="10" s="1"/>
  <c r="I1530" i="10"/>
  <c r="K1530" i="10" s="1"/>
  <c r="I1529" i="10"/>
  <c r="K1529" i="10" s="1"/>
  <c r="I1528" i="10"/>
  <c r="K1528" i="10" s="1"/>
  <c r="I1527" i="10"/>
  <c r="K1527" i="10" s="1"/>
  <c r="I1526" i="10"/>
  <c r="K1526" i="10" s="1"/>
  <c r="I1525" i="10"/>
  <c r="K1525" i="10" s="1"/>
  <c r="I1520" i="10"/>
  <c r="K1520" i="10" s="1"/>
  <c r="I1510" i="10"/>
  <c r="K1510" i="10" s="1"/>
  <c r="J1510" i="10" s="1"/>
  <c r="G1510" i="10"/>
  <c r="F1510" i="10" s="1"/>
  <c r="I1500" i="10"/>
  <c r="K1500" i="10" s="1"/>
  <c r="I1490" i="10"/>
  <c r="K1490" i="10" s="1"/>
  <c r="I1480" i="10"/>
  <c r="K1480" i="10" s="1"/>
  <c r="I1470" i="10"/>
  <c r="K1470" i="10" s="1"/>
  <c r="I1460" i="10"/>
  <c r="K1460" i="10" s="1"/>
  <c r="I1448" i="10"/>
  <c r="K1448" i="10" s="1"/>
  <c r="I1438" i="10"/>
  <c r="K1438" i="10" s="1"/>
  <c r="I1432" i="10"/>
  <c r="K1432" i="10" s="1"/>
  <c r="I1431" i="10"/>
  <c r="K1431" i="10" s="1"/>
  <c r="I1430" i="10"/>
  <c r="K1430" i="10" s="1"/>
  <c r="I1429" i="10"/>
  <c r="I1428" i="10"/>
  <c r="K1428" i="10" s="1"/>
  <c r="I1427" i="10"/>
  <c r="K1427" i="10" s="1"/>
  <c r="I1426" i="10"/>
  <c r="K1426" i="10" s="1"/>
  <c r="I1425" i="10"/>
  <c r="K1425" i="10" s="1"/>
  <c r="I1424" i="10"/>
  <c r="I1423" i="10"/>
  <c r="K1423" i="10" s="1"/>
  <c r="I1418" i="10"/>
  <c r="K1418" i="10" s="1"/>
  <c r="I1408" i="10"/>
  <c r="K1408" i="10" s="1"/>
  <c r="I1398" i="10"/>
  <c r="K1398" i="10" s="1"/>
  <c r="I1378" i="10"/>
  <c r="K1378" i="10" s="1"/>
  <c r="J1378" i="10" s="1"/>
  <c r="G1378" i="10"/>
  <c r="F1378" i="10" s="1"/>
  <c r="I1368" i="10"/>
  <c r="K1368" i="10" s="1"/>
  <c r="J1368" i="10" s="1"/>
  <c r="G1368" i="10"/>
  <c r="I1358" i="10"/>
  <c r="K1358" i="10" s="1"/>
  <c r="J1358" i="10" s="1"/>
  <c r="G1358" i="10"/>
  <c r="I1348" i="10"/>
  <c r="K1348" i="10" s="1"/>
  <c r="J1348" i="10" s="1"/>
  <c r="G1348" i="10"/>
  <c r="I1338" i="10"/>
  <c r="K1338" i="10" s="1"/>
  <c r="J1338" i="10" s="1"/>
  <c r="G1338" i="10"/>
  <c r="F1338" i="10" s="1"/>
  <c r="I1332" i="10"/>
  <c r="K1332" i="10" s="1"/>
  <c r="J1332" i="10" s="1"/>
  <c r="G1332" i="10"/>
  <c r="I1331" i="10"/>
  <c r="K1331" i="10" s="1"/>
  <c r="J1331" i="10" s="1"/>
  <c r="G1331" i="10"/>
  <c r="I1330" i="10"/>
  <c r="K1330" i="10" s="1"/>
  <c r="J1330" i="10" s="1"/>
  <c r="G1330" i="10"/>
  <c r="I1329" i="10"/>
  <c r="K1329" i="10" s="1"/>
  <c r="J1329" i="10" s="1"/>
  <c r="G1329" i="10"/>
  <c r="F1329" i="10" s="1"/>
  <c r="I1328" i="10"/>
  <c r="K1328" i="10" s="1"/>
  <c r="J1328" i="10" s="1"/>
  <c r="G1328" i="10"/>
  <c r="I1327" i="10"/>
  <c r="K1327" i="10" s="1"/>
  <c r="J1327" i="10" s="1"/>
  <c r="G1327" i="10"/>
  <c r="I1326" i="10"/>
  <c r="K1326" i="10" s="1"/>
  <c r="J1326" i="10" s="1"/>
  <c r="G1326" i="10"/>
  <c r="I1325" i="10"/>
  <c r="K1325" i="10" s="1"/>
  <c r="J1325" i="10" s="1"/>
  <c r="G1325" i="10"/>
  <c r="F1325" i="10" s="1"/>
  <c r="I1324" i="10"/>
  <c r="K1324" i="10" s="1"/>
  <c r="J1324" i="10" s="1"/>
  <c r="G1324" i="10"/>
  <c r="I1323" i="10"/>
  <c r="K1323" i="10" s="1"/>
  <c r="J1323" i="10" s="1"/>
  <c r="G1323" i="10"/>
  <c r="I1318" i="10"/>
  <c r="K1318" i="10" s="1"/>
  <c r="J1318" i="10" s="1"/>
  <c r="G1318" i="10"/>
  <c r="I1308" i="10"/>
  <c r="K1308" i="10" s="1"/>
  <c r="J1308" i="10" s="1"/>
  <c r="G1308" i="10"/>
  <c r="F1308" i="10" s="1"/>
  <c r="I1298" i="10"/>
  <c r="K1298" i="10" s="1"/>
  <c r="J1298" i="10" s="1"/>
  <c r="G1298" i="10"/>
  <c r="I1288" i="10"/>
  <c r="K1288" i="10" s="1"/>
  <c r="J1288" i="10" s="1"/>
  <c r="G1288" i="10"/>
  <c r="I1278" i="10"/>
  <c r="K1278" i="10" s="1"/>
  <c r="J1278" i="10" s="1"/>
  <c r="G1278" i="10"/>
  <c r="I1268" i="10"/>
  <c r="K1268" i="10" s="1"/>
  <c r="J1268" i="10" s="1"/>
  <c r="G1268" i="10"/>
  <c r="F1268" i="10" s="1"/>
  <c r="I1253" i="10"/>
  <c r="K1253" i="10" s="1"/>
  <c r="J1253" i="10" s="1"/>
  <c r="G1253" i="10"/>
  <c r="I1243" i="10"/>
  <c r="K1243" i="10" s="1"/>
  <c r="J1243" i="10" s="1"/>
  <c r="G1243" i="10"/>
  <c r="I1233" i="10"/>
  <c r="K1233" i="10" s="1"/>
  <c r="J1233" i="10" s="1"/>
  <c r="I1227" i="10"/>
  <c r="K1227" i="10" s="1"/>
  <c r="J1227" i="10" s="1"/>
  <c r="G1227" i="10"/>
  <c r="F1227" i="10" s="1"/>
  <c r="I1226" i="10"/>
  <c r="K1226" i="10" s="1"/>
  <c r="J1226" i="10" s="1"/>
  <c r="G1226" i="10"/>
  <c r="I1225" i="10"/>
  <c r="K1225" i="10" s="1"/>
  <c r="J1225" i="10" s="1"/>
  <c r="G1225" i="10"/>
  <c r="I1224" i="10"/>
  <c r="K1224" i="10" s="1"/>
  <c r="J1224" i="10" s="1"/>
  <c r="G1224" i="10"/>
  <c r="I1223" i="10"/>
  <c r="K1223" i="10" s="1"/>
  <c r="J1223" i="10" s="1"/>
  <c r="G1223" i="10"/>
  <c r="F1223" i="10" s="1"/>
  <c r="I1222" i="10"/>
  <c r="K1222" i="10" s="1"/>
  <c r="J1222" i="10" s="1"/>
  <c r="G1222" i="10"/>
  <c r="I1221" i="10"/>
  <c r="K1221" i="10" s="1"/>
  <c r="J1221" i="10" s="1"/>
  <c r="G1221" i="10"/>
  <c r="F1221" i="10" s="1"/>
  <c r="I1220" i="10"/>
  <c r="K1220" i="10" s="1"/>
  <c r="J1220" i="10" s="1"/>
  <c r="G1220" i="10"/>
  <c r="I1219" i="10"/>
  <c r="K1219" i="10" s="1"/>
  <c r="J1219" i="10" s="1"/>
  <c r="G1219" i="10"/>
  <c r="F1219" i="10" s="1"/>
  <c r="I1218" i="10"/>
  <c r="K1218" i="10" s="1"/>
  <c r="J1218" i="10" s="1"/>
  <c r="G1218" i="10"/>
  <c r="F1218" i="10" s="1"/>
  <c r="I1213" i="10"/>
  <c r="K1213" i="10" s="1"/>
  <c r="J1213" i="10" s="1"/>
  <c r="G1213" i="10"/>
  <c r="F1213" i="10" s="1"/>
  <c r="I1151" i="10"/>
  <c r="H1149" i="10"/>
  <c r="I1141" i="10"/>
  <c r="K1141" i="10" s="1"/>
  <c r="I1076" i="10"/>
  <c r="K1076" i="10" s="1"/>
  <c r="I1066" i="10"/>
  <c r="K1066" i="10" s="1"/>
  <c r="I1060" i="10"/>
  <c r="K1060" i="10" s="1"/>
  <c r="I1059" i="10"/>
  <c r="K1059" i="10" s="1"/>
  <c r="I1058" i="10"/>
  <c r="K1058" i="10" s="1"/>
  <c r="I1057" i="10"/>
  <c r="K1057" i="10" s="1"/>
  <c r="I1056" i="10"/>
  <c r="K1056" i="10" s="1"/>
  <c r="I1055" i="10"/>
  <c r="K1055" i="10" s="1"/>
  <c r="I1054" i="10"/>
  <c r="K1054" i="10" s="1"/>
  <c r="I1051" i="10"/>
  <c r="K1051" i="10" s="1"/>
  <c r="I1046" i="10"/>
  <c r="K1046" i="10" s="1"/>
  <c r="K1036" i="10"/>
  <c r="J1036" i="10" s="1"/>
  <c r="F1036" i="10" s="1"/>
  <c r="I1036" i="10"/>
  <c r="J1026" i="10"/>
  <c r="F1026" i="10" s="1"/>
  <c r="I1026" i="10"/>
  <c r="H1026" i="10"/>
  <c r="G1026" i="10"/>
  <c r="E1026" i="10" s="1"/>
  <c r="K1016" i="10"/>
  <c r="J1016" i="10" s="1"/>
  <c r="I1016" i="10"/>
  <c r="G1016" i="10"/>
  <c r="F1016" i="10" s="1"/>
  <c r="J1006" i="10"/>
  <c r="I1006" i="10"/>
  <c r="H1006" i="10"/>
  <c r="G1006" i="10" s="1"/>
  <c r="J996" i="10"/>
  <c r="F996" i="10" s="1"/>
  <c r="I996" i="10"/>
  <c r="G996" i="10"/>
  <c r="E996" i="10" s="1"/>
  <c r="J986" i="10"/>
  <c r="I986" i="10"/>
  <c r="H986" i="10"/>
  <c r="G986" i="10" s="1"/>
  <c r="J966" i="10"/>
  <c r="I966" i="10"/>
  <c r="G966" i="10"/>
  <c r="F966" i="10" s="1"/>
  <c r="J960" i="10"/>
  <c r="I960" i="10"/>
  <c r="G960" i="10"/>
  <c r="F960" i="10" s="1"/>
  <c r="J959" i="10"/>
  <c r="I959" i="10"/>
  <c r="G959" i="10"/>
  <c r="J958" i="10"/>
  <c r="I958" i="10"/>
  <c r="G958" i="10"/>
  <c r="J957" i="10"/>
  <c r="I957" i="10"/>
  <c r="G957" i="10"/>
  <c r="F957" i="10" s="1"/>
  <c r="J956" i="10"/>
  <c r="I956" i="10"/>
  <c r="G956" i="10"/>
  <c r="F956" i="10" s="1"/>
  <c r="J955" i="10"/>
  <c r="I955" i="10"/>
  <c r="G955" i="10"/>
  <c r="J954" i="10"/>
  <c r="I954" i="10"/>
  <c r="G954" i="10"/>
  <c r="J953" i="10"/>
  <c r="I953" i="10"/>
  <c r="G953" i="10"/>
  <c r="F953" i="10" s="1"/>
  <c r="J952" i="10"/>
  <c r="I952" i="10"/>
  <c r="G952" i="10"/>
  <c r="F952" i="10" s="1"/>
  <c r="J951" i="10"/>
  <c r="I951" i="10"/>
  <c r="G951" i="10"/>
  <c r="I946" i="10"/>
  <c r="K946" i="10" s="1"/>
  <c r="J946" i="10" s="1"/>
  <c r="G946" i="10"/>
  <c r="F946" i="10" s="1"/>
  <c r="I930" i="10"/>
  <c r="K930" i="10" s="1"/>
  <c r="J930" i="10" s="1"/>
  <c r="G930" i="10"/>
  <c r="F930" i="10" s="1"/>
  <c r="I920" i="10"/>
  <c r="K920" i="10" s="1"/>
  <c r="J920" i="10" s="1"/>
  <c r="G920" i="10"/>
  <c r="I910" i="10"/>
  <c r="K910" i="10" s="1"/>
  <c r="J910" i="10" s="1"/>
  <c r="G910" i="10"/>
  <c r="F910" i="10" s="1"/>
  <c r="I900" i="10"/>
  <c r="K900" i="10" s="1"/>
  <c r="J900" i="10" s="1"/>
  <c r="G900" i="10"/>
  <c r="F900" i="10" s="1"/>
  <c r="I890" i="10"/>
  <c r="K890" i="10" s="1"/>
  <c r="J890" i="10" s="1"/>
  <c r="G890" i="10"/>
  <c r="I880" i="10"/>
  <c r="K880" i="10" s="1"/>
  <c r="J880" i="10" s="1"/>
  <c r="G880" i="10"/>
  <c r="F880" i="10" s="1"/>
  <c r="I870" i="10"/>
  <c r="K870" i="10" s="1"/>
  <c r="J870" i="10" s="1"/>
  <c r="G870" i="10"/>
  <c r="F870" i="10" s="1"/>
  <c r="I860" i="10"/>
  <c r="K860" i="10" s="1"/>
  <c r="J860" i="10" s="1"/>
  <c r="G860" i="10"/>
  <c r="F860" i="10" s="1"/>
  <c r="I854" i="10"/>
  <c r="K854" i="10" s="1"/>
  <c r="J854" i="10" s="1"/>
  <c r="G854" i="10"/>
  <c r="F854" i="10" s="1"/>
  <c r="I853" i="10"/>
  <c r="K853" i="10" s="1"/>
  <c r="J853" i="10" s="1"/>
  <c r="G853" i="10"/>
  <c r="F853" i="10" s="1"/>
  <c r="I852" i="10"/>
  <c r="K852" i="10" s="1"/>
  <c r="J852" i="10" s="1"/>
  <c r="G852" i="10"/>
  <c r="F852" i="10" s="1"/>
  <c r="I851" i="10"/>
  <c r="K851" i="10" s="1"/>
  <c r="J851" i="10" s="1"/>
  <c r="G851" i="10"/>
  <c r="F851" i="10" s="1"/>
  <c r="I850" i="10"/>
  <c r="K850" i="10" s="1"/>
  <c r="J850" i="10" s="1"/>
  <c r="G850" i="10"/>
  <c r="F850" i="10" s="1"/>
  <c r="I849" i="10"/>
  <c r="K849" i="10" s="1"/>
  <c r="J849" i="10" s="1"/>
  <c r="G849" i="10"/>
  <c r="F849" i="10" s="1"/>
  <c r="I848" i="10"/>
  <c r="K848" i="10" s="1"/>
  <c r="J848" i="10" s="1"/>
  <c r="G848" i="10"/>
  <c r="F848" i="10" s="1"/>
  <c r="I847" i="10"/>
  <c r="K847" i="10" s="1"/>
  <c r="J847" i="10" s="1"/>
  <c r="G847" i="10"/>
  <c r="F847" i="10" s="1"/>
  <c r="I846" i="10"/>
  <c r="K846" i="10" s="1"/>
  <c r="J846" i="10" s="1"/>
  <c r="G846" i="10"/>
  <c r="F846" i="10" s="1"/>
  <c r="I845" i="10"/>
  <c r="K845" i="10" s="1"/>
  <c r="J845" i="10" s="1"/>
  <c r="G845" i="10"/>
  <c r="F845" i="10" s="1"/>
  <c r="I840" i="10"/>
  <c r="K840" i="10" s="1"/>
  <c r="J840" i="10" s="1"/>
  <c r="G840" i="10"/>
  <c r="F840" i="10" s="1"/>
  <c r="I830" i="10"/>
  <c r="K830" i="10" s="1"/>
  <c r="J830" i="10" s="1"/>
  <c r="G830" i="10"/>
  <c r="F830" i="10" s="1"/>
  <c r="I818" i="10"/>
  <c r="K818" i="10" s="1"/>
  <c r="I808" i="10"/>
  <c r="K808" i="10" s="1"/>
  <c r="I798" i="10"/>
  <c r="K798" i="10" s="1"/>
  <c r="I788" i="10"/>
  <c r="K788" i="10" s="1"/>
  <c r="I758" i="10"/>
  <c r="K758" i="10" s="1"/>
  <c r="J758" i="10" s="1"/>
  <c r="G758" i="10"/>
  <c r="F758" i="10" s="1"/>
  <c r="H752" i="10"/>
  <c r="E752" i="10"/>
  <c r="H751" i="10"/>
  <c r="E751" i="10"/>
  <c r="H750" i="10"/>
  <c r="E750" i="10"/>
  <c r="H749" i="10"/>
  <c r="E749" i="10"/>
  <c r="H748" i="10"/>
  <c r="E748" i="10"/>
  <c r="H747" i="10"/>
  <c r="E747" i="10"/>
  <c r="H746" i="10"/>
  <c r="E746" i="10"/>
  <c r="H745" i="10"/>
  <c r="E745" i="10"/>
  <c r="H744" i="10"/>
  <c r="E744" i="10"/>
  <c r="H743" i="10"/>
  <c r="E743" i="10"/>
  <c r="H738" i="10"/>
  <c r="E738" i="10"/>
  <c r="H728" i="10"/>
  <c r="E728" i="10"/>
  <c r="H718" i="10"/>
  <c r="E718" i="10"/>
  <c r="H708" i="10"/>
  <c r="E708" i="10"/>
  <c r="H698" i="10"/>
  <c r="E698" i="10"/>
  <c r="H692" i="10"/>
  <c r="E692" i="10"/>
  <c r="H691" i="10"/>
  <c r="E691" i="10"/>
  <c r="H690" i="10"/>
  <c r="E690" i="10"/>
  <c r="H689" i="10"/>
  <c r="E689" i="10"/>
  <c r="H688" i="10"/>
  <c r="E688" i="10"/>
  <c r="H687" i="10"/>
  <c r="E687" i="10"/>
  <c r="H685" i="10"/>
  <c r="E685" i="10"/>
  <c r="H684" i="10"/>
  <c r="E684" i="10"/>
  <c r="H683" i="10"/>
  <c r="E683" i="10"/>
  <c r="H682" i="10"/>
  <c r="E682" i="10"/>
  <c r="H681" i="10"/>
  <c r="E681" i="10"/>
  <c r="H680" i="10"/>
  <c r="E680" i="10"/>
  <c r="H679" i="10"/>
  <c r="E679" i="10"/>
  <c r="H678" i="10"/>
  <c r="E678" i="10"/>
  <c r="G668" i="10"/>
  <c r="F668" i="10" s="1"/>
  <c r="G665" i="10"/>
  <c r="F665" i="10" s="1"/>
  <c r="E648" i="10"/>
  <c r="J632" i="10"/>
  <c r="I632" i="10"/>
  <c r="H632" i="10"/>
  <c r="G632" i="10"/>
  <c r="J631" i="10"/>
  <c r="I631" i="10"/>
  <c r="H631" i="10"/>
  <c r="G631" i="10"/>
  <c r="J630" i="10"/>
  <c r="I630" i="10"/>
  <c r="H630" i="10"/>
  <c r="G630" i="10"/>
  <c r="J629" i="10"/>
  <c r="I629" i="10"/>
  <c r="H629" i="10"/>
  <c r="G629" i="10"/>
  <c r="J628" i="10"/>
  <c r="H628" i="10"/>
  <c r="G628" i="10"/>
  <c r="I601" i="10"/>
  <c r="K601" i="10" s="1"/>
  <c r="J601" i="10" s="1"/>
  <c r="I600" i="10"/>
  <c r="K600" i="10" s="1"/>
  <c r="J600" i="10" s="1"/>
  <c r="I599" i="10"/>
  <c r="K599" i="10" s="1"/>
  <c r="J599" i="10" s="1"/>
  <c r="I598" i="10"/>
  <c r="K598" i="10" s="1"/>
  <c r="J598" i="10" s="1"/>
  <c r="I562" i="10"/>
  <c r="G562" i="10"/>
  <c r="F562" i="10" s="1"/>
  <c r="I561" i="10"/>
  <c r="G561" i="10"/>
  <c r="F561" i="10" s="1"/>
  <c r="I560" i="10"/>
  <c r="G560" i="10"/>
  <c r="F560" i="10" s="1"/>
  <c r="I559" i="10"/>
  <c r="G559" i="10"/>
  <c r="F559" i="10" s="1"/>
  <c r="I558" i="10"/>
  <c r="G558" i="10"/>
  <c r="F558" i="10" s="1"/>
  <c r="I557" i="10"/>
  <c r="G557" i="10"/>
  <c r="F557" i="10" s="1"/>
  <c r="I555" i="10"/>
  <c r="G555" i="10"/>
  <c r="F555" i="10" s="1"/>
  <c r="I554" i="10"/>
  <c r="G554" i="10"/>
  <c r="F554" i="10" s="1"/>
  <c r="G553" i="10"/>
  <c r="F553" i="10" s="1"/>
  <c r="I552" i="10"/>
  <c r="G552" i="10"/>
  <c r="F552" i="10" s="1"/>
  <c r="G550" i="10"/>
  <c r="F550" i="10" s="1"/>
  <c r="G549" i="10"/>
  <c r="F549" i="10" s="1"/>
  <c r="G548" i="10"/>
  <c r="F548" i="10" s="1"/>
  <c r="G547" i="10"/>
  <c r="F547" i="10" s="1"/>
  <c r="G546" i="10"/>
  <c r="F546" i="10" s="1"/>
  <c r="G526" i="10"/>
  <c r="F526" i="10" s="1"/>
  <c r="G516" i="10"/>
  <c r="F516" i="10" s="1"/>
  <c r="I506" i="10"/>
  <c r="K506" i="10" s="1"/>
  <c r="J506" i="10" s="1"/>
  <c r="G506" i="10"/>
  <c r="F506" i="10" s="1"/>
  <c r="I500" i="10"/>
  <c r="K500" i="10" s="1"/>
  <c r="J500" i="10" s="1"/>
  <c r="G500" i="10"/>
  <c r="F500" i="10" s="1"/>
  <c r="I499" i="10"/>
  <c r="K499" i="10" s="1"/>
  <c r="J499" i="10" s="1"/>
  <c r="G499" i="10"/>
  <c r="F499" i="10" s="1"/>
  <c r="I498" i="10"/>
  <c r="K498" i="10" s="1"/>
  <c r="J498" i="10" s="1"/>
  <c r="G498" i="10"/>
  <c r="F498" i="10" s="1"/>
  <c r="I497" i="10"/>
  <c r="K497" i="10" s="1"/>
  <c r="J497" i="10" s="1"/>
  <c r="G497" i="10"/>
  <c r="F497" i="10" s="1"/>
  <c r="I496" i="10"/>
  <c r="K496" i="10" s="1"/>
  <c r="J496" i="10" s="1"/>
  <c r="G496" i="10"/>
  <c r="F496" i="10" s="1"/>
  <c r="I495" i="10"/>
  <c r="K495" i="10" s="1"/>
  <c r="J495" i="10" s="1"/>
  <c r="G495" i="10"/>
  <c r="F495" i="10" s="1"/>
  <c r="I494" i="10"/>
  <c r="K494" i="10" s="1"/>
  <c r="J494" i="10" s="1"/>
  <c r="G494" i="10"/>
  <c r="F494" i="10" s="1"/>
  <c r="I493" i="10"/>
  <c r="K493" i="10" s="1"/>
  <c r="J493" i="10" s="1"/>
  <c r="G493" i="10"/>
  <c r="F493" i="10" s="1"/>
  <c r="I492" i="10"/>
  <c r="K492" i="10" s="1"/>
  <c r="J492" i="10" s="1"/>
  <c r="G492" i="10"/>
  <c r="F492" i="10" s="1"/>
  <c r="I491" i="10"/>
  <c r="K491" i="10" s="1"/>
  <c r="J491" i="10" s="1"/>
  <c r="G491" i="10"/>
  <c r="F491" i="10" s="1"/>
  <c r="I486" i="10"/>
  <c r="K486" i="10" s="1"/>
  <c r="J486" i="10" s="1"/>
  <c r="G486" i="10"/>
  <c r="F486" i="10" s="1"/>
  <c r="I476" i="10"/>
  <c r="K476" i="10" s="1"/>
  <c r="J476" i="10" s="1"/>
  <c r="G476" i="10"/>
  <c r="F476" i="10" s="1"/>
  <c r="I456" i="10"/>
  <c r="K456" i="10" s="1"/>
  <c r="J456" i="10" s="1"/>
  <c r="G456" i="10"/>
  <c r="F456" i="10" s="1"/>
  <c r="I436" i="10"/>
  <c r="K436" i="10" s="1"/>
  <c r="I426" i="10"/>
  <c r="K426" i="10" s="1"/>
  <c r="J426" i="10" s="1"/>
  <c r="E426" i="10"/>
  <c r="I416" i="10"/>
  <c r="K416" i="10" s="1"/>
  <c r="I406" i="10"/>
  <c r="G406" i="10" s="1"/>
  <c r="I400" i="10"/>
  <c r="K400" i="10" s="1"/>
  <c r="I399" i="10"/>
  <c r="K399" i="10" s="1"/>
  <c r="I398" i="10"/>
  <c r="K398" i="10" s="1"/>
  <c r="I397" i="10"/>
  <c r="K397" i="10" s="1"/>
  <c r="I396" i="10"/>
  <c r="K396" i="10" s="1"/>
  <c r="I395" i="10"/>
  <c r="K395" i="10" s="1"/>
  <c r="I394" i="10"/>
  <c r="K394" i="10" s="1"/>
  <c r="I393" i="10"/>
  <c r="K393" i="10" s="1"/>
  <c r="I391" i="10"/>
  <c r="K391" i="10" s="1"/>
  <c r="I386" i="10"/>
  <c r="K386" i="10" s="1"/>
  <c r="I376" i="10"/>
  <c r="K376" i="10" s="1"/>
  <c r="I366" i="10"/>
  <c r="K366" i="10" s="1"/>
  <c r="I356" i="10"/>
  <c r="K356" i="10" s="1"/>
  <c r="I346" i="10"/>
  <c r="K346" i="10" s="1"/>
  <c r="I336" i="10"/>
  <c r="K336" i="10" s="1"/>
  <c r="I323" i="10"/>
  <c r="K323" i="10" s="1"/>
  <c r="I313" i="10"/>
  <c r="K313" i="10" s="1"/>
  <c r="I303" i="10"/>
  <c r="K303" i="10" s="1"/>
  <c r="I296" i="10"/>
  <c r="K296" i="10" s="1"/>
  <c r="I295" i="10"/>
  <c r="K295" i="10" s="1"/>
  <c r="I294" i="10"/>
  <c r="K294" i="10" s="1"/>
  <c r="I293" i="10"/>
  <c r="K293" i="10" s="1"/>
  <c r="I292" i="10"/>
  <c r="K292" i="10" s="1"/>
  <c r="I291" i="10"/>
  <c r="K291" i="10" s="1"/>
  <c r="I290" i="10"/>
  <c r="K290" i="10" s="1"/>
  <c r="I289" i="10"/>
  <c r="K289" i="10" s="1"/>
  <c r="I288" i="10"/>
  <c r="K288" i="10" s="1"/>
  <c r="I283" i="10"/>
  <c r="K283" i="10" s="1"/>
  <c r="I194" i="10"/>
  <c r="I184" i="10"/>
  <c r="G184" i="10"/>
  <c r="I174" i="10"/>
  <c r="G174" i="10"/>
  <c r="I164" i="10"/>
  <c r="G164" i="10"/>
  <c r="F164" i="10" s="1"/>
  <c r="I158" i="10"/>
  <c r="G158" i="10"/>
  <c r="F158" i="10" s="1"/>
  <c r="I157" i="10"/>
  <c r="G157" i="10"/>
  <c r="F157" i="10" s="1"/>
  <c r="I156" i="10"/>
  <c r="G156" i="10"/>
  <c r="F156" i="10" s="1"/>
  <c r="I155" i="10"/>
  <c r="G155" i="10"/>
  <c r="F155" i="10" s="1"/>
  <c r="I154" i="10"/>
  <c r="G154" i="10"/>
  <c r="F154" i="10" s="1"/>
  <c r="I153" i="10"/>
  <c r="G153" i="10"/>
  <c r="F153" i="10" s="1"/>
  <c r="I152" i="10"/>
  <c r="G152" i="10"/>
  <c r="F152" i="10" s="1"/>
  <c r="I151" i="10"/>
  <c r="G151" i="10"/>
  <c r="F151" i="10" s="1"/>
  <c r="I150" i="10"/>
  <c r="G150" i="10"/>
  <c r="F150" i="10" s="1"/>
  <c r="I149" i="10"/>
  <c r="G149" i="10"/>
  <c r="F149" i="10" s="1"/>
  <c r="I144" i="10"/>
  <c r="G144" i="10"/>
  <c r="F144" i="10" s="1"/>
  <c r="I134" i="10"/>
  <c r="G134" i="10"/>
  <c r="F134" i="10" s="1"/>
  <c r="I124" i="10"/>
  <c r="G124" i="10"/>
  <c r="F124" i="10" s="1"/>
  <c r="I114" i="10"/>
  <c r="G114" i="10"/>
  <c r="F114" i="10" s="1"/>
  <c r="I104" i="10"/>
  <c r="G104" i="10"/>
  <c r="F104" i="10" s="1"/>
  <c r="I94" i="10"/>
  <c r="G94" i="10"/>
  <c r="F94" i="10" s="1"/>
  <c r="I84" i="10"/>
  <c r="G84" i="10"/>
  <c r="F84" i="10" s="1"/>
  <c r="I74" i="10"/>
  <c r="G74" i="10"/>
  <c r="F74" i="10" s="1"/>
  <c r="I64" i="10"/>
  <c r="G64" i="10"/>
  <c r="F64" i="10" s="1"/>
  <c r="J58" i="10"/>
  <c r="I58" i="10"/>
  <c r="G58" i="10"/>
  <c r="F58" i="10" s="1"/>
  <c r="J57" i="10"/>
  <c r="I57" i="10"/>
  <c r="G57" i="10"/>
  <c r="F57" i="10" s="1"/>
  <c r="J56" i="10"/>
  <c r="I56" i="10"/>
  <c r="G56" i="10"/>
  <c r="F56" i="10" s="1"/>
  <c r="J55" i="10"/>
  <c r="I55" i="10"/>
  <c r="G55" i="10"/>
  <c r="F55" i="10" s="1"/>
  <c r="J54" i="10"/>
  <c r="I54" i="10"/>
  <c r="G54" i="10"/>
  <c r="F54" i="10" s="1"/>
  <c r="J53" i="10"/>
  <c r="I53" i="10"/>
  <c r="G53" i="10"/>
  <c r="F53" i="10" s="1"/>
  <c r="J52" i="10"/>
  <c r="I52" i="10"/>
  <c r="G52" i="10"/>
  <c r="F52" i="10" s="1"/>
  <c r="J51" i="10"/>
  <c r="I51" i="10"/>
  <c r="G51" i="10"/>
  <c r="F51" i="10" s="1"/>
  <c r="J50" i="10"/>
  <c r="I50" i="10"/>
  <c r="G50" i="10"/>
  <c r="F50" i="10" s="1"/>
  <c r="J49" i="10"/>
  <c r="I49" i="10"/>
  <c r="G49" i="10"/>
  <c r="F49" i="10" s="1"/>
  <c r="J44" i="10"/>
  <c r="I44" i="10"/>
  <c r="G44" i="10"/>
  <c r="F44" i="10" s="1"/>
  <c r="J34" i="10"/>
  <c r="I34" i="10"/>
  <c r="G34" i="10"/>
  <c r="F34" i="10" s="1"/>
  <c r="I24" i="10"/>
  <c r="K24" i="10" s="1"/>
  <c r="J24" i="10" s="1"/>
  <c r="G24" i="10"/>
  <c r="F24" i="10" s="1"/>
  <c r="G15" i="10"/>
  <c r="F15" i="10" s="1"/>
  <c r="I5" i="10"/>
  <c r="K5" i="10" s="1"/>
  <c r="G1336" i="10"/>
  <c r="E1336" i="10" s="1"/>
  <c r="G1337" i="10"/>
  <c r="F1337" i="10" s="1"/>
  <c r="G1339" i="10"/>
  <c r="F1339" i="10" s="1"/>
  <c r="G1340" i="10"/>
  <c r="E1340" i="10" s="1"/>
  <c r="G1341" i="10"/>
  <c r="G1342" i="10"/>
  <c r="E1342" i="10" s="1"/>
  <c r="G1343" i="10"/>
  <c r="F1343" i="10" s="1"/>
  <c r="G1344" i="10"/>
  <c r="E1344" i="10" s="1"/>
  <c r="G1345" i="10"/>
  <c r="F1345" i="10" s="1"/>
  <c r="G1346" i="10"/>
  <c r="E1346" i="10" s="1"/>
  <c r="G1347" i="10"/>
  <c r="F1347" i="10" s="1"/>
  <c r="G1349" i="10"/>
  <c r="F1349" i="10" s="1"/>
  <c r="G1350" i="10"/>
  <c r="E1350" i="10" s="1"/>
  <c r="G1352" i="10"/>
  <c r="E1352" i="10" s="1"/>
  <c r="G1353" i="10"/>
  <c r="F1353" i="10" s="1"/>
  <c r="G1354" i="10"/>
  <c r="E1354" i="10" s="1"/>
  <c r="G1355" i="10"/>
  <c r="F1355" i="10" s="1"/>
  <c r="G1356" i="10"/>
  <c r="E1356" i="10" s="1"/>
  <c r="G1357" i="10"/>
  <c r="F1357" i="10" s="1"/>
  <c r="G1359" i="10"/>
  <c r="F1359" i="10" s="1"/>
  <c r="G1360" i="10"/>
  <c r="E1360" i="10" s="1"/>
  <c r="G1361" i="10"/>
  <c r="E1361" i="10" s="1"/>
  <c r="G1362" i="10"/>
  <c r="E1362" i="10" s="1"/>
  <c r="G1363" i="10"/>
  <c r="F1363" i="10" s="1"/>
  <c r="G1364" i="10"/>
  <c r="E1364" i="10" s="1"/>
  <c r="G1365" i="10"/>
  <c r="F1365" i="10" s="1"/>
  <c r="G1366" i="10"/>
  <c r="E1366" i="10" s="1"/>
  <c r="G1367" i="10"/>
  <c r="F1367" i="10" s="1"/>
  <c r="G1369" i="10"/>
  <c r="F1369" i="10" s="1"/>
  <c r="G1371" i="10"/>
  <c r="F1371" i="10" s="1"/>
  <c r="G1372" i="10"/>
  <c r="E1372" i="10" s="1"/>
  <c r="G1374" i="10"/>
  <c r="E1374" i="10" s="1"/>
  <c r="G1375" i="10"/>
  <c r="F1375" i="10" s="1"/>
  <c r="G1376" i="10"/>
  <c r="E1376" i="10" s="1"/>
  <c r="G1377" i="10"/>
  <c r="F1377" i="10" s="1"/>
  <c r="G1379" i="10"/>
  <c r="F1379" i="10" s="1"/>
  <c r="G1380" i="10"/>
  <c r="E1380" i="10" s="1"/>
  <c r="G1381" i="10"/>
  <c r="F1381" i="10" s="1"/>
  <c r="G1382" i="10"/>
  <c r="E1382" i="10" s="1"/>
  <c r="G1383" i="10"/>
  <c r="F1383" i="10" s="1"/>
  <c r="G1384" i="10"/>
  <c r="E1384" i="10" s="1"/>
  <c r="G1385" i="10"/>
  <c r="F1385" i="10" s="1"/>
  <c r="G1386" i="10"/>
  <c r="E1386" i="10" s="1"/>
  <c r="G1387" i="10"/>
  <c r="F1387" i="10" s="1"/>
  <c r="G1389" i="10"/>
  <c r="G1390" i="10"/>
  <c r="E1390" i="10" s="1"/>
  <c r="G1391" i="10"/>
  <c r="F1391" i="10" s="1"/>
  <c r="G1392" i="10"/>
  <c r="E1392" i="10" s="1"/>
  <c r="G1393" i="10"/>
  <c r="F1393" i="10" s="1"/>
  <c r="G1335" i="10"/>
  <c r="F1335" i="10" s="1"/>
  <c r="G1322" i="10"/>
  <c r="F1322" i="10" s="1"/>
  <c r="G1321" i="10"/>
  <c r="F1321" i="10" s="1"/>
  <c r="G1317" i="10"/>
  <c r="E1317" i="10" s="1"/>
  <c r="G1316" i="10"/>
  <c r="F1316" i="10" s="1"/>
  <c r="G1255" i="10"/>
  <c r="E1255" i="10" s="1"/>
  <c r="G1256" i="10"/>
  <c r="F1256" i="10" s="1"/>
  <c r="G1257" i="10"/>
  <c r="E1257" i="10" s="1"/>
  <c r="G1264" i="10"/>
  <c r="E1264" i="10" s="1"/>
  <c r="G1265" i="10"/>
  <c r="F1265" i="10" s="1"/>
  <c r="G1266" i="10"/>
  <c r="E1266" i="10" s="1"/>
  <c r="G1267" i="10"/>
  <c r="F1267" i="10" s="1"/>
  <c r="G1269" i="10"/>
  <c r="F1269" i="10" s="1"/>
  <c r="G1270" i="10"/>
  <c r="E1270" i="10" s="1"/>
  <c r="G1271" i="10"/>
  <c r="F1271" i="10" s="1"/>
  <c r="G1272" i="10"/>
  <c r="E1272" i="10" s="1"/>
  <c r="G1273" i="10"/>
  <c r="F1273" i="10" s="1"/>
  <c r="G1274" i="10"/>
  <c r="E1274" i="10" s="1"/>
  <c r="G1275" i="10"/>
  <c r="F1275" i="10" s="1"/>
  <c r="G1276" i="10"/>
  <c r="E1276" i="10" s="1"/>
  <c r="G1277" i="10"/>
  <c r="F1277" i="10" s="1"/>
  <c r="G1279" i="10"/>
  <c r="F1279" i="10" s="1"/>
  <c r="G1280" i="10"/>
  <c r="E1280" i="10" s="1"/>
  <c r="G1281" i="10"/>
  <c r="F1281" i="10" s="1"/>
  <c r="G1282" i="10"/>
  <c r="E1282" i="10" s="1"/>
  <c r="G1283" i="10"/>
  <c r="F1283" i="10" s="1"/>
  <c r="G1284" i="10"/>
  <c r="E1284" i="10" s="1"/>
  <c r="G1285" i="10"/>
  <c r="F1285" i="10" s="1"/>
  <c r="G1286" i="10"/>
  <c r="E1286" i="10" s="1"/>
  <c r="G1287" i="10"/>
  <c r="F1287" i="10" s="1"/>
  <c r="G1290" i="10"/>
  <c r="E1290" i="10" s="1"/>
  <c r="G1291" i="10"/>
  <c r="F1291" i="10" s="1"/>
  <c r="G1292" i="10"/>
  <c r="E1292" i="10" s="1"/>
  <c r="G1293" i="10"/>
  <c r="F1293" i="10" s="1"/>
  <c r="G1294" i="10"/>
  <c r="E1294" i="10" s="1"/>
  <c r="G1295" i="10"/>
  <c r="F1295" i="10" s="1"/>
  <c r="G1296" i="10"/>
  <c r="E1296" i="10" s="1"/>
  <c r="G1297" i="10"/>
  <c r="F1297" i="10" s="1"/>
  <c r="G1299" i="10"/>
  <c r="G1300" i="10"/>
  <c r="E1300" i="10" s="1"/>
  <c r="G1301" i="10"/>
  <c r="F1301" i="10" s="1"/>
  <c r="G1302" i="10"/>
  <c r="E1302" i="10" s="1"/>
  <c r="G1303" i="10"/>
  <c r="F1303" i="10" s="1"/>
  <c r="G1304" i="10"/>
  <c r="E1304" i="10" s="1"/>
  <c r="G1305" i="10"/>
  <c r="F1305" i="10" s="1"/>
  <c r="G1306" i="10"/>
  <c r="E1306" i="10" s="1"/>
  <c r="G1307" i="10"/>
  <c r="F1307" i="10" s="1"/>
  <c r="G1309" i="10"/>
  <c r="F1309" i="10" s="1"/>
  <c r="G1310" i="10"/>
  <c r="E1310" i="10" s="1"/>
  <c r="G1311" i="10"/>
  <c r="F1311" i="10" s="1"/>
  <c r="G1312" i="10"/>
  <c r="E1312" i="10" s="1"/>
  <c r="G1313" i="10"/>
  <c r="F1313" i="10" s="1"/>
  <c r="G1314" i="10"/>
  <c r="E1314" i="10" s="1"/>
  <c r="G1251" i="10"/>
  <c r="E1251" i="10" s="1"/>
  <c r="G1252" i="10"/>
  <c r="F1252" i="10" s="1"/>
  <c r="G1254" i="10"/>
  <c r="F1254" i="10" s="1"/>
  <c r="G1234" i="10"/>
  <c r="E1235" i="10"/>
  <c r="G1237" i="10"/>
  <c r="E1237" i="10" s="1"/>
  <c r="G1238" i="10"/>
  <c r="E1238" i="10" s="1"/>
  <c r="G1239" i="10"/>
  <c r="E1239" i="10" s="1"/>
  <c r="E1240" i="10"/>
  <c r="G1241" i="10"/>
  <c r="E1241" i="10" s="1"/>
  <c r="G1242" i="10"/>
  <c r="E1242" i="10" s="1"/>
  <c r="G1244" i="10"/>
  <c r="E1244" i="10" s="1"/>
  <c r="G1245" i="10"/>
  <c r="E1245" i="10" s="1"/>
  <c r="G1246" i="10"/>
  <c r="E1246" i="10" s="1"/>
  <c r="G1247" i="10"/>
  <c r="E1247" i="10" s="1"/>
  <c r="G1248" i="10"/>
  <c r="E1248" i="10" s="1"/>
  <c r="G1249" i="10"/>
  <c r="E1249" i="10" s="1"/>
  <c r="G1250" i="10"/>
  <c r="E1250" i="10" s="1"/>
  <c r="G1215" i="10"/>
  <c r="E1215" i="10" s="1"/>
  <c r="G1216" i="10"/>
  <c r="F1216" i="10" s="1"/>
  <c r="G1217" i="10"/>
  <c r="E1217" i="10" s="1"/>
  <c r="G1228" i="10"/>
  <c r="F1228" i="10" s="1"/>
  <c r="G1229" i="10"/>
  <c r="G1230" i="10"/>
  <c r="F1230" i="10" s="1"/>
  <c r="G1231" i="10"/>
  <c r="G1206" i="10"/>
  <c r="E1206" i="10" s="1"/>
  <c r="G1207" i="10"/>
  <c r="F1207" i="10" s="1"/>
  <c r="G1208" i="10"/>
  <c r="E1208" i="10" s="1"/>
  <c r="G1209" i="10"/>
  <c r="F1209" i="10" s="1"/>
  <c r="G1210" i="10"/>
  <c r="E1210" i="10" s="1"/>
  <c r="G1211" i="10"/>
  <c r="F1211" i="10" s="1"/>
  <c r="G1212" i="10"/>
  <c r="E1212" i="10" s="1"/>
  <c r="G1214" i="10"/>
  <c r="E1214" i="10" s="1"/>
  <c r="F1205" i="10"/>
  <c r="I1505" i="10"/>
  <c r="K1505" i="10" s="1"/>
  <c r="J1505" i="10" s="1"/>
  <c r="I1506" i="10"/>
  <c r="K1506" i="10" s="1"/>
  <c r="J1506" i="10" s="1"/>
  <c r="I1507" i="10"/>
  <c r="K1507" i="10" s="1"/>
  <c r="J1507" i="10" s="1"/>
  <c r="I1508" i="10"/>
  <c r="K1508" i="10" s="1"/>
  <c r="J1508" i="10" s="1"/>
  <c r="I1509" i="10"/>
  <c r="K1509" i="10" s="1"/>
  <c r="J1509" i="10" s="1"/>
  <c r="I1511" i="10"/>
  <c r="K1511" i="10" s="1"/>
  <c r="J1511" i="10" s="1"/>
  <c r="I1512" i="10"/>
  <c r="K1512" i="10" s="1"/>
  <c r="J1512" i="10" s="1"/>
  <c r="I1513" i="10"/>
  <c r="K1513" i="10" s="1"/>
  <c r="J1513" i="10" s="1"/>
  <c r="I1514" i="10"/>
  <c r="K1514" i="10" s="1"/>
  <c r="J1514" i="10" s="1"/>
  <c r="I1504" i="10"/>
  <c r="K1504" i="10" s="1"/>
  <c r="J1504" i="10" s="1"/>
  <c r="G1505" i="10"/>
  <c r="E1505" i="10" s="1"/>
  <c r="G1506" i="10"/>
  <c r="F1506" i="10" s="1"/>
  <c r="G1507" i="10"/>
  <c r="E1507" i="10" s="1"/>
  <c r="G1508" i="10"/>
  <c r="F1508" i="10" s="1"/>
  <c r="G1509" i="10"/>
  <c r="E1509" i="10" s="1"/>
  <c r="G1511" i="10"/>
  <c r="E1511" i="10" s="1"/>
  <c r="G1512" i="10"/>
  <c r="F1512" i="10" s="1"/>
  <c r="G1513" i="10"/>
  <c r="E1513" i="10" s="1"/>
  <c r="G1514" i="10"/>
  <c r="F1514" i="10" s="1"/>
  <c r="G31" i="10"/>
  <c r="F31" i="10" s="1"/>
  <c r="I31" i="10"/>
  <c r="K31" i="10" s="1"/>
  <c r="J31" i="10" s="1"/>
  <c r="I28" i="10"/>
  <c r="K28" i="10" s="1"/>
  <c r="J28" i="10" s="1"/>
  <c r="G28" i="10"/>
  <c r="F28" i="10" s="1"/>
  <c r="G831" i="10"/>
  <c r="F831" i="10" s="1"/>
  <c r="G829" i="10"/>
  <c r="F829" i="10" s="1"/>
  <c r="E406" i="10" l="1"/>
  <c r="F406" i="10"/>
  <c r="E628" i="10"/>
  <c r="F628" i="10"/>
  <c r="E251" i="10"/>
  <c r="F251" i="10"/>
  <c r="E245" i="10"/>
  <c r="F245" i="10"/>
  <c r="E243" i="10"/>
  <c r="F243" i="10"/>
  <c r="E239" i="10"/>
  <c r="F239" i="10"/>
  <c r="E615" i="10"/>
  <c r="F615" i="10"/>
  <c r="E613" i="10"/>
  <c r="F613" i="10"/>
  <c r="E611" i="10"/>
  <c r="F611" i="10"/>
  <c r="E609" i="10"/>
  <c r="F609" i="10"/>
  <c r="E607" i="10"/>
  <c r="F607" i="10"/>
  <c r="E605" i="10"/>
  <c r="F605" i="10"/>
  <c r="E624" i="10"/>
  <c r="F624" i="10"/>
  <c r="E622" i="10"/>
  <c r="F622" i="10"/>
  <c r="E620" i="10"/>
  <c r="F620" i="10"/>
  <c r="E618" i="10"/>
  <c r="F618" i="10"/>
  <c r="E616" i="10"/>
  <c r="F616" i="10"/>
  <c r="E174" i="10"/>
  <c r="F174" i="10"/>
  <c r="E184" i="10"/>
  <c r="F184" i="10"/>
  <c r="E194" i="10"/>
  <c r="F194" i="10"/>
  <c r="E629" i="10"/>
  <c r="F629" i="10"/>
  <c r="E630" i="10"/>
  <c r="F630" i="10"/>
  <c r="E631" i="10"/>
  <c r="F631" i="10"/>
  <c r="E632" i="10"/>
  <c r="F632" i="10"/>
  <c r="E233" i="10"/>
  <c r="F233" i="10"/>
  <c r="E249" i="10"/>
  <c r="F249" i="10"/>
  <c r="E247" i="10"/>
  <c r="F247" i="10"/>
  <c r="E241" i="10"/>
  <c r="F241" i="10"/>
  <c r="E1451" i="10"/>
  <c r="F1451" i="10"/>
  <c r="E827" i="10"/>
  <c r="F827" i="10"/>
  <c r="F1183" i="10"/>
  <c r="E1193" i="10"/>
  <c r="F1170" i="10"/>
  <c r="E1170" i="10"/>
  <c r="F1166" i="10"/>
  <c r="E1171" i="10"/>
  <c r="E1181" i="10"/>
  <c r="E1182" i="10"/>
  <c r="F1187" i="10"/>
  <c r="F1200" i="10"/>
  <c r="F1162" i="10"/>
  <c r="F1178" i="10"/>
  <c r="F1174" i="10"/>
  <c r="F1196" i="10"/>
  <c r="F1159" i="10"/>
  <c r="F1168" i="10"/>
  <c r="F1164" i="10"/>
  <c r="F1160" i="10"/>
  <c r="F1176" i="10"/>
  <c r="F1172" i="10"/>
  <c r="F1189" i="10"/>
  <c r="F1185" i="10"/>
  <c r="E1192" i="10"/>
  <c r="F1198" i="10"/>
  <c r="F1194" i="10"/>
  <c r="E1201" i="10"/>
  <c r="E1199" i="10"/>
  <c r="E1197" i="10"/>
  <c r="E1195" i="10"/>
  <c r="E1190" i="10"/>
  <c r="E1188" i="10"/>
  <c r="E1186" i="10"/>
  <c r="E1184" i="10"/>
  <c r="E1179" i="10"/>
  <c r="E1177" i="10"/>
  <c r="E1175" i="10"/>
  <c r="E1173" i="10"/>
  <c r="E1167" i="10"/>
  <c r="E1165" i="10"/>
  <c r="E1163" i="10"/>
  <c r="E1161" i="10"/>
  <c r="E199" i="10"/>
  <c r="F1361" i="10"/>
  <c r="E603" i="10"/>
  <c r="E604" i="10"/>
  <c r="E625" i="10"/>
  <c r="E623" i="10"/>
  <c r="E621" i="10"/>
  <c r="E619" i="10"/>
  <c r="E617" i="10"/>
  <c r="E614" i="10"/>
  <c r="E612" i="10"/>
  <c r="E610" i="10"/>
  <c r="E608" i="10"/>
  <c r="E606" i="10"/>
  <c r="G231" i="10"/>
  <c r="G230" i="10"/>
  <c r="F230" i="10" s="1"/>
  <c r="E238" i="10"/>
  <c r="E250" i="10"/>
  <c r="E248" i="10"/>
  <c r="E246" i="10"/>
  <c r="E244" i="10"/>
  <c r="E242" i="10"/>
  <c r="E240" i="10"/>
  <c r="E232" i="10"/>
  <c r="F929" i="10"/>
  <c r="E870" i="10"/>
  <c r="E1308" i="10"/>
  <c r="E64" i="10"/>
  <c r="E154" i="10"/>
  <c r="E51" i="10"/>
  <c r="E34" i="10"/>
  <c r="E55" i="10"/>
  <c r="E150" i="10"/>
  <c r="E94" i="10"/>
  <c r="E124" i="10"/>
  <c r="E44" i="10"/>
  <c r="E49" i="10"/>
  <c r="E52" i="10"/>
  <c r="E53" i="10"/>
  <c r="E56" i="10"/>
  <c r="E57" i="10"/>
  <c r="E74" i="10"/>
  <c r="E104" i="10"/>
  <c r="E114" i="10"/>
  <c r="E134" i="10"/>
  <c r="E144" i="10"/>
  <c r="E151" i="10"/>
  <c r="E152" i="10"/>
  <c r="E155" i="10"/>
  <c r="E158" i="10"/>
  <c r="E486" i="10"/>
  <c r="E546" i="10"/>
  <c r="E845" i="10"/>
  <c r="E966" i="10"/>
  <c r="E1218" i="10"/>
  <c r="E1378" i="10"/>
  <c r="E498" i="10"/>
  <c r="E550" i="10"/>
  <c r="E557" i="10"/>
  <c r="E850" i="10"/>
  <c r="E930" i="10"/>
  <c r="E1227" i="10"/>
  <c r="E1329" i="10"/>
  <c r="E1510" i="10"/>
  <c r="E494" i="10"/>
  <c r="E516" i="10"/>
  <c r="E526" i="10"/>
  <c r="E547" i="10"/>
  <c r="E548" i="10"/>
  <c r="E552" i="10"/>
  <c r="E830" i="10"/>
  <c r="E848" i="10"/>
  <c r="E852" i="10"/>
  <c r="E900" i="10"/>
  <c r="E953" i="10"/>
  <c r="E1016" i="10"/>
  <c r="E1223" i="10"/>
  <c r="E1268" i="10"/>
  <c r="E1325" i="10"/>
  <c r="E1338" i="10"/>
  <c r="F890" i="10"/>
  <c r="E890" i="10"/>
  <c r="F951" i="10"/>
  <c r="E951" i="10"/>
  <c r="F954" i="10"/>
  <c r="E954" i="10"/>
  <c r="F959" i="10"/>
  <c r="E959" i="10"/>
  <c r="F1225" i="10"/>
  <c r="E1225" i="10"/>
  <c r="F1288" i="10"/>
  <c r="E1288" i="10"/>
  <c r="F1327" i="10"/>
  <c r="E1327" i="10"/>
  <c r="F1358" i="10"/>
  <c r="E1358" i="10"/>
  <c r="F1270" i="10"/>
  <c r="E15" i="10"/>
  <c r="E24" i="10"/>
  <c r="E164" i="10"/>
  <c r="E456" i="10"/>
  <c r="E492" i="10"/>
  <c r="E496" i="10"/>
  <c r="E500" i="10"/>
  <c r="E554" i="10"/>
  <c r="E559" i="10"/>
  <c r="E758" i="10"/>
  <c r="E840" i="10"/>
  <c r="E847" i="10"/>
  <c r="E849" i="10"/>
  <c r="E851" i="10"/>
  <c r="E853" i="10"/>
  <c r="E880" i="10"/>
  <c r="F920" i="10"/>
  <c r="E920" i="10"/>
  <c r="F955" i="10"/>
  <c r="E955" i="10"/>
  <c r="E957" i="10"/>
  <c r="F958" i="10"/>
  <c r="E958" i="10"/>
  <c r="F1220" i="10"/>
  <c r="E1220" i="10"/>
  <c r="F1243" i="10"/>
  <c r="E1243" i="10"/>
  <c r="F1323" i="10"/>
  <c r="E1323" i="10"/>
  <c r="F1331" i="10"/>
  <c r="E1331" i="10"/>
  <c r="J1628" i="10"/>
  <c r="F1628" i="10" s="1"/>
  <c r="G1628" i="10"/>
  <c r="E1628" i="10" s="1"/>
  <c r="J1630" i="10"/>
  <c r="F1630" i="10" s="1"/>
  <c r="G1630" i="10"/>
  <c r="E1630" i="10" s="1"/>
  <c r="J1632" i="10"/>
  <c r="F1632" i="10" s="1"/>
  <c r="G1632" i="10"/>
  <c r="E1632" i="10" s="1"/>
  <c r="J1634" i="10"/>
  <c r="F1634" i="10" s="1"/>
  <c r="G1634" i="10"/>
  <c r="E1634" i="10" s="1"/>
  <c r="J1636" i="10"/>
  <c r="F1636" i="10" s="1"/>
  <c r="G1636" i="10"/>
  <c r="E1636" i="10" s="1"/>
  <c r="J1652" i="10"/>
  <c r="F1652" i="10" s="1"/>
  <c r="G1652" i="10"/>
  <c r="E1652" i="10" s="1"/>
  <c r="J1672" i="10"/>
  <c r="F1672" i="10" s="1"/>
  <c r="G1672" i="10"/>
  <c r="E1672" i="10" s="1"/>
  <c r="J1678" i="10"/>
  <c r="F1678" i="10" s="1"/>
  <c r="G1678" i="10"/>
  <c r="E1678" i="10" s="1"/>
  <c r="J1680" i="10"/>
  <c r="F1680" i="10" s="1"/>
  <c r="G1680" i="10"/>
  <c r="E1680" i="10" s="1"/>
  <c r="J1682" i="10"/>
  <c r="F1682" i="10" s="1"/>
  <c r="G1682" i="10"/>
  <c r="E1682" i="10" s="1"/>
  <c r="J1684" i="10"/>
  <c r="F1684" i="10" s="1"/>
  <c r="G1684" i="10"/>
  <c r="E1684" i="10" s="1"/>
  <c r="J1686" i="10"/>
  <c r="F1686" i="10" s="1"/>
  <c r="G1686" i="10"/>
  <c r="E1686" i="10" s="1"/>
  <c r="J1688" i="10"/>
  <c r="F1688" i="10" s="1"/>
  <c r="G1688" i="10"/>
  <c r="E1688" i="10" s="1"/>
  <c r="J1690" i="10"/>
  <c r="F1690" i="10" s="1"/>
  <c r="G1690" i="10"/>
  <c r="E1690" i="10" s="1"/>
  <c r="J1692" i="10"/>
  <c r="F1692" i="10" s="1"/>
  <c r="G1692" i="10"/>
  <c r="E1692" i="10" s="1"/>
  <c r="J1694" i="10"/>
  <c r="F1694" i="10" s="1"/>
  <c r="G1694" i="10"/>
  <c r="E1694" i="10" s="1"/>
  <c r="J1696" i="10"/>
  <c r="F1696" i="10" s="1"/>
  <c r="G1696" i="10"/>
  <c r="E1696" i="10" s="1"/>
  <c r="J1698" i="10"/>
  <c r="F1698" i="10" s="1"/>
  <c r="G1698" i="10"/>
  <c r="E1698" i="10" s="1"/>
  <c r="J1700" i="10"/>
  <c r="F1700" i="10" s="1"/>
  <c r="G1700" i="10"/>
  <c r="E1700" i="10" s="1"/>
  <c r="J1702" i="10"/>
  <c r="F1702" i="10" s="1"/>
  <c r="G1702" i="10"/>
  <c r="E1702" i="10" s="1"/>
  <c r="J1704" i="10"/>
  <c r="F1704" i="10" s="1"/>
  <c r="G1704" i="10"/>
  <c r="E1704" i="10" s="1"/>
  <c r="J1706" i="10"/>
  <c r="F1706" i="10" s="1"/>
  <c r="G1706" i="10"/>
  <c r="E1706" i="10" s="1"/>
  <c r="J1708" i="10"/>
  <c r="F1708" i="10" s="1"/>
  <c r="G1708" i="10"/>
  <c r="E1708" i="10" s="1"/>
  <c r="J1710" i="10"/>
  <c r="F1710" i="10" s="1"/>
  <c r="G1710" i="10"/>
  <c r="E1710" i="10" s="1"/>
  <c r="J1712" i="10"/>
  <c r="F1712" i="10" s="1"/>
  <c r="G1712" i="10"/>
  <c r="E1712" i="10" s="1"/>
  <c r="J1714" i="10"/>
  <c r="F1714" i="10" s="1"/>
  <c r="G1714" i="10"/>
  <c r="E1714" i="10" s="1"/>
  <c r="J1716" i="10"/>
  <c r="F1716" i="10" s="1"/>
  <c r="G1716" i="10"/>
  <c r="E1716" i="10" s="1"/>
  <c r="J1718" i="10"/>
  <c r="F1718" i="10" s="1"/>
  <c r="G1718" i="10"/>
  <c r="E1718" i="10" s="1"/>
  <c r="F986" i="10"/>
  <c r="E986" i="10"/>
  <c r="E854" i="10"/>
  <c r="E910" i="10"/>
  <c r="F1222" i="10"/>
  <c r="E1222" i="10"/>
  <c r="F1226" i="10"/>
  <c r="E1226" i="10"/>
  <c r="F1253" i="10"/>
  <c r="E1253" i="10"/>
  <c r="F1298" i="10"/>
  <c r="E1298" i="10"/>
  <c r="F1324" i="10"/>
  <c r="E1324" i="10"/>
  <c r="F1328" i="10"/>
  <c r="E1328" i="10"/>
  <c r="F1332" i="10"/>
  <c r="E1332" i="10"/>
  <c r="F1368" i="10"/>
  <c r="E1368" i="10"/>
  <c r="J1627" i="10"/>
  <c r="F1627" i="10" s="1"/>
  <c r="G1627" i="10"/>
  <c r="E1627" i="10" s="1"/>
  <c r="J1629" i="10"/>
  <c r="F1629" i="10" s="1"/>
  <c r="G1629" i="10"/>
  <c r="E1629" i="10" s="1"/>
  <c r="J1631" i="10"/>
  <c r="F1631" i="10" s="1"/>
  <c r="G1631" i="10"/>
  <c r="E1631" i="10" s="1"/>
  <c r="J1633" i="10"/>
  <c r="F1633" i="10" s="1"/>
  <c r="G1633" i="10"/>
  <c r="E1633" i="10" s="1"/>
  <c r="J1635" i="10"/>
  <c r="F1635" i="10" s="1"/>
  <c r="G1635" i="10"/>
  <c r="E1635" i="10" s="1"/>
  <c r="J1642" i="10"/>
  <c r="F1642" i="10" s="1"/>
  <c r="G1642" i="10"/>
  <c r="E1642" i="10" s="1"/>
  <c r="J1662" i="10"/>
  <c r="F1662" i="10" s="1"/>
  <c r="G1662" i="10"/>
  <c r="E1662" i="10" s="1"/>
  <c r="J1677" i="10"/>
  <c r="F1677" i="10" s="1"/>
  <c r="G1677" i="10"/>
  <c r="E1677" i="10" s="1"/>
  <c r="J1679" i="10"/>
  <c r="F1679" i="10" s="1"/>
  <c r="G1679" i="10"/>
  <c r="E1679" i="10" s="1"/>
  <c r="J1681" i="10"/>
  <c r="F1681" i="10" s="1"/>
  <c r="G1681" i="10"/>
  <c r="E1681" i="10" s="1"/>
  <c r="J1683" i="10"/>
  <c r="F1683" i="10" s="1"/>
  <c r="G1683" i="10"/>
  <c r="E1683" i="10" s="1"/>
  <c r="J1685" i="10"/>
  <c r="F1685" i="10" s="1"/>
  <c r="G1685" i="10"/>
  <c r="E1685" i="10" s="1"/>
  <c r="J1687" i="10"/>
  <c r="F1687" i="10" s="1"/>
  <c r="G1687" i="10"/>
  <c r="E1687" i="10" s="1"/>
  <c r="J1689" i="10"/>
  <c r="F1689" i="10" s="1"/>
  <c r="G1689" i="10"/>
  <c r="E1689" i="10" s="1"/>
  <c r="J1691" i="10"/>
  <c r="F1691" i="10" s="1"/>
  <c r="G1691" i="10"/>
  <c r="E1691" i="10" s="1"/>
  <c r="J1693" i="10"/>
  <c r="F1693" i="10" s="1"/>
  <c r="G1693" i="10"/>
  <c r="E1693" i="10" s="1"/>
  <c r="J1695" i="10"/>
  <c r="F1695" i="10" s="1"/>
  <c r="G1695" i="10"/>
  <c r="E1695" i="10" s="1"/>
  <c r="J1697" i="10"/>
  <c r="F1697" i="10" s="1"/>
  <c r="G1697" i="10"/>
  <c r="E1697" i="10" s="1"/>
  <c r="J1699" i="10"/>
  <c r="F1699" i="10" s="1"/>
  <c r="G1699" i="10"/>
  <c r="E1699" i="10" s="1"/>
  <c r="J1701" i="10"/>
  <c r="F1701" i="10" s="1"/>
  <c r="G1701" i="10"/>
  <c r="E1701" i="10" s="1"/>
  <c r="J1703" i="10"/>
  <c r="F1703" i="10" s="1"/>
  <c r="G1703" i="10"/>
  <c r="E1703" i="10" s="1"/>
  <c r="J1705" i="10"/>
  <c r="F1705" i="10" s="1"/>
  <c r="G1705" i="10"/>
  <c r="E1705" i="10" s="1"/>
  <c r="J1707" i="10"/>
  <c r="F1707" i="10" s="1"/>
  <c r="G1707" i="10"/>
  <c r="E1707" i="10" s="1"/>
  <c r="J1709" i="10"/>
  <c r="F1709" i="10" s="1"/>
  <c r="G1709" i="10"/>
  <c r="E1709" i="10" s="1"/>
  <c r="J1711" i="10"/>
  <c r="F1711" i="10" s="1"/>
  <c r="G1711" i="10"/>
  <c r="E1711" i="10" s="1"/>
  <c r="J1713" i="10"/>
  <c r="F1713" i="10" s="1"/>
  <c r="G1713" i="10"/>
  <c r="E1713" i="10" s="1"/>
  <c r="J1715" i="10"/>
  <c r="F1715" i="10" s="1"/>
  <c r="G1715" i="10"/>
  <c r="E1715" i="10" s="1"/>
  <c r="J1717" i="10"/>
  <c r="F1717" i="10" s="1"/>
  <c r="G1717" i="10"/>
  <c r="E1717" i="10" s="1"/>
  <c r="E156" i="10"/>
  <c r="E846" i="10"/>
  <c r="E860" i="10"/>
  <c r="E946" i="10"/>
  <c r="E50" i="10"/>
  <c r="E54" i="10"/>
  <c r="E58" i="10"/>
  <c r="E84" i="10"/>
  <c r="E149" i="10"/>
  <c r="E153" i="10"/>
  <c r="E157" i="10"/>
  <c r="E476" i="10"/>
  <c r="E491" i="10"/>
  <c r="E493" i="10"/>
  <c r="E495" i="10"/>
  <c r="E497" i="10"/>
  <c r="E499" i="10"/>
  <c r="E506" i="10"/>
  <c r="E549" i="10"/>
  <c r="E553" i="10"/>
  <c r="E555" i="10"/>
  <c r="E558" i="10"/>
  <c r="E560" i="10"/>
  <c r="E562" i="10"/>
  <c r="E952" i="10"/>
  <c r="E956" i="10"/>
  <c r="E960" i="10"/>
  <c r="E1213" i="10"/>
  <c r="E1219" i="10"/>
  <c r="E1221" i="10"/>
  <c r="F1224" i="10"/>
  <c r="E1224" i="10"/>
  <c r="F1233" i="10"/>
  <c r="E1233" i="10"/>
  <c r="F1278" i="10"/>
  <c r="E1278" i="10"/>
  <c r="F1318" i="10"/>
  <c r="E1318" i="10"/>
  <c r="F1326" i="10"/>
  <c r="E1326" i="10"/>
  <c r="F1330" i="10"/>
  <c r="E1330" i="10"/>
  <c r="F1348" i="10"/>
  <c r="E1348" i="10"/>
  <c r="J288" i="10"/>
  <c r="G288" i="10"/>
  <c r="J290" i="10"/>
  <c r="G290" i="10"/>
  <c r="J292" i="10"/>
  <c r="G292" i="10"/>
  <c r="J294" i="10"/>
  <c r="G294" i="10"/>
  <c r="J296" i="10"/>
  <c r="G296" i="10"/>
  <c r="J313" i="10"/>
  <c r="G313" i="10"/>
  <c r="J336" i="10"/>
  <c r="G336" i="10"/>
  <c r="J356" i="10"/>
  <c r="G356" i="10"/>
  <c r="J376" i="10"/>
  <c r="G376" i="10"/>
  <c r="J391" i="10"/>
  <c r="G391" i="10"/>
  <c r="J394" i="10"/>
  <c r="G394" i="10"/>
  <c r="J396" i="10"/>
  <c r="G396" i="10"/>
  <c r="J398" i="10"/>
  <c r="G398" i="10"/>
  <c r="J400" i="10"/>
  <c r="G400" i="10"/>
  <c r="J416" i="10"/>
  <c r="G416" i="10"/>
  <c r="J788" i="10"/>
  <c r="F788" i="10" s="1"/>
  <c r="G788" i="10"/>
  <c r="E788" i="10" s="1"/>
  <c r="J808" i="10"/>
  <c r="F808" i="10" s="1"/>
  <c r="G808" i="10"/>
  <c r="E808" i="10" s="1"/>
  <c r="J1051" i="10"/>
  <c r="F1051" i="10" s="1"/>
  <c r="G1051" i="10"/>
  <c r="E1051" i="10" s="1"/>
  <c r="J1055" i="10"/>
  <c r="F1055" i="10" s="1"/>
  <c r="G1055" i="10"/>
  <c r="E1055" i="10" s="1"/>
  <c r="J1058" i="10"/>
  <c r="F1058" i="10" s="1"/>
  <c r="G1058" i="10"/>
  <c r="E1058" i="10" s="1"/>
  <c r="J1076" i="10"/>
  <c r="F1076" i="10" s="1"/>
  <c r="G1076" i="10"/>
  <c r="E1076" i="10" s="1"/>
  <c r="G5" i="10"/>
  <c r="E5" i="10" s="1"/>
  <c r="J5" i="10"/>
  <c r="F5" i="10" s="1"/>
  <c r="J283" i="10"/>
  <c r="G283" i="10"/>
  <c r="J289" i="10"/>
  <c r="G289" i="10"/>
  <c r="J291" i="10"/>
  <c r="G291" i="10"/>
  <c r="J293" i="10"/>
  <c r="G293" i="10"/>
  <c r="J295" i="10"/>
  <c r="G295" i="10"/>
  <c r="J303" i="10"/>
  <c r="G303" i="10"/>
  <c r="J323" i="10"/>
  <c r="G323" i="10"/>
  <c r="J346" i="10"/>
  <c r="G346" i="10"/>
  <c r="J366" i="10"/>
  <c r="G366" i="10"/>
  <c r="J386" i="10"/>
  <c r="G386" i="10"/>
  <c r="J393" i="10"/>
  <c r="G393" i="10"/>
  <c r="J395" i="10"/>
  <c r="G395" i="10"/>
  <c r="J397" i="10"/>
  <c r="G397" i="10"/>
  <c r="J399" i="10"/>
  <c r="G399" i="10"/>
  <c r="J436" i="10"/>
  <c r="G436" i="10"/>
  <c r="E561" i="10"/>
  <c r="J798" i="10"/>
  <c r="F798" i="10" s="1"/>
  <c r="G798" i="10"/>
  <c r="E798" i="10" s="1"/>
  <c r="J818" i="10"/>
  <c r="F818" i="10" s="1"/>
  <c r="G818" i="10"/>
  <c r="E818" i="10" s="1"/>
  <c r="E1006" i="10"/>
  <c r="F1006" i="10"/>
  <c r="J1046" i="10"/>
  <c r="F1046" i="10" s="1"/>
  <c r="G1046" i="10"/>
  <c r="E1046" i="10" s="1"/>
  <c r="J1054" i="10"/>
  <c r="F1054" i="10" s="1"/>
  <c r="G1054" i="10"/>
  <c r="E1054" i="10" s="1"/>
  <c r="J1056" i="10"/>
  <c r="F1056" i="10" s="1"/>
  <c r="G1056" i="10"/>
  <c r="E1056" i="10" s="1"/>
  <c r="J1060" i="10"/>
  <c r="F1060" i="10" s="1"/>
  <c r="G1060" i="10"/>
  <c r="E1060" i="10" s="1"/>
  <c r="K406" i="10"/>
  <c r="J406" i="10" s="1"/>
  <c r="J1057" i="10"/>
  <c r="F1057" i="10" s="1"/>
  <c r="G1057" i="10"/>
  <c r="E1057" i="10" s="1"/>
  <c r="J1059" i="10"/>
  <c r="F1059" i="10" s="1"/>
  <c r="G1059" i="10"/>
  <c r="E1059" i="10" s="1"/>
  <c r="J1066" i="10"/>
  <c r="F1066" i="10" s="1"/>
  <c r="G1066" i="10"/>
  <c r="E1066" i="10" s="1"/>
  <c r="J1141" i="10"/>
  <c r="F1141" i="10" s="1"/>
  <c r="G1141" i="10"/>
  <c r="E1141" i="10" s="1"/>
  <c r="J1408" i="10"/>
  <c r="F1408" i="10" s="1"/>
  <c r="G1408" i="10"/>
  <c r="E1408" i="10" s="1"/>
  <c r="J1423" i="10"/>
  <c r="F1423" i="10" s="1"/>
  <c r="G1423" i="10"/>
  <c r="E1423" i="10" s="1"/>
  <c r="J1431" i="10"/>
  <c r="F1431" i="10" s="1"/>
  <c r="G1431" i="10"/>
  <c r="E1431" i="10" s="1"/>
  <c r="J1438" i="10"/>
  <c r="F1438" i="10" s="1"/>
  <c r="G1438" i="10"/>
  <c r="E1438" i="10" s="1"/>
  <c r="J1460" i="10"/>
  <c r="F1460" i="10" s="1"/>
  <c r="G1460" i="10"/>
  <c r="E1460" i="10" s="1"/>
  <c r="J1480" i="10"/>
  <c r="F1480" i="10" s="1"/>
  <c r="G1480" i="10"/>
  <c r="E1480" i="10" s="1"/>
  <c r="J1500" i="10"/>
  <c r="F1500" i="10" s="1"/>
  <c r="G1500" i="10"/>
  <c r="E1500" i="10" s="1"/>
  <c r="J1525" i="10"/>
  <c r="F1525" i="10" s="1"/>
  <c r="G1525" i="10"/>
  <c r="E1525" i="10" s="1"/>
  <c r="J1527" i="10"/>
  <c r="F1527" i="10" s="1"/>
  <c r="G1527" i="10"/>
  <c r="E1527" i="10" s="1"/>
  <c r="J1529" i="10"/>
  <c r="F1529" i="10" s="1"/>
  <c r="G1529" i="10"/>
  <c r="E1529" i="10" s="1"/>
  <c r="J1531" i="10"/>
  <c r="F1531" i="10" s="1"/>
  <c r="G1531" i="10"/>
  <c r="E1531" i="10" s="1"/>
  <c r="J1533" i="10"/>
  <c r="F1533" i="10" s="1"/>
  <c r="G1533" i="10"/>
  <c r="E1533" i="10" s="1"/>
  <c r="J1540" i="10"/>
  <c r="F1540" i="10" s="1"/>
  <c r="G1540" i="10"/>
  <c r="E1540" i="10" s="1"/>
  <c r="J1572" i="10"/>
  <c r="F1572" i="10" s="1"/>
  <c r="G1572" i="10"/>
  <c r="E1572" i="10" s="1"/>
  <c r="J1592" i="10"/>
  <c r="F1592" i="10" s="1"/>
  <c r="G1592" i="10"/>
  <c r="E1592" i="10" s="1"/>
  <c r="J1612" i="10"/>
  <c r="F1612" i="10" s="1"/>
  <c r="G1612" i="10"/>
  <c r="E1612" i="10" s="1"/>
  <c r="J1719" i="10"/>
  <c r="F1719" i="10" s="1"/>
  <c r="G1719" i="10"/>
  <c r="E1719" i="10" s="1"/>
  <c r="J1721" i="10"/>
  <c r="F1721" i="10" s="1"/>
  <c r="G1721" i="10"/>
  <c r="E1721" i="10" s="1"/>
  <c r="J1723" i="10"/>
  <c r="F1723" i="10" s="1"/>
  <c r="G1723" i="10"/>
  <c r="E1723" i="10" s="1"/>
  <c r="J1725" i="10"/>
  <c r="F1725" i="10" s="1"/>
  <c r="G1725" i="10"/>
  <c r="E1725" i="10" s="1"/>
  <c r="G1036" i="10"/>
  <c r="E1036" i="10" s="1"/>
  <c r="J1398" i="10"/>
  <c r="F1398" i="10" s="1"/>
  <c r="G1398" i="10"/>
  <c r="E1398" i="10" s="1"/>
  <c r="J1418" i="10"/>
  <c r="F1418" i="10" s="1"/>
  <c r="G1418" i="10"/>
  <c r="E1418" i="10" s="1"/>
  <c r="J1425" i="10"/>
  <c r="F1425" i="10" s="1"/>
  <c r="G1425" i="10"/>
  <c r="E1425" i="10" s="1"/>
  <c r="J1426" i="10"/>
  <c r="F1426" i="10" s="1"/>
  <c r="G1426" i="10"/>
  <c r="E1426" i="10" s="1"/>
  <c r="J1427" i="10"/>
  <c r="F1427" i="10" s="1"/>
  <c r="G1427" i="10"/>
  <c r="E1427" i="10" s="1"/>
  <c r="J1428" i="10"/>
  <c r="F1428" i="10" s="1"/>
  <c r="G1428" i="10"/>
  <c r="E1428" i="10" s="1"/>
  <c r="J1430" i="10"/>
  <c r="F1430" i="10" s="1"/>
  <c r="G1430" i="10"/>
  <c r="E1430" i="10" s="1"/>
  <c r="J1432" i="10"/>
  <c r="F1432" i="10" s="1"/>
  <c r="G1432" i="10"/>
  <c r="E1432" i="10" s="1"/>
  <c r="J1448" i="10"/>
  <c r="F1448" i="10" s="1"/>
  <c r="G1448" i="10"/>
  <c r="E1448" i="10" s="1"/>
  <c r="J1470" i="10"/>
  <c r="F1470" i="10" s="1"/>
  <c r="G1470" i="10"/>
  <c r="E1470" i="10" s="1"/>
  <c r="J1490" i="10"/>
  <c r="F1490" i="10" s="1"/>
  <c r="G1490" i="10"/>
  <c r="E1490" i="10" s="1"/>
  <c r="J1520" i="10"/>
  <c r="F1520" i="10" s="1"/>
  <c r="G1520" i="10"/>
  <c r="E1520" i="10" s="1"/>
  <c r="J1526" i="10"/>
  <c r="F1526" i="10" s="1"/>
  <c r="G1526" i="10"/>
  <c r="E1526" i="10" s="1"/>
  <c r="J1528" i="10"/>
  <c r="F1528" i="10" s="1"/>
  <c r="G1528" i="10"/>
  <c r="E1528" i="10" s="1"/>
  <c r="J1530" i="10"/>
  <c r="F1530" i="10" s="1"/>
  <c r="G1530" i="10"/>
  <c r="E1530" i="10" s="1"/>
  <c r="J1532" i="10"/>
  <c r="F1532" i="10" s="1"/>
  <c r="G1532" i="10"/>
  <c r="E1532" i="10" s="1"/>
  <c r="J1534" i="10"/>
  <c r="F1534" i="10" s="1"/>
  <c r="G1534" i="10"/>
  <c r="E1534" i="10" s="1"/>
  <c r="J1560" i="10"/>
  <c r="J1582" i="10"/>
  <c r="F1582" i="10" s="1"/>
  <c r="G1582" i="10"/>
  <c r="E1582" i="10" s="1"/>
  <c r="J1602" i="10"/>
  <c r="F1602" i="10" s="1"/>
  <c r="G1602" i="10"/>
  <c r="E1602" i="10" s="1"/>
  <c r="J1720" i="10"/>
  <c r="F1720" i="10" s="1"/>
  <c r="G1720" i="10"/>
  <c r="E1720" i="10" s="1"/>
  <c r="J1722" i="10"/>
  <c r="F1722" i="10" s="1"/>
  <c r="G1722" i="10"/>
  <c r="E1722" i="10" s="1"/>
  <c r="J1724" i="10"/>
  <c r="F1724" i="10" s="1"/>
  <c r="G1724" i="10"/>
  <c r="E1724" i="10" s="1"/>
  <c r="J1727" i="10"/>
  <c r="F1727" i="10" s="1"/>
  <c r="G1727" i="10"/>
  <c r="E1727" i="10" s="1"/>
  <c r="J1729" i="10"/>
  <c r="F1729" i="10" s="1"/>
  <c r="G1729" i="10"/>
  <c r="E1729" i="10" s="1"/>
  <c r="J1731" i="10"/>
  <c r="F1731" i="10" s="1"/>
  <c r="G1731" i="10"/>
  <c r="E1731" i="10" s="1"/>
  <c r="J1733" i="10"/>
  <c r="F1733" i="10" s="1"/>
  <c r="G1733" i="10"/>
  <c r="E1733" i="10" s="1"/>
  <c r="J1735" i="10"/>
  <c r="F1735" i="10" s="1"/>
  <c r="G1735" i="10"/>
  <c r="E1735" i="10" s="1"/>
  <c r="J1737" i="10"/>
  <c r="F1737" i="10" s="1"/>
  <c r="G1737" i="10"/>
  <c r="E1737" i="10" s="1"/>
  <c r="J1739" i="10"/>
  <c r="F1739" i="10" s="1"/>
  <c r="G1739" i="10"/>
  <c r="E1739" i="10" s="1"/>
  <c r="J1741" i="10"/>
  <c r="F1741" i="10" s="1"/>
  <c r="G1741" i="10"/>
  <c r="E1741" i="10" s="1"/>
  <c r="J1743" i="10"/>
  <c r="F1743" i="10" s="1"/>
  <c r="G1743" i="10"/>
  <c r="E1743" i="10" s="1"/>
  <c r="J1745" i="10"/>
  <c r="F1745" i="10" s="1"/>
  <c r="G1745" i="10"/>
  <c r="E1745" i="10" s="1"/>
  <c r="J1747" i="10"/>
  <c r="F1747" i="10" s="1"/>
  <c r="G1747" i="10"/>
  <c r="E1747" i="10" s="1"/>
  <c r="J1749" i="10"/>
  <c r="F1749" i="10" s="1"/>
  <c r="G1749" i="10"/>
  <c r="E1749" i="10" s="1"/>
  <c r="J1751" i="10"/>
  <c r="F1751" i="10" s="1"/>
  <c r="G1751" i="10"/>
  <c r="E1751" i="10" s="1"/>
  <c r="J1753" i="10"/>
  <c r="F1753" i="10" s="1"/>
  <c r="G1753" i="10"/>
  <c r="E1753" i="10" s="1"/>
  <c r="J1755" i="10"/>
  <c r="F1755" i="10" s="1"/>
  <c r="G1755" i="10"/>
  <c r="E1755" i="10" s="1"/>
  <c r="J1757" i="10"/>
  <c r="F1757" i="10" s="1"/>
  <c r="G1757" i="10"/>
  <c r="E1757" i="10" s="1"/>
  <c r="J1759" i="10"/>
  <c r="F1759" i="10" s="1"/>
  <c r="G1759" i="10"/>
  <c r="E1759" i="10" s="1"/>
  <c r="J1761" i="10"/>
  <c r="F1761" i="10" s="1"/>
  <c r="G1761" i="10"/>
  <c r="E1761" i="10" s="1"/>
  <c r="J1763" i="10"/>
  <c r="F1763" i="10" s="1"/>
  <c r="G1763" i="10"/>
  <c r="E1763" i="10" s="1"/>
  <c r="J1765" i="10"/>
  <c r="F1765" i="10" s="1"/>
  <c r="G1765" i="10"/>
  <c r="E1765" i="10" s="1"/>
  <c r="J1767" i="10"/>
  <c r="F1767" i="10" s="1"/>
  <c r="G1767" i="10"/>
  <c r="E1767" i="10" s="1"/>
  <c r="J1769" i="10"/>
  <c r="F1769" i="10" s="1"/>
  <c r="G1769" i="10"/>
  <c r="E1769" i="10" s="1"/>
  <c r="J1771" i="10"/>
  <c r="F1771" i="10" s="1"/>
  <c r="G1771" i="10"/>
  <c r="E1771" i="10" s="1"/>
  <c r="J1773" i="10"/>
  <c r="F1773" i="10" s="1"/>
  <c r="G1773" i="10"/>
  <c r="E1773" i="10" s="1"/>
  <c r="J1775" i="10"/>
  <c r="F1775" i="10" s="1"/>
  <c r="G1775" i="10"/>
  <c r="E1775" i="10" s="1"/>
  <c r="J1782" i="10"/>
  <c r="F1782" i="10" s="1"/>
  <c r="G1782" i="10"/>
  <c r="E1782" i="10" s="1"/>
  <c r="J1802" i="10"/>
  <c r="F1802" i="10" s="1"/>
  <c r="G1802" i="10"/>
  <c r="E1802" i="10" s="1"/>
  <c r="J1822" i="10"/>
  <c r="F1822" i="10" s="1"/>
  <c r="G1822" i="10"/>
  <c r="E1822" i="10" s="1"/>
  <c r="J1828" i="10"/>
  <c r="F1828" i="10" s="1"/>
  <c r="G1828" i="10"/>
  <c r="E1828" i="10" s="1"/>
  <c r="J1830" i="10"/>
  <c r="F1830" i="10" s="1"/>
  <c r="G1830" i="10"/>
  <c r="E1830" i="10" s="1"/>
  <c r="J1832" i="10"/>
  <c r="F1832" i="10" s="1"/>
  <c r="G1832" i="10"/>
  <c r="E1832" i="10" s="1"/>
  <c r="J1834" i="10"/>
  <c r="F1834" i="10" s="1"/>
  <c r="G1834" i="10"/>
  <c r="E1834" i="10" s="1"/>
  <c r="J1836" i="10"/>
  <c r="F1836" i="10" s="1"/>
  <c r="G1836" i="10"/>
  <c r="E1836" i="10" s="1"/>
  <c r="J1852" i="10"/>
  <c r="F1852" i="10" s="1"/>
  <c r="G1852" i="10"/>
  <c r="E1852" i="10" s="1"/>
  <c r="J1872" i="10"/>
  <c r="F1872" i="10" s="1"/>
  <c r="G1872" i="10"/>
  <c r="E1872" i="10" s="1"/>
  <c r="J1726" i="10"/>
  <c r="F1726" i="10" s="1"/>
  <c r="G1726" i="10"/>
  <c r="E1726" i="10" s="1"/>
  <c r="J1728" i="10"/>
  <c r="F1728" i="10" s="1"/>
  <c r="G1728" i="10"/>
  <c r="E1728" i="10" s="1"/>
  <c r="J1730" i="10"/>
  <c r="F1730" i="10" s="1"/>
  <c r="G1730" i="10"/>
  <c r="E1730" i="10" s="1"/>
  <c r="J1732" i="10"/>
  <c r="F1732" i="10" s="1"/>
  <c r="G1732" i="10"/>
  <c r="E1732" i="10" s="1"/>
  <c r="J1734" i="10"/>
  <c r="F1734" i="10" s="1"/>
  <c r="G1734" i="10"/>
  <c r="E1734" i="10" s="1"/>
  <c r="J1736" i="10"/>
  <c r="F1736" i="10" s="1"/>
  <c r="G1736" i="10"/>
  <c r="E1736" i="10" s="1"/>
  <c r="J1738" i="10"/>
  <c r="F1738" i="10" s="1"/>
  <c r="G1738" i="10"/>
  <c r="E1738" i="10" s="1"/>
  <c r="J1740" i="10"/>
  <c r="F1740" i="10" s="1"/>
  <c r="G1740" i="10"/>
  <c r="E1740" i="10" s="1"/>
  <c r="J1742" i="10"/>
  <c r="F1742" i="10" s="1"/>
  <c r="G1742" i="10"/>
  <c r="E1742" i="10" s="1"/>
  <c r="J1744" i="10"/>
  <c r="F1744" i="10" s="1"/>
  <c r="G1744" i="10"/>
  <c r="E1744" i="10" s="1"/>
  <c r="J1746" i="10"/>
  <c r="F1746" i="10" s="1"/>
  <c r="G1746" i="10"/>
  <c r="E1746" i="10" s="1"/>
  <c r="J1748" i="10"/>
  <c r="F1748" i="10" s="1"/>
  <c r="G1748" i="10"/>
  <c r="E1748" i="10" s="1"/>
  <c r="J1750" i="10"/>
  <c r="F1750" i="10" s="1"/>
  <c r="G1750" i="10"/>
  <c r="E1750" i="10" s="1"/>
  <c r="J1752" i="10"/>
  <c r="F1752" i="10" s="1"/>
  <c r="G1752" i="10"/>
  <c r="E1752" i="10" s="1"/>
  <c r="J1754" i="10"/>
  <c r="F1754" i="10" s="1"/>
  <c r="G1754" i="10"/>
  <c r="E1754" i="10" s="1"/>
  <c r="J1756" i="10"/>
  <c r="F1756" i="10" s="1"/>
  <c r="G1756" i="10"/>
  <c r="E1756" i="10" s="1"/>
  <c r="J1758" i="10"/>
  <c r="F1758" i="10" s="1"/>
  <c r="G1758" i="10"/>
  <c r="E1758" i="10" s="1"/>
  <c r="J1760" i="10"/>
  <c r="F1760" i="10" s="1"/>
  <c r="G1760" i="10"/>
  <c r="E1760" i="10" s="1"/>
  <c r="J1762" i="10"/>
  <c r="F1762" i="10" s="1"/>
  <c r="G1762" i="10"/>
  <c r="E1762" i="10" s="1"/>
  <c r="J1764" i="10"/>
  <c r="F1764" i="10" s="1"/>
  <c r="G1764" i="10"/>
  <c r="E1764" i="10" s="1"/>
  <c r="J1766" i="10"/>
  <c r="F1766" i="10" s="1"/>
  <c r="G1766" i="10"/>
  <c r="E1766" i="10" s="1"/>
  <c r="J1768" i="10"/>
  <c r="F1768" i="10" s="1"/>
  <c r="G1768" i="10"/>
  <c r="E1768" i="10" s="1"/>
  <c r="J1770" i="10"/>
  <c r="F1770" i="10" s="1"/>
  <c r="G1770" i="10"/>
  <c r="E1770" i="10" s="1"/>
  <c r="J1772" i="10"/>
  <c r="F1772" i="10" s="1"/>
  <c r="G1772" i="10"/>
  <c r="E1772" i="10" s="1"/>
  <c r="J1774" i="10"/>
  <c r="F1774" i="10" s="1"/>
  <c r="G1774" i="10"/>
  <c r="E1774" i="10" s="1"/>
  <c r="J1776" i="10"/>
  <c r="F1776" i="10" s="1"/>
  <c r="G1776" i="10"/>
  <c r="E1776" i="10" s="1"/>
  <c r="J1792" i="10"/>
  <c r="F1792" i="10" s="1"/>
  <c r="G1792" i="10"/>
  <c r="E1792" i="10" s="1"/>
  <c r="J1812" i="10"/>
  <c r="F1812" i="10" s="1"/>
  <c r="G1812" i="10"/>
  <c r="E1812" i="10" s="1"/>
  <c r="J1827" i="10"/>
  <c r="F1827" i="10" s="1"/>
  <c r="G1827" i="10"/>
  <c r="E1827" i="10" s="1"/>
  <c r="J1829" i="10"/>
  <c r="F1829" i="10" s="1"/>
  <c r="G1829" i="10"/>
  <c r="E1829" i="10" s="1"/>
  <c r="J1831" i="10"/>
  <c r="F1831" i="10" s="1"/>
  <c r="G1831" i="10"/>
  <c r="E1831" i="10" s="1"/>
  <c r="J1833" i="10"/>
  <c r="F1833" i="10" s="1"/>
  <c r="G1833" i="10"/>
  <c r="E1833" i="10" s="1"/>
  <c r="J1835" i="10"/>
  <c r="F1835" i="10" s="1"/>
  <c r="G1835" i="10"/>
  <c r="E1835" i="10" s="1"/>
  <c r="J1842" i="10"/>
  <c r="F1842" i="10" s="1"/>
  <c r="G1842" i="10"/>
  <c r="E1842" i="10" s="1"/>
  <c r="J1862" i="10"/>
  <c r="F1862" i="10" s="1"/>
  <c r="G1862" i="10"/>
  <c r="E1862" i="10" s="1"/>
  <c r="J1882" i="10"/>
  <c r="F1882" i="10" s="1"/>
  <c r="G1882" i="10"/>
  <c r="E1882" i="10" s="1"/>
  <c r="E1229" i="10"/>
  <c r="E1236" i="10"/>
  <c r="F1299" i="10"/>
  <c r="E1231" i="10"/>
  <c r="E1234" i="10"/>
  <c r="F1341" i="10"/>
  <c r="F1239" i="10"/>
  <c r="F1314" i="10"/>
  <c r="F1286" i="10"/>
  <c r="F1392" i="10"/>
  <c r="F1376" i="10"/>
  <c r="F1372" i="10"/>
  <c r="F1346" i="10"/>
  <c r="E1321" i="10"/>
  <c r="F1317" i="10"/>
  <c r="F1360" i="10"/>
  <c r="F1247" i="10"/>
  <c r="F1292" i="10"/>
  <c r="E1316" i="10"/>
  <c r="F1507" i="10"/>
  <c r="F1245" i="10"/>
  <c r="F1300" i="10"/>
  <c r="F1276" i="10"/>
  <c r="F1212" i="10"/>
  <c r="F1306" i="10"/>
  <c r="E1322" i="10"/>
  <c r="F1384" i="10"/>
  <c r="F1352" i="10"/>
  <c r="F1237" i="10"/>
  <c r="F1284" i="10"/>
  <c r="F1390" i="10"/>
  <c r="F1386" i="10"/>
  <c r="F1513" i="10"/>
  <c r="E1205" i="10"/>
  <c r="F1214" i="10"/>
  <c r="F1206" i="10"/>
  <c r="F1229" i="10"/>
  <c r="F1249" i="10"/>
  <c r="F1241" i="10"/>
  <c r="F1251" i="10"/>
  <c r="F1310" i="10"/>
  <c r="F1302" i="10"/>
  <c r="F1294" i="10"/>
  <c r="F1280" i="10"/>
  <c r="F1272" i="10"/>
  <c r="F1264" i="10"/>
  <c r="F1380" i="10"/>
  <c r="F1362" i="10"/>
  <c r="F1354" i="10"/>
  <c r="F1340" i="10"/>
  <c r="F1208" i="10"/>
  <c r="F1215" i="10"/>
  <c r="F1235" i="10"/>
  <c r="F1312" i="10"/>
  <c r="F1304" i="10"/>
  <c r="F1296" i="10"/>
  <c r="F1282" i="10"/>
  <c r="F1274" i="10"/>
  <c r="F1266" i="10"/>
  <c r="F1255" i="10"/>
  <c r="E1335" i="10"/>
  <c r="E1393" i="10"/>
  <c r="E1391" i="10"/>
  <c r="F1382" i="10"/>
  <c r="F1374" i="10"/>
  <c r="F1364" i="10"/>
  <c r="F1356" i="10"/>
  <c r="F1350" i="10"/>
  <c r="F1342" i="10"/>
  <c r="F1511" i="10"/>
  <c r="F1505" i="10"/>
  <c r="F1210" i="10"/>
  <c r="F1217" i="10"/>
  <c r="F1231" i="10"/>
  <c r="F1290" i="10"/>
  <c r="F1257" i="10"/>
  <c r="F1366" i="10"/>
  <c r="F1344" i="10"/>
  <c r="F1336" i="10"/>
  <c r="F1389" i="10"/>
  <c r="E1389" i="10"/>
  <c r="E1387" i="10"/>
  <c r="E1385" i="10"/>
  <c r="E1383" i="10"/>
  <c r="E1381" i="10"/>
  <c r="E1379" i="10"/>
  <c r="E1377" i="10"/>
  <c r="E1375" i="10"/>
  <c r="E1371" i="10"/>
  <c r="E1369" i="10"/>
  <c r="E1367" i="10"/>
  <c r="E1365" i="10"/>
  <c r="E1363" i="10"/>
  <c r="E1359" i="10"/>
  <c r="E1357" i="10"/>
  <c r="E1355" i="10"/>
  <c r="E1353" i="10"/>
  <c r="E1349" i="10"/>
  <c r="E1347" i="10"/>
  <c r="E1345" i="10"/>
  <c r="E1343" i="10"/>
  <c r="E1341" i="10"/>
  <c r="E1339" i="10"/>
  <c r="E1337" i="10"/>
  <c r="E1313" i="10"/>
  <c r="E1311" i="10"/>
  <c r="E1309" i="10"/>
  <c r="E1307" i="10"/>
  <c r="E1305" i="10"/>
  <c r="E1303" i="10"/>
  <c r="E1301" i="10"/>
  <c r="E1299" i="10"/>
  <c r="E1297" i="10"/>
  <c r="E1295" i="10"/>
  <c r="E1293" i="10"/>
  <c r="E1291" i="10"/>
  <c r="E1287" i="10"/>
  <c r="E1285" i="10"/>
  <c r="E1283" i="10"/>
  <c r="E1281" i="10"/>
  <c r="E1279" i="10"/>
  <c r="E1277" i="10"/>
  <c r="E1275" i="10"/>
  <c r="E1273" i="10"/>
  <c r="E1271" i="10"/>
  <c r="E1269" i="10"/>
  <c r="E1267" i="10"/>
  <c r="E1265" i="10"/>
  <c r="E1256" i="10"/>
  <c r="E1254" i="10"/>
  <c r="E1252" i="10"/>
  <c r="F1250" i="10"/>
  <c r="F1248" i="10"/>
  <c r="F1246" i="10"/>
  <c r="F1244" i="10"/>
  <c r="F1242" i="10"/>
  <c r="F1240" i="10"/>
  <c r="F1238" i="10"/>
  <c r="F1236" i="10"/>
  <c r="F1234" i="10"/>
  <c r="E1230" i="10"/>
  <c r="E1228" i="10"/>
  <c r="E1216" i="10"/>
  <c r="E1211" i="10"/>
  <c r="E1209" i="10"/>
  <c r="E1207" i="10"/>
  <c r="F1509" i="10"/>
  <c r="E1514" i="10"/>
  <c r="E1512" i="10"/>
  <c r="E1508" i="10"/>
  <c r="E1506" i="10"/>
  <c r="E31" i="10"/>
  <c r="E829" i="10"/>
  <c r="E28" i="10"/>
  <c r="E831" i="10"/>
  <c r="G999" i="10"/>
  <c r="F999" i="10" s="1"/>
  <c r="G1000" i="10"/>
  <c r="E1000" i="10" s="1"/>
  <c r="G1001" i="10"/>
  <c r="F1001" i="10" s="1"/>
  <c r="G1011" i="10"/>
  <c r="F1011" i="10" s="1"/>
  <c r="G1012" i="10"/>
  <c r="E1012" i="10" s="1"/>
  <c r="G1013" i="10"/>
  <c r="F1013" i="10" s="1"/>
  <c r="G1014" i="10"/>
  <c r="E1014" i="10" s="1"/>
  <c r="G1015" i="10"/>
  <c r="F1015" i="10" s="1"/>
  <c r="G1017" i="10"/>
  <c r="F1017" i="10" s="1"/>
  <c r="G985" i="10"/>
  <c r="F985" i="10" s="1"/>
  <c r="G982" i="10"/>
  <c r="F982" i="10" s="1"/>
  <c r="G981" i="10"/>
  <c r="F981" i="10" s="1"/>
  <c r="G980" i="10"/>
  <c r="F980" i="10" s="1"/>
  <c r="G979" i="10"/>
  <c r="F979" i="10" s="1"/>
  <c r="G978" i="10"/>
  <c r="F978" i="10" s="1"/>
  <c r="G977" i="10"/>
  <c r="F977" i="10" s="1"/>
  <c r="G947" i="10"/>
  <c r="G948" i="10"/>
  <c r="F948" i="10" s="1"/>
  <c r="G949" i="10"/>
  <c r="E949" i="10" s="1"/>
  <c r="G950" i="10"/>
  <c r="F950" i="10" s="1"/>
  <c r="G961" i="10"/>
  <c r="G962" i="10"/>
  <c r="G963" i="10"/>
  <c r="G964" i="10"/>
  <c r="G965" i="10"/>
  <c r="G967" i="10"/>
  <c r="E967" i="10" s="1"/>
  <c r="G968" i="10"/>
  <c r="F968" i="10" s="1"/>
  <c r="G969" i="10"/>
  <c r="G970" i="10"/>
  <c r="G971" i="10"/>
  <c r="E971" i="10" s="1"/>
  <c r="G972" i="10"/>
  <c r="F972" i="10" s="1"/>
  <c r="G973" i="10"/>
  <c r="E973" i="10" s="1"/>
  <c r="G919" i="10"/>
  <c r="E919" i="10" s="1"/>
  <c r="G921" i="10"/>
  <c r="G922" i="10"/>
  <c r="F922" i="10" s="1"/>
  <c r="G923" i="10"/>
  <c r="E923" i="10" s="1"/>
  <c r="G924" i="10"/>
  <c r="F924" i="10" s="1"/>
  <c r="G925" i="10"/>
  <c r="E925" i="10" s="1"/>
  <c r="G926" i="10"/>
  <c r="F926" i="10" s="1"/>
  <c r="G927" i="10"/>
  <c r="E927" i="10" s="1"/>
  <c r="G928" i="10"/>
  <c r="F928" i="10" s="1"/>
  <c r="G931" i="10"/>
  <c r="G932" i="10"/>
  <c r="F932" i="10" s="1"/>
  <c r="G933" i="10"/>
  <c r="E933" i="10" s="1"/>
  <c r="G934" i="10"/>
  <c r="F934" i="10" s="1"/>
  <c r="G935" i="10"/>
  <c r="E935" i="10" s="1"/>
  <c r="G936" i="10"/>
  <c r="F936" i="10" s="1"/>
  <c r="G937" i="10"/>
  <c r="E937" i="10" s="1"/>
  <c r="G938" i="10"/>
  <c r="F938" i="10" s="1"/>
  <c r="G918" i="10"/>
  <c r="F918" i="10" s="1"/>
  <c r="G896" i="10"/>
  <c r="E896" i="10" s="1"/>
  <c r="G897" i="10"/>
  <c r="F897" i="10" s="1"/>
  <c r="G898" i="10"/>
  <c r="E898" i="10" s="1"/>
  <c r="G899" i="10"/>
  <c r="F899" i="10" s="1"/>
  <c r="G901" i="10"/>
  <c r="F901" i="10" s="1"/>
  <c r="G902" i="10"/>
  <c r="E902" i="10" s="1"/>
  <c r="G903" i="10"/>
  <c r="F903" i="10" s="1"/>
  <c r="G904" i="10"/>
  <c r="E904" i="10" s="1"/>
  <c r="G905" i="10"/>
  <c r="F905" i="10" s="1"/>
  <c r="G906" i="10"/>
  <c r="E906" i="10" s="1"/>
  <c r="G907" i="10"/>
  <c r="F907" i="10" s="1"/>
  <c r="G908" i="10"/>
  <c r="E908" i="10" s="1"/>
  <c r="G909" i="10"/>
  <c r="F909" i="10" s="1"/>
  <c r="G911" i="10"/>
  <c r="G912" i="10"/>
  <c r="E912" i="10" s="1"/>
  <c r="G913" i="10"/>
  <c r="F913" i="10" s="1"/>
  <c r="G914" i="10"/>
  <c r="E914" i="10" s="1"/>
  <c r="G915" i="10"/>
  <c r="F915" i="10" s="1"/>
  <c r="G916" i="10"/>
  <c r="E916" i="10" s="1"/>
  <c r="G895" i="10"/>
  <c r="F895" i="10" s="1"/>
  <c r="G884" i="10"/>
  <c r="E884" i="10" s="1"/>
  <c r="G885" i="10"/>
  <c r="F885" i="10" s="1"/>
  <c r="G886" i="10"/>
  <c r="E886" i="10" s="1"/>
  <c r="G887" i="10"/>
  <c r="F887" i="10" s="1"/>
  <c r="G888" i="10"/>
  <c r="E888" i="10" s="1"/>
  <c r="G889" i="10"/>
  <c r="F889" i="10" s="1"/>
  <c r="G891" i="10"/>
  <c r="F891" i="10" s="1"/>
  <c r="G892" i="10"/>
  <c r="E892" i="10" s="1"/>
  <c r="G893" i="10"/>
  <c r="F893" i="10" s="1"/>
  <c r="G883" i="10"/>
  <c r="F883" i="10" s="1"/>
  <c r="G881" i="10"/>
  <c r="F881" i="10" s="1"/>
  <c r="G879" i="10"/>
  <c r="G867" i="10"/>
  <c r="E867" i="10" s="1"/>
  <c r="G868" i="10"/>
  <c r="F868" i="10" s="1"/>
  <c r="G869" i="10"/>
  <c r="E869" i="10" s="1"/>
  <c r="G871" i="10"/>
  <c r="E871" i="10" s="1"/>
  <c r="G872" i="10"/>
  <c r="F872" i="10" s="1"/>
  <c r="G873" i="10"/>
  <c r="E873" i="10" s="1"/>
  <c r="G874" i="10"/>
  <c r="F874" i="10" s="1"/>
  <c r="G875" i="10"/>
  <c r="E875" i="10" s="1"/>
  <c r="G876" i="10"/>
  <c r="F876" i="10" s="1"/>
  <c r="G877" i="10"/>
  <c r="E877" i="10" s="1"/>
  <c r="G866" i="10"/>
  <c r="F866" i="10" s="1"/>
  <c r="G834" i="10"/>
  <c r="F834" i="10" s="1"/>
  <c r="G835" i="10"/>
  <c r="F835" i="10" s="1"/>
  <c r="G836" i="10"/>
  <c r="F836" i="10" s="1"/>
  <c r="G837" i="10"/>
  <c r="F837" i="10" s="1"/>
  <c r="G838" i="10"/>
  <c r="F838" i="10" s="1"/>
  <c r="G839" i="10"/>
  <c r="F839" i="10" s="1"/>
  <c r="G841" i="10"/>
  <c r="G842" i="10"/>
  <c r="F842" i="10" s="1"/>
  <c r="G843" i="10"/>
  <c r="F843" i="10" s="1"/>
  <c r="G844" i="10"/>
  <c r="F844" i="10" s="1"/>
  <c r="G855" i="10"/>
  <c r="F855" i="10" s="1"/>
  <c r="G856" i="10"/>
  <c r="G857" i="10"/>
  <c r="F857" i="10" s="1"/>
  <c r="G858" i="10"/>
  <c r="G859" i="10"/>
  <c r="G861" i="10"/>
  <c r="F861" i="10" s="1"/>
  <c r="G862" i="10"/>
  <c r="G863" i="10"/>
  <c r="F863" i="10" s="1"/>
  <c r="G864" i="10"/>
  <c r="F864" i="10" s="1"/>
  <c r="G833" i="10"/>
  <c r="F833" i="10" s="1"/>
  <c r="G510" i="10"/>
  <c r="F510" i="10" s="1"/>
  <c r="G511" i="10"/>
  <c r="G512" i="10"/>
  <c r="G513" i="10"/>
  <c r="F513" i="10" s="1"/>
  <c r="G514" i="10"/>
  <c r="F514" i="10" s="1"/>
  <c r="G515" i="10"/>
  <c r="G517" i="10"/>
  <c r="F517" i="10" s="1"/>
  <c r="G518" i="10"/>
  <c r="F518" i="10" s="1"/>
  <c r="G519" i="10"/>
  <c r="G520" i="10"/>
  <c r="G521" i="10"/>
  <c r="F521" i="10" s="1"/>
  <c r="G522" i="10"/>
  <c r="F522" i="10" s="1"/>
  <c r="G523" i="10"/>
  <c r="G524" i="10"/>
  <c r="G525" i="10"/>
  <c r="F525" i="10" s="1"/>
  <c r="G509" i="10"/>
  <c r="F509" i="10" s="1"/>
  <c r="G508" i="10"/>
  <c r="F508" i="10" s="1"/>
  <c r="G505" i="10"/>
  <c r="I505" i="10"/>
  <c r="K505" i="10" s="1"/>
  <c r="J505" i="10" s="1"/>
  <c r="I128" i="10"/>
  <c r="G128" i="10"/>
  <c r="F128" i="10" s="1"/>
  <c r="G455" i="10"/>
  <c r="G458" i="10"/>
  <c r="G459" i="10"/>
  <c r="F459" i="10" s="1"/>
  <c r="G460" i="10"/>
  <c r="G461" i="10"/>
  <c r="F461" i="10" s="1"/>
  <c r="G462" i="10"/>
  <c r="G463" i="10"/>
  <c r="F463" i="10" s="1"/>
  <c r="G464" i="10"/>
  <c r="G465" i="10"/>
  <c r="F465" i="10" s="1"/>
  <c r="G467" i="10"/>
  <c r="G468" i="10"/>
  <c r="F468" i="10" s="1"/>
  <c r="G469" i="10"/>
  <c r="G470" i="10"/>
  <c r="F470" i="10" s="1"/>
  <c r="G471" i="10"/>
  <c r="G472" i="10"/>
  <c r="F472" i="10" s="1"/>
  <c r="G473" i="10"/>
  <c r="G474" i="10"/>
  <c r="F474" i="10" s="1"/>
  <c r="G475" i="10"/>
  <c r="G477" i="10"/>
  <c r="F477" i="10" s="1"/>
  <c r="G478" i="10"/>
  <c r="F478" i="10" s="1"/>
  <c r="G480" i="10"/>
  <c r="G481" i="10"/>
  <c r="F481" i="10" s="1"/>
  <c r="G482" i="10"/>
  <c r="G483" i="10"/>
  <c r="F483" i="10" s="1"/>
  <c r="G487" i="10"/>
  <c r="F487" i="10" s="1"/>
  <c r="G488" i="10"/>
  <c r="G489" i="10"/>
  <c r="F489" i="10" s="1"/>
  <c r="G490" i="10"/>
  <c r="G501" i="10"/>
  <c r="F501" i="10" s="1"/>
  <c r="G502" i="10"/>
  <c r="F502" i="10" s="1"/>
  <c r="G503" i="10"/>
  <c r="F503" i="10" s="1"/>
  <c r="E473" i="10" l="1"/>
  <c r="F473" i="10"/>
  <c r="E469" i="10"/>
  <c r="F469" i="10"/>
  <c r="E464" i="10"/>
  <c r="F464" i="10"/>
  <c r="E462" i="10"/>
  <c r="F462" i="10"/>
  <c r="E458" i="10"/>
  <c r="F458" i="10"/>
  <c r="E519" i="10"/>
  <c r="F519" i="10"/>
  <c r="E490" i="10"/>
  <c r="F490" i="10"/>
  <c r="E488" i="10"/>
  <c r="F488" i="10"/>
  <c r="E475" i="10"/>
  <c r="F475" i="10"/>
  <c r="E471" i="10"/>
  <c r="F471" i="10"/>
  <c r="E467" i="10"/>
  <c r="F467" i="10"/>
  <c r="E460" i="10"/>
  <c r="F460" i="10"/>
  <c r="E523" i="10"/>
  <c r="F523" i="10"/>
  <c r="E512" i="10"/>
  <c r="F512" i="10"/>
  <c r="E482" i="10"/>
  <c r="F482" i="10"/>
  <c r="E480" i="10"/>
  <c r="F480" i="10"/>
  <c r="E455" i="10"/>
  <c r="F455" i="10"/>
  <c r="E505" i="10"/>
  <c r="F505" i="10"/>
  <c r="E524" i="10"/>
  <c r="F524" i="10"/>
  <c r="E520" i="10"/>
  <c r="F520" i="10"/>
  <c r="E515" i="10"/>
  <c r="F515" i="10"/>
  <c r="E511" i="10"/>
  <c r="F511" i="10"/>
  <c r="E436" i="10"/>
  <c r="F436" i="10"/>
  <c r="E399" i="10"/>
  <c r="F399" i="10"/>
  <c r="E397" i="10"/>
  <c r="F397" i="10"/>
  <c r="E395" i="10"/>
  <c r="F395" i="10"/>
  <c r="E393" i="10"/>
  <c r="F393" i="10"/>
  <c r="E386" i="10"/>
  <c r="F386" i="10"/>
  <c r="E366" i="10"/>
  <c r="F366" i="10"/>
  <c r="E346" i="10"/>
  <c r="F346" i="10"/>
  <c r="E323" i="10"/>
  <c r="F323" i="10"/>
  <c r="E303" i="10"/>
  <c r="F303" i="10"/>
  <c r="E295" i="10"/>
  <c r="F295" i="10"/>
  <c r="E293" i="10"/>
  <c r="F293" i="10"/>
  <c r="E291" i="10"/>
  <c r="F291" i="10"/>
  <c r="E289" i="10"/>
  <c r="F289" i="10"/>
  <c r="E283" i="10"/>
  <c r="F283" i="10"/>
  <c r="E416" i="10"/>
  <c r="F416" i="10"/>
  <c r="E400" i="10"/>
  <c r="F400" i="10"/>
  <c r="E398" i="10"/>
  <c r="F398" i="10"/>
  <c r="E396" i="10"/>
  <c r="F396" i="10"/>
  <c r="E394" i="10"/>
  <c r="F394" i="10"/>
  <c r="E391" i="10"/>
  <c r="F391" i="10"/>
  <c r="E376" i="10"/>
  <c r="F376" i="10"/>
  <c r="E356" i="10"/>
  <c r="F356" i="10"/>
  <c r="E336" i="10"/>
  <c r="F336" i="10"/>
  <c r="E313" i="10"/>
  <c r="F313" i="10"/>
  <c r="E296" i="10"/>
  <c r="F296" i="10"/>
  <c r="E294" i="10"/>
  <c r="F294" i="10"/>
  <c r="E292" i="10"/>
  <c r="F292" i="10"/>
  <c r="E290" i="10"/>
  <c r="F290" i="10"/>
  <c r="E288" i="10"/>
  <c r="F288" i="10"/>
  <c r="E231" i="10"/>
  <c r="F231" i="10"/>
  <c r="E230" i="10"/>
  <c r="G229" i="10"/>
  <c r="F229" i="10" s="1"/>
  <c r="E502" i="10"/>
  <c r="E509" i="10"/>
  <c r="F862" i="10"/>
  <c r="F859" i="10"/>
  <c r="F841" i="10"/>
  <c r="F911" i="10"/>
  <c r="E931" i="10"/>
  <c r="F970" i="10"/>
  <c r="E965" i="10"/>
  <c r="E963" i="10"/>
  <c r="E961" i="10"/>
  <c r="E947" i="10"/>
  <c r="E477" i="10"/>
  <c r="F858" i="10"/>
  <c r="F856" i="10"/>
  <c r="E921" i="10"/>
  <c r="E969" i="10"/>
  <c r="F964" i="10"/>
  <c r="F962" i="10"/>
  <c r="E918" i="10"/>
  <c r="F921" i="10"/>
  <c r="F1012" i="10"/>
  <c r="F1000" i="10"/>
  <c r="F914" i="10"/>
  <c r="F873" i="10"/>
  <c r="E881" i="10"/>
  <c r="F898" i="10"/>
  <c r="F937" i="10"/>
  <c r="E508" i="10"/>
  <c r="E866" i="10"/>
  <c r="F886" i="10"/>
  <c r="F906" i="10"/>
  <c r="F965" i="10"/>
  <c r="F949" i="10"/>
  <c r="F877" i="10"/>
  <c r="E883" i="10"/>
  <c r="E895" i="10"/>
  <c r="F902" i="10"/>
  <c r="F933" i="10"/>
  <c r="F925" i="10"/>
  <c r="F969" i="10"/>
  <c r="F961" i="10"/>
  <c r="F1014" i="10"/>
  <c r="E1017" i="10"/>
  <c r="E1015" i="10"/>
  <c r="E1013" i="10"/>
  <c r="E1011" i="10"/>
  <c r="E1001" i="10"/>
  <c r="E999" i="10"/>
  <c r="F973" i="10"/>
  <c r="F869" i="10"/>
  <c r="F971" i="10"/>
  <c r="F967" i="10"/>
  <c r="F963" i="10"/>
  <c r="F947" i="10"/>
  <c r="E972" i="10"/>
  <c r="E970" i="10"/>
  <c r="E968" i="10"/>
  <c r="E964" i="10"/>
  <c r="E962" i="10"/>
  <c r="E950" i="10"/>
  <c r="E948" i="10"/>
  <c r="F935" i="10"/>
  <c r="F931" i="10"/>
  <c r="F927" i="10"/>
  <c r="F923" i="10"/>
  <c r="F919" i="10"/>
  <c r="E938" i="10"/>
  <c r="E936" i="10"/>
  <c r="E934" i="10"/>
  <c r="E932" i="10"/>
  <c r="E928" i="10"/>
  <c r="E926" i="10"/>
  <c r="E924" i="10"/>
  <c r="E922" i="10"/>
  <c r="F916" i="10"/>
  <c r="F912" i="10"/>
  <c r="F908" i="10"/>
  <c r="F904" i="10"/>
  <c r="F896" i="10"/>
  <c r="E915" i="10"/>
  <c r="E913" i="10"/>
  <c r="E911" i="10"/>
  <c r="E909" i="10"/>
  <c r="E907" i="10"/>
  <c r="E905" i="10"/>
  <c r="E903" i="10"/>
  <c r="E901" i="10"/>
  <c r="E899" i="10"/>
  <c r="E897" i="10"/>
  <c r="F892" i="10"/>
  <c r="F888" i="10"/>
  <c r="F884" i="10"/>
  <c r="E893" i="10"/>
  <c r="E891" i="10"/>
  <c r="E889" i="10"/>
  <c r="E887" i="10"/>
  <c r="E885" i="10"/>
  <c r="F875" i="10"/>
  <c r="F871" i="10"/>
  <c r="F867" i="10"/>
  <c r="E876" i="10"/>
  <c r="E874" i="10"/>
  <c r="E872" i="10"/>
  <c r="E868" i="10"/>
  <c r="E525" i="10"/>
  <c r="E522" i="10"/>
  <c r="E521" i="10"/>
  <c r="E518" i="10"/>
  <c r="E517" i="10"/>
  <c r="E514" i="10"/>
  <c r="E513" i="10"/>
  <c r="E510" i="10"/>
  <c r="E478" i="10"/>
  <c r="E465" i="10"/>
  <c r="E463" i="10"/>
  <c r="E461" i="10"/>
  <c r="E459" i="10"/>
  <c r="E483" i="10"/>
  <c r="E474" i="10"/>
  <c r="E472" i="10"/>
  <c r="E470" i="10"/>
  <c r="E468" i="10"/>
  <c r="E481" i="10"/>
  <c r="E503" i="10"/>
  <c r="E501" i="10"/>
  <c r="E489" i="10"/>
  <c r="E487" i="10"/>
  <c r="I1231" i="10"/>
  <c r="K1231" i="10" s="1"/>
  <c r="I1230" i="10"/>
  <c r="K1230" i="10" s="1"/>
  <c r="H1150" i="10"/>
  <c r="H1151" i="10"/>
  <c r="K1151" i="10" s="1"/>
  <c r="H1152" i="10"/>
  <c r="H1153" i="10"/>
  <c r="H1154" i="10"/>
  <c r="H1155" i="10"/>
  <c r="H1148" i="10"/>
  <c r="I1155" i="10"/>
  <c r="I1154" i="10"/>
  <c r="I1153" i="10"/>
  <c r="I1152" i="10"/>
  <c r="I1150" i="10"/>
  <c r="I1149" i="10"/>
  <c r="I1148" i="10"/>
  <c r="I1147" i="10"/>
  <c r="K1147" i="10" s="1"/>
  <c r="I1146" i="10"/>
  <c r="K1146" i="10" s="1"/>
  <c r="I1145" i="10"/>
  <c r="K1145" i="10" s="1"/>
  <c r="I1144" i="10"/>
  <c r="K1144" i="10" s="1"/>
  <c r="I1143" i="10"/>
  <c r="K1143" i="10" s="1"/>
  <c r="G110" i="10"/>
  <c r="E110" i="10" s="1"/>
  <c r="G103" i="10"/>
  <c r="E103" i="10" s="1"/>
  <c r="I103" i="10"/>
  <c r="G105" i="10"/>
  <c r="I105" i="10"/>
  <c r="G106" i="10"/>
  <c r="E106" i="10" s="1"/>
  <c r="I106" i="10"/>
  <c r="G107" i="10"/>
  <c r="F107" i="10" s="1"/>
  <c r="I107" i="10"/>
  <c r="G108" i="10"/>
  <c r="E108" i="10" s="1"/>
  <c r="I108" i="10"/>
  <c r="G109" i="10"/>
  <c r="F109" i="10" s="1"/>
  <c r="I109" i="10"/>
  <c r="I110" i="10"/>
  <c r="I102" i="10"/>
  <c r="G102" i="10"/>
  <c r="F102" i="10" s="1"/>
  <c r="I101" i="10"/>
  <c r="G101" i="10"/>
  <c r="F101" i="10" s="1"/>
  <c r="I100" i="10"/>
  <c r="G100" i="10"/>
  <c r="F100" i="10" s="1"/>
  <c r="I351" i="10"/>
  <c r="K351" i="10" s="1"/>
  <c r="I803" i="10"/>
  <c r="K803" i="10" s="1"/>
  <c r="G803" i="10" s="1"/>
  <c r="G6" i="10"/>
  <c r="G7" i="10"/>
  <c r="F7" i="10" s="1"/>
  <c r="G8" i="10"/>
  <c r="E8" i="10" s="1"/>
  <c r="G9" i="10"/>
  <c r="F9" i="10" s="1"/>
  <c r="G10" i="10"/>
  <c r="E10" i="10" s="1"/>
  <c r="G11" i="10"/>
  <c r="F11" i="10" s="1"/>
  <c r="G12" i="10"/>
  <c r="G13" i="10"/>
  <c r="F13" i="10" s="1"/>
  <c r="G14" i="10"/>
  <c r="E14" i="10" s="1"/>
  <c r="G16" i="10"/>
  <c r="G17" i="10"/>
  <c r="F17" i="10" s="1"/>
  <c r="G18" i="10"/>
  <c r="E18" i="10" s="1"/>
  <c r="G23" i="10"/>
  <c r="F23" i="10" s="1"/>
  <c r="G27" i="10"/>
  <c r="F27" i="10" s="1"/>
  <c r="G171" i="10"/>
  <c r="G111" i="10"/>
  <c r="E111" i="10" s="1"/>
  <c r="J33" i="10"/>
  <c r="I145" i="10"/>
  <c r="I146" i="10"/>
  <c r="G30" i="10"/>
  <c r="F30" i="10" s="1"/>
  <c r="G176" i="10"/>
  <c r="F176" i="10" s="1"/>
  <c r="G177" i="10"/>
  <c r="F177" i="10" s="1"/>
  <c r="G178" i="10"/>
  <c r="F178" i="10" s="1"/>
  <c r="G179" i="10"/>
  <c r="G180" i="10"/>
  <c r="G181" i="10"/>
  <c r="F181" i="10" s="1"/>
  <c r="G182" i="10"/>
  <c r="F182" i="10" s="1"/>
  <c r="G183" i="10"/>
  <c r="F183" i="10" s="1"/>
  <c r="G185" i="10"/>
  <c r="F185" i="10" s="1"/>
  <c r="G186" i="10"/>
  <c r="G187" i="10"/>
  <c r="F187" i="10" s="1"/>
  <c r="G188" i="10"/>
  <c r="F188" i="10" s="1"/>
  <c r="G189" i="10"/>
  <c r="F189" i="10" s="1"/>
  <c r="G190" i="10"/>
  <c r="F190" i="10" s="1"/>
  <c r="G191" i="10"/>
  <c r="F191" i="10" s="1"/>
  <c r="F193" i="10"/>
  <c r="F195" i="10"/>
  <c r="F196" i="10"/>
  <c r="G175" i="10"/>
  <c r="F175" i="10" s="1"/>
  <c r="G173" i="10"/>
  <c r="F173" i="10" s="1"/>
  <c r="G112" i="10"/>
  <c r="E112" i="10" s="1"/>
  <c r="G113" i="10"/>
  <c r="G115" i="10"/>
  <c r="G116" i="10"/>
  <c r="E116" i="10" s="1"/>
  <c r="G117" i="10"/>
  <c r="G118" i="10"/>
  <c r="E118" i="10" s="1"/>
  <c r="G119" i="10"/>
  <c r="G120" i="10"/>
  <c r="E120" i="10" s="1"/>
  <c r="G121" i="10"/>
  <c r="G122" i="10"/>
  <c r="E122" i="10" s="1"/>
  <c r="G123" i="10"/>
  <c r="G125" i="10"/>
  <c r="G126" i="10"/>
  <c r="E126" i="10" s="1"/>
  <c r="G127" i="10"/>
  <c r="E128" i="10"/>
  <c r="G129" i="10"/>
  <c r="G130" i="10"/>
  <c r="E130" i="10" s="1"/>
  <c r="G131" i="10"/>
  <c r="G132" i="10"/>
  <c r="E132" i="10" s="1"/>
  <c r="G133" i="10"/>
  <c r="G135" i="10"/>
  <c r="G136" i="10"/>
  <c r="E136" i="10" s="1"/>
  <c r="G137" i="10"/>
  <c r="G138" i="10"/>
  <c r="E138" i="10" s="1"/>
  <c r="G139" i="10"/>
  <c r="G140" i="10"/>
  <c r="E140" i="10" s="1"/>
  <c r="G141" i="10"/>
  <c r="G142" i="10"/>
  <c r="E142" i="10" s="1"/>
  <c r="G143" i="10"/>
  <c r="G145" i="10"/>
  <c r="G146" i="10"/>
  <c r="E146" i="10" s="1"/>
  <c r="G147" i="10"/>
  <c r="E147" i="10" s="1"/>
  <c r="G148" i="10"/>
  <c r="E148" i="10" s="1"/>
  <c r="G159" i="10"/>
  <c r="G160" i="10"/>
  <c r="G161" i="10"/>
  <c r="F161" i="10" s="1"/>
  <c r="G162" i="10"/>
  <c r="G163" i="10"/>
  <c r="G165" i="10"/>
  <c r="G166" i="10"/>
  <c r="G167" i="10"/>
  <c r="G168" i="10"/>
  <c r="G169" i="10"/>
  <c r="E169" i="10" s="1"/>
  <c r="G170" i="10"/>
  <c r="E170" i="10" s="1"/>
  <c r="G98" i="10"/>
  <c r="F98" i="10" s="1"/>
  <c r="G35" i="10"/>
  <c r="G36" i="10"/>
  <c r="E36" i="10" s="1"/>
  <c r="G37" i="10"/>
  <c r="E37" i="10" s="1"/>
  <c r="G38" i="10"/>
  <c r="E38" i="10" s="1"/>
  <c r="G39" i="10"/>
  <c r="F39" i="10" s="1"/>
  <c r="G40" i="10"/>
  <c r="E40" i="10" s="1"/>
  <c r="G41" i="10"/>
  <c r="E41" i="10" s="1"/>
  <c r="G42" i="10"/>
  <c r="E42" i="10" s="1"/>
  <c r="G43" i="10"/>
  <c r="F43" i="10" s="1"/>
  <c r="G45" i="10"/>
  <c r="G46" i="10"/>
  <c r="E46" i="10" s="1"/>
  <c r="G47" i="10"/>
  <c r="F47" i="10" s="1"/>
  <c r="G48" i="10"/>
  <c r="E48" i="10" s="1"/>
  <c r="G59" i="10"/>
  <c r="G60" i="10"/>
  <c r="G61" i="10"/>
  <c r="G62" i="10"/>
  <c r="G63" i="10"/>
  <c r="G65" i="10"/>
  <c r="G66" i="10"/>
  <c r="G67" i="10"/>
  <c r="G68" i="10"/>
  <c r="G69" i="10"/>
  <c r="E69" i="10" s="1"/>
  <c r="G70" i="10"/>
  <c r="E70" i="10" s="1"/>
  <c r="G71" i="10"/>
  <c r="E71" i="10" s="1"/>
  <c r="G72" i="10"/>
  <c r="E72" i="10" s="1"/>
  <c r="G73" i="10"/>
  <c r="E73" i="10" s="1"/>
  <c r="G75" i="10"/>
  <c r="G76" i="10"/>
  <c r="E76" i="10" s="1"/>
  <c r="G77" i="10"/>
  <c r="E77" i="10" s="1"/>
  <c r="G78" i="10"/>
  <c r="E78" i="10" s="1"/>
  <c r="G79" i="10"/>
  <c r="E79" i="10" s="1"/>
  <c r="G80" i="10"/>
  <c r="E80" i="10" s="1"/>
  <c r="G81" i="10"/>
  <c r="E81" i="10" s="1"/>
  <c r="G82" i="10"/>
  <c r="E82" i="10" s="1"/>
  <c r="G83" i="10"/>
  <c r="E83" i="10" s="1"/>
  <c r="G85" i="10"/>
  <c r="G86" i="10"/>
  <c r="E86" i="10" s="1"/>
  <c r="G87" i="10"/>
  <c r="E87" i="10" s="1"/>
  <c r="G88" i="10"/>
  <c r="E88" i="10" s="1"/>
  <c r="G89" i="10"/>
  <c r="F89" i="10" s="1"/>
  <c r="G90" i="10"/>
  <c r="F90" i="10" s="1"/>
  <c r="G91" i="10"/>
  <c r="E91" i="10" s="1"/>
  <c r="G92" i="10"/>
  <c r="F92" i="10" s="1"/>
  <c r="G93" i="10"/>
  <c r="E93" i="10" s="1"/>
  <c r="G95" i="10"/>
  <c r="G96" i="10"/>
  <c r="F96" i="10" s="1"/>
  <c r="G97" i="10"/>
  <c r="E97" i="10" s="1"/>
  <c r="I33" i="10"/>
  <c r="G33" i="10"/>
  <c r="E33" i="10" s="1"/>
  <c r="I1884" i="10"/>
  <c r="K1884" i="10" s="1"/>
  <c r="I1883" i="10"/>
  <c r="I1881" i="10"/>
  <c r="K1881" i="10" s="1"/>
  <c r="I1880" i="10"/>
  <c r="K1880" i="10" s="1"/>
  <c r="I1879" i="10"/>
  <c r="K1879" i="10" s="1"/>
  <c r="I1878" i="10"/>
  <c r="K1878" i="10" s="1"/>
  <c r="I1877" i="10"/>
  <c r="K1877" i="10" s="1"/>
  <c r="I1876" i="10"/>
  <c r="I1874" i="10"/>
  <c r="K1874" i="10" s="1"/>
  <c r="I1873" i="10"/>
  <c r="K1873" i="10" s="1"/>
  <c r="I1871" i="10"/>
  <c r="K1871" i="10" s="1"/>
  <c r="I1870" i="10"/>
  <c r="K1870" i="10" s="1"/>
  <c r="I1869" i="10"/>
  <c r="K1869" i="10" s="1"/>
  <c r="I1868" i="10"/>
  <c r="K1868" i="10" s="1"/>
  <c r="I1867" i="10"/>
  <c r="K1867" i="10" s="1"/>
  <c r="I1866" i="10"/>
  <c r="K1866" i="10" s="1"/>
  <c r="I1865" i="10"/>
  <c r="K1865" i="10" s="1"/>
  <c r="I1864" i="10"/>
  <c r="K1864" i="10" s="1"/>
  <c r="I1863" i="10"/>
  <c r="K1863" i="10" s="1"/>
  <c r="I1861" i="10"/>
  <c r="I1860" i="10"/>
  <c r="I1859" i="10"/>
  <c r="I1858" i="10"/>
  <c r="I1857" i="10"/>
  <c r="K1857" i="10" s="1"/>
  <c r="I1856" i="10"/>
  <c r="K1856" i="10" s="1"/>
  <c r="I1855" i="10"/>
  <c r="K1855" i="10" s="1"/>
  <c r="I1854" i="10"/>
  <c r="K1854" i="10" s="1"/>
  <c r="I1853" i="10"/>
  <c r="K1853" i="10" s="1"/>
  <c r="I1851" i="10"/>
  <c r="K1851" i="10" s="1"/>
  <c r="I1850" i="10"/>
  <c r="K1850" i="10" s="1"/>
  <c r="I1849" i="10"/>
  <c r="K1849" i="10" s="1"/>
  <c r="I1848" i="10"/>
  <c r="K1848" i="10" s="1"/>
  <c r="I1847" i="10"/>
  <c r="K1847" i="10" s="1"/>
  <c r="I1846" i="10"/>
  <c r="K1846" i="10" s="1"/>
  <c r="I1845" i="10"/>
  <c r="K1845" i="10" s="1"/>
  <c r="I1844" i="10"/>
  <c r="K1844" i="10" s="1"/>
  <c r="I1843" i="10"/>
  <c r="K1843" i="10" s="1"/>
  <c r="I1841" i="10"/>
  <c r="K1841" i="10" s="1"/>
  <c r="I1840" i="10"/>
  <c r="K1840" i="10" s="1"/>
  <c r="I1839" i="10"/>
  <c r="K1839" i="10" s="1"/>
  <c r="I1838" i="10"/>
  <c r="K1838" i="10" s="1"/>
  <c r="I1837" i="10"/>
  <c r="K1837" i="10" s="1"/>
  <c r="I1826" i="10"/>
  <c r="K1826" i="10" s="1"/>
  <c r="I1825" i="10"/>
  <c r="K1825" i="10" s="1"/>
  <c r="I1824" i="10"/>
  <c r="K1824" i="10" s="1"/>
  <c r="I1823" i="10"/>
  <c r="K1823" i="10" s="1"/>
  <c r="I1821" i="10"/>
  <c r="K1821" i="10" s="1"/>
  <c r="I1820" i="10"/>
  <c r="K1820" i="10" s="1"/>
  <c r="I1819" i="10"/>
  <c r="K1819" i="10" s="1"/>
  <c r="I1818" i="10"/>
  <c r="K1818" i="10" s="1"/>
  <c r="I1817" i="10"/>
  <c r="K1817" i="10" s="1"/>
  <c r="I1816" i="10"/>
  <c r="K1816" i="10" s="1"/>
  <c r="I1815" i="10"/>
  <c r="K1815" i="10" s="1"/>
  <c r="I1814" i="10"/>
  <c r="K1814" i="10" s="1"/>
  <c r="I1813" i="10"/>
  <c r="K1813" i="10" s="1"/>
  <c r="I1811" i="10"/>
  <c r="K1811" i="10" s="1"/>
  <c r="I1810" i="10"/>
  <c r="K1810" i="10" s="1"/>
  <c r="I1809" i="10"/>
  <c r="K1809" i="10" s="1"/>
  <c r="I1808" i="10"/>
  <c r="K1808" i="10" s="1"/>
  <c r="I1807" i="10"/>
  <c r="K1807" i="10" s="1"/>
  <c r="I1806" i="10"/>
  <c r="K1806" i="10" s="1"/>
  <c r="I1805" i="10"/>
  <c r="K1805" i="10" s="1"/>
  <c r="I1804" i="10"/>
  <c r="K1804" i="10" s="1"/>
  <c r="I1803" i="10"/>
  <c r="K1803" i="10" s="1"/>
  <c r="I1801" i="10"/>
  <c r="K1801" i="10" s="1"/>
  <c r="I1800" i="10"/>
  <c r="K1800" i="10" s="1"/>
  <c r="I1799" i="10"/>
  <c r="K1799" i="10" s="1"/>
  <c r="I1798" i="10"/>
  <c r="K1798" i="10" s="1"/>
  <c r="I1797" i="10"/>
  <c r="K1797" i="10" s="1"/>
  <c r="I1796" i="10"/>
  <c r="K1796" i="10" s="1"/>
  <c r="I1795" i="10"/>
  <c r="K1795" i="10" s="1"/>
  <c r="I1794" i="10"/>
  <c r="K1794" i="10" s="1"/>
  <c r="I1793" i="10"/>
  <c r="K1793" i="10" s="1"/>
  <c r="I1791" i="10"/>
  <c r="K1791" i="10" s="1"/>
  <c r="I1790" i="10"/>
  <c r="K1790" i="10" s="1"/>
  <c r="I1789" i="10"/>
  <c r="K1789" i="10" s="1"/>
  <c r="I1788" i="10"/>
  <c r="K1788" i="10" s="1"/>
  <c r="I1787" i="10"/>
  <c r="K1787" i="10" s="1"/>
  <c r="I1786" i="10"/>
  <c r="K1786" i="10" s="1"/>
  <c r="I1785" i="10"/>
  <c r="K1785" i="10" s="1"/>
  <c r="I1784" i="10"/>
  <c r="K1784" i="10" s="1"/>
  <c r="I1783" i="10"/>
  <c r="K1783" i="10" s="1"/>
  <c r="I1781" i="10"/>
  <c r="K1781" i="10" s="1"/>
  <c r="I1780" i="10"/>
  <c r="K1780" i="10" s="1"/>
  <c r="I1779" i="10"/>
  <c r="K1779" i="10" s="1"/>
  <c r="I1778" i="10"/>
  <c r="K1778" i="10" s="1"/>
  <c r="I1777" i="10"/>
  <c r="K1777" i="10" s="1"/>
  <c r="I1676" i="10"/>
  <c r="K1676" i="10" s="1"/>
  <c r="I1675" i="10"/>
  <c r="K1675" i="10" s="1"/>
  <c r="I1674" i="10"/>
  <c r="K1674" i="10" s="1"/>
  <c r="I1673" i="10"/>
  <c r="K1673" i="10" s="1"/>
  <c r="I1671" i="10"/>
  <c r="K1671" i="10" s="1"/>
  <c r="I1670" i="10"/>
  <c r="K1670" i="10" s="1"/>
  <c r="I1669" i="10"/>
  <c r="K1669" i="10" s="1"/>
  <c r="I1668" i="10"/>
  <c r="K1668" i="10" s="1"/>
  <c r="I1667" i="10"/>
  <c r="K1667" i="10" s="1"/>
  <c r="I1666" i="10"/>
  <c r="K1666" i="10" s="1"/>
  <c r="I1665" i="10"/>
  <c r="K1665" i="10" s="1"/>
  <c r="I1664" i="10"/>
  <c r="K1664" i="10" s="1"/>
  <c r="I1663" i="10"/>
  <c r="K1663" i="10" s="1"/>
  <c r="I1661" i="10"/>
  <c r="K1661" i="10" s="1"/>
  <c r="I1660" i="10"/>
  <c r="K1660" i="10" s="1"/>
  <c r="I1659" i="10"/>
  <c r="K1659" i="10" s="1"/>
  <c r="J1659" i="10" s="1"/>
  <c r="F1659" i="10" s="1"/>
  <c r="I1658" i="10"/>
  <c r="K1658" i="10" s="1"/>
  <c r="I1657" i="10"/>
  <c r="K1657" i="10" s="1"/>
  <c r="J1657" i="10" s="1"/>
  <c r="F1657" i="10" s="1"/>
  <c r="I1656" i="10"/>
  <c r="K1656" i="10" s="1"/>
  <c r="I1655" i="10"/>
  <c r="K1655" i="10" s="1"/>
  <c r="J1655" i="10" s="1"/>
  <c r="F1655" i="10" s="1"/>
  <c r="I1654" i="10"/>
  <c r="K1654" i="10" s="1"/>
  <c r="I1653" i="10"/>
  <c r="K1653" i="10" s="1"/>
  <c r="I1651" i="10"/>
  <c r="K1651" i="10" s="1"/>
  <c r="J1651" i="10" s="1"/>
  <c r="F1651" i="10" s="1"/>
  <c r="I1650" i="10"/>
  <c r="K1650" i="10" s="1"/>
  <c r="I1649" i="10"/>
  <c r="K1649" i="10" s="1"/>
  <c r="J1649" i="10" s="1"/>
  <c r="F1649" i="10" s="1"/>
  <c r="I1648" i="10"/>
  <c r="K1648" i="10" s="1"/>
  <c r="I1647" i="10"/>
  <c r="K1647" i="10" s="1"/>
  <c r="J1647" i="10" s="1"/>
  <c r="F1647" i="10" s="1"/>
  <c r="I1646" i="10"/>
  <c r="K1646" i="10" s="1"/>
  <c r="I1645" i="10"/>
  <c r="K1645" i="10" s="1"/>
  <c r="J1645" i="10" s="1"/>
  <c r="F1645" i="10" s="1"/>
  <c r="I1644" i="10"/>
  <c r="K1644" i="10" s="1"/>
  <c r="I1643" i="10"/>
  <c r="K1643" i="10" s="1"/>
  <c r="J1643" i="10" s="1"/>
  <c r="F1643" i="10" s="1"/>
  <c r="I1641" i="10"/>
  <c r="K1641" i="10" s="1"/>
  <c r="J1641" i="10" s="1"/>
  <c r="F1641" i="10" s="1"/>
  <c r="I1640" i="10"/>
  <c r="K1640" i="10" s="1"/>
  <c r="I1639" i="10"/>
  <c r="K1639" i="10" s="1"/>
  <c r="I1638" i="10"/>
  <c r="K1638" i="10" s="1"/>
  <c r="I1637" i="10"/>
  <c r="K1637" i="10" s="1"/>
  <c r="I1626" i="10"/>
  <c r="K1626" i="10" s="1"/>
  <c r="I1625" i="10"/>
  <c r="K1625" i="10" s="1"/>
  <c r="J1625" i="10" s="1"/>
  <c r="F1625" i="10" s="1"/>
  <c r="I1624" i="10"/>
  <c r="K1624" i="10" s="1"/>
  <c r="I1623" i="10"/>
  <c r="K1623" i="10" s="1"/>
  <c r="J1623" i="10" s="1"/>
  <c r="F1623" i="10" s="1"/>
  <c r="I1621" i="10"/>
  <c r="K1621" i="10" s="1"/>
  <c r="I1620" i="10"/>
  <c r="K1620" i="10" s="1"/>
  <c r="I1619" i="10"/>
  <c r="K1619" i="10" s="1"/>
  <c r="I1618" i="10"/>
  <c r="K1618" i="10" s="1"/>
  <c r="I1617" i="10"/>
  <c r="K1617" i="10" s="1"/>
  <c r="I1616" i="10"/>
  <c r="K1616" i="10" s="1"/>
  <c r="I1615" i="10"/>
  <c r="K1615" i="10" s="1"/>
  <c r="I1614" i="10"/>
  <c r="K1614" i="10" s="1"/>
  <c r="I1613" i="10"/>
  <c r="K1613" i="10" s="1"/>
  <c r="I1611" i="10"/>
  <c r="K1611" i="10" s="1"/>
  <c r="I1610" i="10"/>
  <c r="K1610" i="10" s="1"/>
  <c r="I1609" i="10"/>
  <c r="K1609" i="10" s="1"/>
  <c r="I1608" i="10"/>
  <c r="K1608" i="10" s="1"/>
  <c r="I1607" i="10"/>
  <c r="K1607" i="10" s="1"/>
  <c r="I1606" i="10"/>
  <c r="K1606" i="10" s="1"/>
  <c r="I1605" i="10"/>
  <c r="K1605" i="10" s="1"/>
  <c r="I1604" i="10"/>
  <c r="K1604" i="10" s="1"/>
  <c r="I1603" i="10"/>
  <c r="K1603" i="10" s="1"/>
  <c r="I1601" i="10"/>
  <c r="K1601" i="10" s="1"/>
  <c r="I1600" i="10"/>
  <c r="K1600" i="10" s="1"/>
  <c r="I1599" i="10"/>
  <c r="K1599" i="10" s="1"/>
  <c r="I1598" i="10"/>
  <c r="K1598" i="10" s="1"/>
  <c r="I1597" i="10"/>
  <c r="K1597" i="10" s="1"/>
  <c r="I1596" i="10"/>
  <c r="K1596" i="10" s="1"/>
  <c r="I1595" i="10"/>
  <c r="K1595" i="10" s="1"/>
  <c r="I1594" i="10"/>
  <c r="K1594" i="10" s="1"/>
  <c r="I1593" i="10"/>
  <c r="K1593" i="10" s="1"/>
  <c r="I1591" i="10"/>
  <c r="K1591" i="10" s="1"/>
  <c r="I1590" i="10"/>
  <c r="K1590" i="10" s="1"/>
  <c r="I1589" i="10"/>
  <c r="K1589" i="10" s="1"/>
  <c r="I1588" i="10"/>
  <c r="K1588" i="10" s="1"/>
  <c r="I1587" i="10"/>
  <c r="K1587" i="10" s="1"/>
  <c r="I1586" i="10"/>
  <c r="K1586" i="10" s="1"/>
  <c r="I1585" i="10"/>
  <c r="K1585" i="10" s="1"/>
  <c r="I1584" i="10"/>
  <c r="K1584" i="10" s="1"/>
  <c r="I1583" i="10"/>
  <c r="K1583" i="10" s="1"/>
  <c r="I1581" i="10"/>
  <c r="K1581" i="10" s="1"/>
  <c r="I1579" i="10"/>
  <c r="K1579" i="10" s="1"/>
  <c r="I1578" i="10"/>
  <c r="K1578" i="10" s="1"/>
  <c r="I1577" i="10"/>
  <c r="K1577" i="10" s="1"/>
  <c r="I1576" i="10"/>
  <c r="K1576" i="10" s="1"/>
  <c r="I1575" i="10"/>
  <c r="K1575" i="10" s="1"/>
  <c r="I1574" i="10"/>
  <c r="K1574" i="10" s="1"/>
  <c r="I1573" i="10"/>
  <c r="K1573" i="10" s="1"/>
  <c r="I1571" i="10"/>
  <c r="K1571" i="10" s="1"/>
  <c r="I1570" i="10"/>
  <c r="K1570" i="10" s="1"/>
  <c r="I1569" i="10"/>
  <c r="K1569" i="10" s="1"/>
  <c r="I1568" i="10"/>
  <c r="K1568" i="10" s="1"/>
  <c r="I1566" i="10"/>
  <c r="K1566" i="10" s="1"/>
  <c r="I1563" i="10"/>
  <c r="K1563" i="10" s="1"/>
  <c r="I1562" i="10"/>
  <c r="K1562" i="10" s="1"/>
  <c r="I1561" i="10"/>
  <c r="K1561" i="10" s="1"/>
  <c r="I1559" i="10"/>
  <c r="K1559" i="10" s="1"/>
  <c r="I1558" i="10"/>
  <c r="K1558" i="10" s="1"/>
  <c r="I1557" i="10"/>
  <c r="K1557" i="10" s="1"/>
  <c r="I1556" i="10"/>
  <c r="K1556" i="10" s="1"/>
  <c r="I1555" i="10"/>
  <c r="K1555" i="10" s="1"/>
  <c r="I1554" i="10"/>
  <c r="K1554" i="10" s="1"/>
  <c r="I1553" i="10"/>
  <c r="K1553" i="10" s="1"/>
  <c r="I1552" i="10"/>
  <c r="K1552" i="10" s="1"/>
  <c r="I1548" i="10"/>
  <c r="K1548" i="10" s="1"/>
  <c r="I1547" i="10"/>
  <c r="K1547" i="10" s="1"/>
  <c r="I1546" i="10"/>
  <c r="K1546" i="10" s="1"/>
  <c r="I1545" i="10"/>
  <c r="K1545" i="10" s="1"/>
  <c r="I1544" i="10"/>
  <c r="K1544" i="10" s="1"/>
  <c r="I1542" i="10"/>
  <c r="K1542" i="10" s="1"/>
  <c r="I1541" i="10"/>
  <c r="K1541" i="10" s="1"/>
  <c r="I1539" i="10"/>
  <c r="K1539" i="10" s="1"/>
  <c r="I1538" i="10"/>
  <c r="K1538" i="10" s="1"/>
  <c r="I1536" i="10"/>
  <c r="K1536" i="10" s="1"/>
  <c r="J1536" i="10" s="1"/>
  <c r="E1536" i="10"/>
  <c r="I1535" i="10"/>
  <c r="K1535" i="10" s="1"/>
  <c r="J1535" i="10" s="1"/>
  <c r="E1535" i="10"/>
  <c r="I1524" i="10"/>
  <c r="K1524" i="10" s="1"/>
  <c r="I1523" i="10"/>
  <c r="K1523" i="10" s="1"/>
  <c r="I1522" i="10"/>
  <c r="K1522" i="10" s="1"/>
  <c r="I1521" i="10"/>
  <c r="K1521" i="10" s="1"/>
  <c r="I1519" i="10"/>
  <c r="K1519" i="10" s="1"/>
  <c r="I1518" i="10"/>
  <c r="K1518" i="10" s="1"/>
  <c r="I1517" i="10"/>
  <c r="K1517" i="10" s="1"/>
  <c r="I1516" i="10"/>
  <c r="K1516" i="10" s="1"/>
  <c r="I1515" i="10"/>
  <c r="I1502" i="10"/>
  <c r="K1502" i="10" s="1"/>
  <c r="I1501" i="10"/>
  <c r="K1501" i="10" s="1"/>
  <c r="I1499" i="10"/>
  <c r="K1499" i="10" s="1"/>
  <c r="I1498" i="10"/>
  <c r="K1498" i="10" s="1"/>
  <c r="I1497" i="10"/>
  <c r="K1497" i="10" s="1"/>
  <c r="I1496" i="10"/>
  <c r="K1496" i="10" s="1"/>
  <c r="I1495" i="10"/>
  <c r="K1495" i="10" s="1"/>
  <c r="I1494" i="10"/>
  <c r="K1494" i="10" s="1"/>
  <c r="I1493" i="10"/>
  <c r="K1493" i="10" s="1"/>
  <c r="I1492" i="10"/>
  <c r="K1492" i="10" s="1"/>
  <c r="I1491" i="10"/>
  <c r="K1491" i="10" s="1"/>
  <c r="I1489" i="10"/>
  <c r="K1489" i="10" s="1"/>
  <c r="I1488" i="10"/>
  <c r="K1488" i="10" s="1"/>
  <c r="I1487" i="10"/>
  <c r="K1487" i="10" s="1"/>
  <c r="I1486" i="10"/>
  <c r="I1485" i="10"/>
  <c r="K1485" i="10" s="1"/>
  <c r="I1484" i="10"/>
  <c r="K1484" i="10" s="1"/>
  <c r="I1483" i="10"/>
  <c r="I1482" i="10"/>
  <c r="K1482" i="10" s="1"/>
  <c r="I1481" i="10"/>
  <c r="K1481" i="10" s="1"/>
  <c r="I1479" i="10"/>
  <c r="K1479" i="10" s="1"/>
  <c r="I1478" i="10"/>
  <c r="K1478" i="10" s="1"/>
  <c r="I1477" i="10"/>
  <c r="K1477" i="10" s="1"/>
  <c r="I1476" i="10"/>
  <c r="K1476" i="10" s="1"/>
  <c r="I1475" i="10"/>
  <c r="K1475" i="10" s="1"/>
  <c r="I1474" i="10"/>
  <c r="K1474" i="10" s="1"/>
  <c r="I1473" i="10"/>
  <c r="K1473" i="10" s="1"/>
  <c r="I1472" i="10"/>
  <c r="K1472" i="10" s="1"/>
  <c r="I1471" i="10"/>
  <c r="K1471" i="10" s="1"/>
  <c r="I1469" i="10"/>
  <c r="K1469" i="10" s="1"/>
  <c r="I1468" i="10"/>
  <c r="K1468" i="10" s="1"/>
  <c r="I1467" i="10"/>
  <c r="K1467" i="10" s="1"/>
  <c r="I1466" i="10"/>
  <c r="K1466" i="10" s="1"/>
  <c r="I1465" i="10"/>
  <c r="K1465" i="10" s="1"/>
  <c r="I1464" i="10"/>
  <c r="K1464" i="10" s="1"/>
  <c r="I1463" i="10"/>
  <c r="K1463" i="10" s="1"/>
  <c r="I1462" i="10"/>
  <c r="K1462" i="10" s="1"/>
  <c r="I1461" i="10"/>
  <c r="K1461" i="10" s="1"/>
  <c r="I1459" i="10"/>
  <c r="K1459" i="10" s="1"/>
  <c r="I1458" i="10"/>
  <c r="K1458" i="10" s="1"/>
  <c r="I1457" i="10"/>
  <c r="K1457" i="10" s="1"/>
  <c r="I1456" i="10"/>
  <c r="K1456" i="10" s="1"/>
  <c r="I1455" i="10"/>
  <c r="K1455" i="10" s="1"/>
  <c r="I1454" i="10"/>
  <c r="K1454" i="10" s="1"/>
  <c r="I1453" i="10"/>
  <c r="K1453" i="10" s="1"/>
  <c r="I1452" i="10"/>
  <c r="I1449" i="10"/>
  <c r="K1449" i="10" s="1"/>
  <c r="I1447" i="10"/>
  <c r="K1447" i="10" s="1"/>
  <c r="I1446" i="10"/>
  <c r="K1446" i="10" s="1"/>
  <c r="I1445" i="10"/>
  <c r="K1445" i="10" s="1"/>
  <c r="I1444" i="10"/>
  <c r="K1444" i="10" s="1"/>
  <c r="I1441" i="10"/>
  <c r="K1441" i="10" s="1"/>
  <c r="I1440" i="10"/>
  <c r="K1440" i="10" s="1"/>
  <c r="I1439" i="10"/>
  <c r="K1439" i="10" s="1"/>
  <c r="I1437" i="10"/>
  <c r="K1437" i="10" s="1"/>
  <c r="I1436" i="10"/>
  <c r="K1436" i="10" s="1"/>
  <c r="I1435" i="10"/>
  <c r="K1435" i="10" s="1"/>
  <c r="I1434" i="10"/>
  <c r="K1434" i="10" s="1"/>
  <c r="I1433" i="10"/>
  <c r="I1422" i="10"/>
  <c r="K1422" i="10" s="1"/>
  <c r="I1421" i="10"/>
  <c r="K1421" i="10" s="1"/>
  <c r="I1420" i="10"/>
  <c r="K1420" i="10" s="1"/>
  <c r="I1419" i="10"/>
  <c r="K1419" i="10" s="1"/>
  <c r="I1417" i="10"/>
  <c r="K1417" i="10" s="1"/>
  <c r="I1416" i="10"/>
  <c r="K1416" i="10" s="1"/>
  <c r="I1415" i="10"/>
  <c r="K1415" i="10" s="1"/>
  <c r="I1414" i="10"/>
  <c r="K1414" i="10" s="1"/>
  <c r="I1413" i="10"/>
  <c r="K1413" i="10" s="1"/>
  <c r="I1412" i="10"/>
  <c r="K1412" i="10" s="1"/>
  <c r="I1411" i="10"/>
  <c r="K1411" i="10" s="1"/>
  <c r="I1410" i="10"/>
  <c r="K1410" i="10" s="1"/>
  <c r="I1409" i="10"/>
  <c r="K1409" i="10" s="1"/>
  <c r="I1407" i="10"/>
  <c r="K1407" i="10" s="1"/>
  <c r="I1406" i="10"/>
  <c r="K1406" i="10" s="1"/>
  <c r="I1405" i="10"/>
  <c r="K1405" i="10" s="1"/>
  <c r="I1404" i="10"/>
  <c r="K1404" i="10" s="1"/>
  <c r="I1403" i="10"/>
  <c r="K1403" i="10" s="1"/>
  <c r="I1402" i="10"/>
  <c r="K1402" i="10" s="1"/>
  <c r="I1401" i="10"/>
  <c r="K1401" i="10" s="1"/>
  <c r="I1400" i="10"/>
  <c r="K1400" i="10" s="1"/>
  <c r="I1399" i="10"/>
  <c r="K1399" i="10" s="1"/>
  <c r="I1397" i="10"/>
  <c r="K1397" i="10" s="1"/>
  <c r="I1396" i="10"/>
  <c r="K1396" i="10" s="1"/>
  <c r="I1395" i="10"/>
  <c r="K1395" i="10" s="1"/>
  <c r="I1393" i="10"/>
  <c r="K1393" i="10" s="1"/>
  <c r="I1392" i="10"/>
  <c r="K1392" i="10" s="1"/>
  <c r="I1391" i="10"/>
  <c r="K1391" i="10" s="1"/>
  <c r="I1390" i="10"/>
  <c r="K1390" i="10" s="1"/>
  <c r="I1389" i="10"/>
  <c r="K1389" i="10" s="1"/>
  <c r="I1387" i="10"/>
  <c r="K1387" i="10" s="1"/>
  <c r="I1386" i="10"/>
  <c r="K1386" i="10" s="1"/>
  <c r="I1385" i="10"/>
  <c r="K1385" i="10" s="1"/>
  <c r="I1384" i="10"/>
  <c r="K1384" i="10" s="1"/>
  <c r="I1383" i="10"/>
  <c r="K1383" i="10" s="1"/>
  <c r="I1382" i="10"/>
  <c r="K1382" i="10" s="1"/>
  <c r="I1381" i="10"/>
  <c r="K1381" i="10" s="1"/>
  <c r="I1380" i="10"/>
  <c r="K1380" i="10" s="1"/>
  <c r="I1379" i="10"/>
  <c r="K1379" i="10" s="1"/>
  <c r="I1377" i="10"/>
  <c r="K1377" i="10" s="1"/>
  <c r="I1376" i="10"/>
  <c r="K1376" i="10" s="1"/>
  <c r="I1375" i="10"/>
  <c r="K1375" i="10" s="1"/>
  <c r="I1374" i="10"/>
  <c r="K1374" i="10" s="1"/>
  <c r="I1372" i="10"/>
  <c r="K1372" i="10" s="1"/>
  <c r="I1371" i="10"/>
  <c r="K1371" i="10" s="1"/>
  <c r="I1369" i="10"/>
  <c r="K1369" i="10" s="1"/>
  <c r="I1367" i="10"/>
  <c r="K1367" i="10" s="1"/>
  <c r="I1366" i="10"/>
  <c r="K1366" i="10" s="1"/>
  <c r="I1364" i="10"/>
  <c r="K1364" i="10" s="1"/>
  <c r="I1363" i="10"/>
  <c r="K1363" i="10" s="1"/>
  <c r="I1362" i="10"/>
  <c r="K1362" i="10" s="1"/>
  <c r="I1361" i="10"/>
  <c r="K1361" i="10" s="1"/>
  <c r="I1360" i="10"/>
  <c r="K1360" i="10" s="1"/>
  <c r="I1359" i="10"/>
  <c r="K1359" i="10" s="1"/>
  <c r="I1357" i="10"/>
  <c r="K1357" i="10" s="1"/>
  <c r="I1356" i="10"/>
  <c r="K1356" i="10" s="1"/>
  <c r="I1355" i="10"/>
  <c r="K1355" i="10" s="1"/>
  <c r="I1354" i="10"/>
  <c r="K1354" i="10" s="1"/>
  <c r="I1353" i="10"/>
  <c r="K1353" i="10" s="1"/>
  <c r="I1352" i="10"/>
  <c r="K1352" i="10" s="1"/>
  <c r="I1350" i="10"/>
  <c r="K1350" i="10" s="1"/>
  <c r="I1349" i="10"/>
  <c r="K1349" i="10" s="1"/>
  <c r="I1347" i="10"/>
  <c r="K1347" i="10" s="1"/>
  <c r="I1346" i="10"/>
  <c r="K1346" i="10" s="1"/>
  <c r="I1345" i="10"/>
  <c r="K1345" i="10" s="1"/>
  <c r="I1344" i="10"/>
  <c r="K1344" i="10" s="1"/>
  <c r="I1343" i="10"/>
  <c r="K1343" i="10" s="1"/>
  <c r="I1342" i="10"/>
  <c r="K1342" i="10" s="1"/>
  <c r="I1341" i="10"/>
  <c r="K1341" i="10" s="1"/>
  <c r="I1340" i="10"/>
  <c r="K1340" i="10" s="1"/>
  <c r="I1339" i="10"/>
  <c r="K1339" i="10" s="1"/>
  <c r="I1337" i="10"/>
  <c r="K1337" i="10" s="1"/>
  <c r="I1336" i="10"/>
  <c r="K1336" i="10" s="1"/>
  <c r="I1335" i="10"/>
  <c r="I1322" i="10"/>
  <c r="K1322" i="10" s="1"/>
  <c r="I1321" i="10"/>
  <c r="K1321" i="10" s="1"/>
  <c r="I1317" i="10"/>
  <c r="K1317" i="10" s="1"/>
  <c r="I1316" i="10"/>
  <c r="K1316" i="10" s="1"/>
  <c r="I1314" i="10"/>
  <c r="K1314" i="10" s="1"/>
  <c r="I1313" i="10"/>
  <c r="K1313" i="10" s="1"/>
  <c r="I1312" i="10"/>
  <c r="K1312" i="10" s="1"/>
  <c r="I1311" i="10"/>
  <c r="K1311" i="10" s="1"/>
  <c r="I1310" i="10"/>
  <c r="K1310" i="10" s="1"/>
  <c r="I1309" i="10"/>
  <c r="K1309" i="10" s="1"/>
  <c r="I1307" i="10"/>
  <c r="K1307" i="10" s="1"/>
  <c r="I1306" i="10"/>
  <c r="K1306" i="10" s="1"/>
  <c r="I1305" i="10"/>
  <c r="K1305" i="10" s="1"/>
  <c r="I1304" i="10"/>
  <c r="K1304" i="10" s="1"/>
  <c r="I1303" i="10"/>
  <c r="K1303" i="10" s="1"/>
  <c r="I1302" i="10"/>
  <c r="K1302" i="10" s="1"/>
  <c r="I1301" i="10"/>
  <c r="K1301" i="10" s="1"/>
  <c r="I1300" i="10"/>
  <c r="K1300" i="10" s="1"/>
  <c r="I1299" i="10"/>
  <c r="K1299" i="10" s="1"/>
  <c r="I1297" i="10"/>
  <c r="K1297" i="10" s="1"/>
  <c r="I1296" i="10"/>
  <c r="K1296" i="10" s="1"/>
  <c r="I1295" i="10"/>
  <c r="K1295" i="10" s="1"/>
  <c r="I1294" i="10"/>
  <c r="K1294" i="10" s="1"/>
  <c r="I1293" i="10"/>
  <c r="K1293" i="10" s="1"/>
  <c r="I1292" i="10"/>
  <c r="K1292" i="10" s="1"/>
  <c r="I1291" i="10"/>
  <c r="K1291" i="10" s="1"/>
  <c r="I1290" i="10"/>
  <c r="K1290" i="10" s="1"/>
  <c r="I1287" i="10"/>
  <c r="K1287" i="10" s="1"/>
  <c r="I1286" i="10"/>
  <c r="K1286" i="10" s="1"/>
  <c r="I1285" i="10"/>
  <c r="K1285" i="10" s="1"/>
  <c r="I1284" i="10"/>
  <c r="K1284" i="10" s="1"/>
  <c r="I1283" i="10"/>
  <c r="K1283" i="10" s="1"/>
  <c r="I1282" i="10"/>
  <c r="K1282" i="10" s="1"/>
  <c r="I1281" i="10"/>
  <c r="K1281" i="10" s="1"/>
  <c r="I1280" i="10"/>
  <c r="K1280" i="10" s="1"/>
  <c r="I1279" i="10"/>
  <c r="K1279" i="10" s="1"/>
  <c r="I1277" i="10"/>
  <c r="K1277" i="10" s="1"/>
  <c r="I1276" i="10"/>
  <c r="K1276" i="10" s="1"/>
  <c r="I1275" i="10"/>
  <c r="K1275" i="10" s="1"/>
  <c r="I1274" i="10"/>
  <c r="K1274" i="10" s="1"/>
  <c r="I1273" i="10"/>
  <c r="K1273" i="10" s="1"/>
  <c r="I1272" i="10"/>
  <c r="K1272" i="10" s="1"/>
  <c r="I1271" i="10"/>
  <c r="K1271" i="10" s="1"/>
  <c r="I1270" i="10"/>
  <c r="K1270" i="10" s="1"/>
  <c r="I1269" i="10"/>
  <c r="K1269" i="10" s="1"/>
  <c r="I1267" i="10"/>
  <c r="K1267" i="10" s="1"/>
  <c r="I1266" i="10"/>
  <c r="K1266" i="10" s="1"/>
  <c r="I1265" i="10"/>
  <c r="K1265" i="10" s="1"/>
  <c r="I1264" i="10"/>
  <c r="K1264" i="10" s="1"/>
  <c r="I1257" i="10"/>
  <c r="K1257" i="10" s="1"/>
  <c r="I1256" i="10"/>
  <c r="K1256" i="10" s="1"/>
  <c r="I1255" i="10"/>
  <c r="K1255" i="10" s="1"/>
  <c r="I1254" i="10"/>
  <c r="K1254" i="10" s="1"/>
  <c r="I1252" i="10"/>
  <c r="K1252" i="10" s="1"/>
  <c r="I1251" i="10"/>
  <c r="K1251" i="10" s="1"/>
  <c r="I1250" i="10"/>
  <c r="K1250" i="10" s="1"/>
  <c r="I1249" i="10"/>
  <c r="K1249" i="10" s="1"/>
  <c r="I1248" i="10"/>
  <c r="K1248" i="10" s="1"/>
  <c r="I1247" i="10"/>
  <c r="K1247" i="10" s="1"/>
  <c r="I1246" i="10"/>
  <c r="K1246" i="10" s="1"/>
  <c r="I1245" i="10"/>
  <c r="K1245" i="10" s="1"/>
  <c r="I1244" i="10"/>
  <c r="I1242" i="10"/>
  <c r="K1242" i="10" s="1"/>
  <c r="I1241" i="10"/>
  <c r="K1241" i="10" s="1"/>
  <c r="I1240" i="10"/>
  <c r="K1240" i="10" s="1"/>
  <c r="I1239" i="10"/>
  <c r="K1239" i="10" s="1"/>
  <c r="I1238" i="10"/>
  <c r="K1238" i="10" s="1"/>
  <c r="I1237" i="10"/>
  <c r="K1237" i="10" s="1"/>
  <c r="I1236" i="10"/>
  <c r="K1236" i="10" s="1"/>
  <c r="I1235" i="10"/>
  <c r="K1235" i="10" s="1"/>
  <c r="I1234" i="10"/>
  <c r="K1234" i="10" s="1"/>
  <c r="I1229" i="10"/>
  <c r="K1229" i="10" s="1"/>
  <c r="I1228" i="10"/>
  <c r="K1228" i="10" s="1"/>
  <c r="I1217" i="10"/>
  <c r="K1217" i="10" s="1"/>
  <c r="I1216" i="10"/>
  <c r="K1216" i="10" s="1"/>
  <c r="I1215" i="10"/>
  <c r="K1215" i="10" s="1"/>
  <c r="I1214" i="10"/>
  <c r="K1214" i="10" s="1"/>
  <c r="I1212" i="10"/>
  <c r="K1212" i="10" s="1"/>
  <c r="I1211" i="10"/>
  <c r="K1211" i="10" s="1"/>
  <c r="I1210" i="10"/>
  <c r="K1210" i="10" s="1"/>
  <c r="K1209" i="10"/>
  <c r="K1208" i="10"/>
  <c r="K1207" i="10"/>
  <c r="K1206" i="10"/>
  <c r="K1205" i="10"/>
  <c r="I1142" i="10"/>
  <c r="K1142" i="10" s="1"/>
  <c r="G1142" i="10" s="1"/>
  <c r="I1140" i="10"/>
  <c r="K1140" i="10" s="1"/>
  <c r="I1077" i="10"/>
  <c r="K1077" i="10" s="1"/>
  <c r="I1075" i="10"/>
  <c r="K1075" i="10" s="1"/>
  <c r="I1074" i="10"/>
  <c r="K1074" i="10" s="1"/>
  <c r="I1073" i="10"/>
  <c r="K1073" i="10" s="1"/>
  <c r="I1072" i="10"/>
  <c r="K1072" i="10" s="1"/>
  <c r="I1071" i="10"/>
  <c r="K1071" i="10" s="1"/>
  <c r="I1070" i="10"/>
  <c r="K1070" i="10" s="1"/>
  <c r="I1069" i="10"/>
  <c r="K1069" i="10" s="1"/>
  <c r="I1067" i="10"/>
  <c r="K1067" i="10" s="1"/>
  <c r="I1065" i="10"/>
  <c r="K1065" i="10" s="1"/>
  <c r="I1064" i="10"/>
  <c r="K1064" i="10" s="1"/>
  <c r="I1063" i="10"/>
  <c r="K1063" i="10" s="1"/>
  <c r="I1062" i="10"/>
  <c r="K1062" i="10" s="1"/>
  <c r="I1061" i="10"/>
  <c r="K1061" i="10" s="1"/>
  <c r="I1050" i="10"/>
  <c r="K1050" i="10" s="1"/>
  <c r="I1049" i="10"/>
  <c r="K1049" i="10" s="1"/>
  <c r="I1048" i="10"/>
  <c r="K1048" i="10" s="1"/>
  <c r="I1047" i="10"/>
  <c r="K1047" i="10" s="1"/>
  <c r="I1045" i="10"/>
  <c r="K1045" i="10" s="1"/>
  <c r="I1044" i="10"/>
  <c r="K1044" i="10" s="1"/>
  <c r="I1043" i="10"/>
  <c r="K1043" i="10" s="1"/>
  <c r="I1042" i="10"/>
  <c r="K1042" i="10" s="1"/>
  <c r="J1041" i="10"/>
  <c r="F1041" i="10" s="1"/>
  <c r="I1041" i="10"/>
  <c r="H1041" i="10"/>
  <c r="G1041" i="10"/>
  <c r="E1041" i="10" s="1"/>
  <c r="J1040" i="10"/>
  <c r="F1040" i="10" s="1"/>
  <c r="I1040" i="10"/>
  <c r="H1040" i="10"/>
  <c r="G1040" i="10"/>
  <c r="E1040" i="10" s="1"/>
  <c r="K1038" i="10"/>
  <c r="I1038" i="10"/>
  <c r="K1037" i="10"/>
  <c r="I1037" i="10"/>
  <c r="K1035" i="10"/>
  <c r="I1035" i="10"/>
  <c r="K1034" i="10"/>
  <c r="I1034" i="10"/>
  <c r="K1033" i="10"/>
  <c r="I1033" i="10"/>
  <c r="K1032" i="10"/>
  <c r="I1032" i="10"/>
  <c r="J1031" i="10"/>
  <c r="F1031" i="10" s="1"/>
  <c r="I1031" i="10"/>
  <c r="H1031" i="10"/>
  <c r="G1031" i="10"/>
  <c r="E1031" i="10" s="1"/>
  <c r="J1030" i="10"/>
  <c r="F1030" i="10" s="1"/>
  <c r="I1030" i="10"/>
  <c r="H1030" i="10"/>
  <c r="G1030" i="10"/>
  <c r="E1030" i="10" s="1"/>
  <c r="J1029" i="10"/>
  <c r="F1029" i="10" s="1"/>
  <c r="I1029" i="10"/>
  <c r="H1029" i="10"/>
  <c r="G1029" i="10"/>
  <c r="E1029" i="10" s="1"/>
  <c r="J1028" i="10"/>
  <c r="F1028" i="10" s="1"/>
  <c r="I1028" i="10"/>
  <c r="H1028" i="10"/>
  <c r="G1028" i="10"/>
  <c r="E1028" i="10" s="1"/>
  <c r="J1027" i="10"/>
  <c r="F1027" i="10" s="1"/>
  <c r="I1027" i="10"/>
  <c r="H1027" i="10"/>
  <c r="G1027" i="10"/>
  <c r="E1027" i="10" s="1"/>
  <c r="J1025" i="10"/>
  <c r="F1025" i="10" s="1"/>
  <c r="I1025" i="10"/>
  <c r="H1025" i="10"/>
  <c r="G1025" i="10"/>
  <c r="E1025" i="10" s="1"/>
  <c r="J1024" i="10"/>
  <c r="F1024" i="10" s="1"/>
  <c r="I1024" i="10"/>
  <c r="H1024" i="10"/>
  <c r="G1024" i="10"/>
  <c r="E1024" i="10" s="1"/>
  <c r="J1023" i="10"/>
  <c r="F1023" i="10" s="1"/>
  <c r="I1023" i="10"/>
  <c r="H1023" i="10"/>
  <c r="G1023" i="10"/>
  <c r="E1023" i="10" s="1"/>
  <c r="J1022" i="10"/>
  <c r="F1022" i="10" s="1"/>
  <c r="I1022" i="10"/>
  <c r="H1022" i="10"/>
  <c r="G1022" i="10"/>
  <c r="E1022" i="10" s="1"/>
  <c r="J1021" i="10"/>
  <c r="F1021" i="10" s="1"/>
  <c r="I1021" i="10"/>
  <c r="H1021" i="10"/>
  <c r="G1021" i="10"/>
  <c r="E1021" i="10" s="1"/>
  <c r="J1020" i="10"/>
  <c r="F1020" i="10" s="1"/>
  <c r="I1020" i="10"/>
  <c r="H1020" i="10"/>
  <c r="G1020" i="10"/>
  <c r="E1020" i="10" s="1"/>
  <c r="J1019" i="10"/>
  <c r="F1019" i="10" s="1"/>
  <c r="I1019" i="10"/>
  <c r="H1019" i="10"/>
  <c r="G1019" i="10"/>
  <c r="E1019" i="10" s="1"/>
  <c r="K1017" i="10"/>
  <c r="I1017" i="10"/>
  <c r="K1015" i="10"/>
  <c r="I1015" i="10"/>
  <c r="K1014" i="10"/>
  <c r="I1014" i="10"/>
  <c r="K1013" i="10"/>
  <c r="I1013" i="10"/>
  <c r="K1012" i="10"/>
  <c r="I1012" i="10"/>
  <c r="K1011" i="10"/>
  <c r="I1011" i="10"/>
  <c r="J1010" i="10"/>
  <c r="I1010" i="10"/>
  <c r="H1010" i="10"/>
  <c r="G1010" i="10" s="1"/>
  <c r="J1009" i="10"/>
  <c r="I1009" i="10"/>
  <c r="H1009" i="10"/>
  <c r="G1009" i="10" s="1"/>
  <c r="F1009" i="10" s="1"/>
  <c r="J1008" i="10"/>
  <c r="I1008" i="10"/>
  <c r="H1008" i="10"/>
  <c r="G1008" i="10" s="1"/>
  <c r="J1007" i="10"/>
  <c r="I1007" i="10"/>
  <c r="H1007" i="10"/>
  <c r="G1007" i="10" s="1"/>
  <c r="F1007" i="10" s="1"/>
  <c r="J1005" i="10"/>
  <c r="I1005" i="10"/>
  <c r="H1005" i="10"/>
  <c r="G1005" i="10" s="1"/>
  <c r="F1005" i="10" s="1"/>
  <c r="J1004" i="10"/>
  <c r="I1004" i="10"/>
  <c r="H1004" i="10"/>
  <c r="G1004" i="10" s="1"/>
  <c r="J1003" i="10"/>
  <c r="I1003" i="10"/>
  <c r="H1003" i="10"/>
  <c r="G1003" i="10" s="1"/>
  <c r="F1003" i="10" s="1"/>
  <c r="J1002" i="10"/>
  <c r="I1002" i="10"/>
  <c r="H1002" i="10"/>
  <c r="G1002" i="10" s="1"/>
  <c r="J1001" i="10"/>
  <c r="I1001" i="10"/>
  <c r="J1000" i="10"/>
  <c r="I1000" i="10"/>
  <c r="J999" i="10"/>
  <c r="I999" i="10"/>
  <c r="J998" i="10"/>
  <c r="I998" i="10"/>
  <c r="H998" i="10"/>
  <c r="G998" i="10" s="1"/>
  <c r="J995" i="10"/>
  <c r="F995" i="10" s="1"/>
  <c r="I995" i="10"/>
  <c r="G995" i="10"/>
  <c r="E995" i="10" s="1"/>
  <c r="J994" i="10"/>
  <c r="F994" i="10" s="1"/>
  <c r="I994" i="10"/>
  <c r="G994" i="10"/>
  <c r="E994" i="10" s="1"/>
  <c r="K993" i="10"/>
  <c r="I993" i="10"/>
  <c r="K992" i="10"/>
  <c r="I992" i="10"/>
  <c r="K991" i="10"/>
  <c r="I991" i="10"/>
  <c r="K990" i="10"/>
  <c r="I990" i="10"/>
  <c r="K989" i="10"/>
  <c r="I989" i="10"/>
  <c r="K988" i="10"/>
  <c r="I988" i="10"/>
  <c r="J985" i="10"/>
  <c r="I985" i="10"/>
  <c r="E985" i="10"/>
  <c r="J984" i="10"/>
  <c r="I984" i="10"/>
  <c r="H984" i="10"/>
  <c r="G984" i="10" s="1"/>
  <c r="F984" i="10" s="1"/>
  <c r="J983" i="10"/>
  <c r="I983" i="10"/>
  <c r="H983" i="10"/>
  <c r="G983" i="10" s="1"/>
  <c r="F983" i="10" s="1"/>
  <c r="K982" i="10"/>
  <c r="I982" i="10"/>
  <c r="K981" i="10"/>
  <c r="I981" i="10"/>
  <c r="K980" i="10"/>
  <c r="I980" i="10"/>
  <c r="K979" i="10"/>
  <c r="I979" i="10"/>
  <c r="K978" i="10"/>
  <c r="I978" i="10"/>
  <c r="K977" i="10"/>
  <c r="I977" i="10"/>
  <c r="K975" i="10"/>
  <c r="I975" i="10"/>
  <c r="I973" i="10"/>
  <c r="K973" i="10" s="1"/>
  <c r="I972" i="10"/>
  <c r="K972" i="10" s="1"/>
  <c r="I971" i="10"/>
  <c r="K971" i="10" s="1"/>
  <c r="J970" i="10"/>
  <c r="I970" i="10"/>
  <c r="J969" i="10"/>
  <c r="I969" i="10"/>
  <c r="J968" i="10"/>
  <c r="I968" i="10"/>
  <c r="J967" i="10"/>
  <c r="I967" i="10"/>
  <c r="J965" i="10"/>
  <c r="I965" i="10"/>
  <c r="J964" i="10"/>
  <c r="I964" i="10"/>
  <c r="J963" i="10"/>
  <c r="I963" i="10"/>
  <c r="J962" i="10"/>
  <c r="I962" i="10"/>
  <c r="J961" i="10"/>
  <c r="I961" i="10"/>
  <c r="J950" i="10"/>
  <c r="I950" i="10"/>
  <c r="J949" i="10"/>
  <c r="I949" i="10"/>
  <c r="J948" i="10"/>
  <c r="I948" i="10"/>
  <c r="J947" i="10"/>
  <c r="I947" i="10"/>
  <c r="I938" i="10"/>
  <c r="K938" i="10" s="1"/>
  <c r="I937" i="10"/>
  <c r="K937" i="10" s="1"/>
  <c r="I936" i="10"/>
  <c r="K936" i="10" s="1"/>
  <c r="I935" i="10"/>
  <c r="K935" i="10" s="1"/>
  <c r="I934" i="10"/>
  <c r="K934" i="10" s="1"/>
  <c r="I933" i="10"/>
  <c r="K933" i="10" s="1"/>
  <c r="I932" i="10"/>
  <c r="K932" i="10" s="1"/>
  <c r="I931" i="10"/>
  <c r="K931" i="10" s="1"/>
  <c r="I929" i="10"/>
  <c r="K929" i="10" s="1"/>
  <c r="I928" i="10"/>
  <c r="K928" i="10" s="1"/>
  <c r="I927" i="10"/>
  <c r="K927" i="10" s="1"/>
  <c r="I926" i="10"/>
  <c r="K926" i="10" s="1"/>
  <c r="I925" i="10"/>
  <c r="K925" i="10" s="1"/>
  <c r="I924" i="10"/>
  <c r="K924" i="10" s="1"/>
  <c r="I923" i="10"/>
  <c r="K923" i="10" s="1"/>
  <c r="I922" i="10"/>
  <c r="K922" i="10" s="1"/>
  <c r="I921" i="10"/>
  <c r="K921" i="10" s="1"/>
  <c r="I919" i="10"/>
  <c r="K919" i="10" s="1"/>
  <c r="I918" i="10"/>
  <c r="K918" i="10" s="1"/>
  <c r="I916" i="10"/>
  <c r="K916" i="10" s="1"/>
  <c r="I915" i="10"/>
  <c r="K915" i="10" s="1"/>
  <c r="I914" i="10"/>
  <c r="K914" i="10" s="1"/>
  <c r="I913" i="10"/>
  <c r="K913" i="10" s="1"/>
  <c r="I912" i="10"/>
  <c r="K912" i="10" s="1"/>
  <c r="I911" i="10"/>
  <c r="K911" i="10" s="1"/>
  <c r="I909" i="10"/>
  <c r="K909" i="10" s="1"/>
  <c r="I908" i="10"/>
  <c r="K908" i="10" s="1"/>
  <c r="I907" i="10"/>
  <c r="K907" i="10" s="1"/>
  <c r="I906" i="10"/>
  <c r="K906" i="10" s="1"/>
  <c r="I905" i="10"/>
  <c r="K905" i="10" s="1"/>
  <c r="I904" i="10"/>
  <c r="K904" i="10" s="1"/>
  <c r="I903" i="10"/>
  <c r="K903" i="10" s="1"/>
  <c r="I902" i="10"/>
  <c r="K902" i="10" s="1"/>
  <c r="I901" i="10"/>
  <c r="K901" i="10" s="1"/>
  <c r="I899" i="10"/>
  <c r="K899" i="10" s="1"/>
  <c r="I898" i="10"/>
  <c r="K898" i="10" s="1"/>
  <c r="I897" i="10"/>
  <c r="K897" i="10" s="1"/>
  <c r="I896" i="10"/>
  <c r="K896" i="10" s="1"/>
  <c r="I895" i="10"/>
  <c r="K895" i="10" s="1"/>
  <c r="I893" i="10"/>
  <c r="K893" i="10" s="1"/>
  <c r="I892" i="10"/>
  <c r="K892" i="10" s="1"/>
  <c r="I891" i="10"/>
  <c r="K891" i="10" s="1"/>
  <c r="I889" i="10"/>
  <c r="K889" i="10" s="1"/>
  <c r="I888" i="10"/>
  <c r="K888" i="10" s="1"/>
  <c r="I887" i="10"/>
  <c r="K887" i="10" s="1"/>
  <c r="I886" i="10"/>
  <c r="K886" i="10" s="1"/>
  <c r="I885" i="10"/>
  <c r="K885" i="10" s="1"/>
  <c r="I884" i="10"/>
  <c r="K884" i="10" s="1"/>
  <c r="I883" i="10"/>
  <c r="K883" i="10" s="1"/>
  <c r="I881" i="10"/>
  <c r="K881" i="10" s="1"/>
  <c r="J879" i="10"/>
  <c r="I879" i="10"/>
  <c r="I877" i="10"/>
  <c r="K877" i="10" s="1"/>
  <c r="I876" i="10"/>
  <c r="K876" i="10" s="1"/>
  <c r="I875" i="10"/>
  <c r="K875" i="10" s="1"/>
  <c r="I874" i="10"/>
  <c r="K874" i="10" s="1"/>
  <c r="I873" i="10"/>
  <c r="K873" i="10" s="1"/>
  <c r="I872" i="10"/>
  <c r="K872" i="10" s="1"/>
  <c r="I871" i="10"/>
  <c r="K871" i="10" s="1"/>
  <c r="I869" i="10"/>
  <c r="K869" i="10" s="1"/>
  <c r="I868" i="10"/>
  <c r="K868" i="10" s="1"/>
  <c r="I867" i="10"/>
  <c r="K867" i="10" s="1"/>
  <c r="I866" i="10"/>
  <c r="K866" i="10" s="1"/>
  <c r="I864" i="10"/>
  <c r="K864" i="10" s="1"/>
  <c r="I863" i="10"/>
  <c r="K863" i="10" s="1"/>
  <c r="I862" i="10"/>
  <c r="K862" i="10" s="1"/>
  <c r="I861" i="10"/>
  <c r="K861" i="10" s="1"/>
  <c r="I859" i="10"/>
  <c r="K859" i="10" s="1"/>
  <c r="I858" i="10"/>
  <c r="K858" i="10" s="1"/>
  <c r="I857" i="10"/>
  <c r="K857" i="10" s="1"/>
  <c r="J856" i="10"/>
  <c r="I856" i="10"/>
  <c r="E856" i="10"/>
  <c r="I855" i="10"/>
  <c r="K855" i="10" s="1"/>
  <c r="I844" i="10"/>
  <c r="K844" i="10" s="1"/>
  <c r="I843" i="10"/>
  <c r="K843" i="10" s="1"/>
  <c r="J843" i="10" s="1"/>
  <c r="I842" i="10"/>
  <c r="K842" i="10" s="1"/>
  <c r="I841" i="10"/>
  <c r="K841" i="10" s="1"/>
  <c r="I839" i="10"/>
  <c r="K839" i="10" s="1"/>
  <c r="J839" i="10" s="1"/>
  <c r="I838" i="10"/>
  <c r="K838" i="10" s="1"/>
  <c r="I837" i="10"/>
  <c r="K837" i="10" s="1"/>
  <c r="J837" i="10" s="1"/>
  <c r="I836" i="10"/>
  <c r="K836" i="10" s="1"/>
  <c r="I835" i="10"/>
  <c r="K835" i="10" s="1"/>
  <c r="J835" i="10" s="1"/>
  <c r="I834" i="10"/>
  <c r="K834" i="10" s="1"/>
  <c r="I833" i="10"/>
  <c r="K833" i="10" s="1"/>
  <c r="J833" i="10" s="1"/>
  <c r="I831" i="10"/>
  <c r="K831" i="10" s="1"/>
  <c r="I829" i="10"/>
  <c r="K829" i="10" s="1"/>
  <c r="I825" i="10"/>
  <c r="K825" i="10" s="1"/>
  <c r="J825" i="10" s="1"/>
  <c r="F825" i="10" s="1"/>
  <c r="I823" i="10"/>
  <c r="K823" i="10" s="1"/>
  <c r="I822" i="10"/>
  <c r="K822" i="10" s="1"/>
  <c r="J822" i="10" s="1"/>
  <c r="F822" i="10" s="1"/>
  <c r="I821" i="10"/>
  <c r="K821" i="10" s="1"/>
  <c r="J821" i="10" s="1"/>
  <c r="F821" i="10" s="1"/>
  <c r="I819" i="10"/>
  <c r="I816" i="10"/>
  <c r="K816" i="10" s="1"/>
  <c r="I815" i="10"/>
  <c r="K815" i="10" s="1"/>
  <c r="J815" i="10" s="1"/>
  <c r="F815" i="10" s="1"/>
  <c r="I813" i="10"/>
  <c r="K813" i="10" s="1"/>
  <c r="I811" i="10"/>
  <c r="K811" i="10" s="1"/>
  <c r="J811" i="10" s="1"/>
  <c r="F811" i="10" s="1"/>
  <c r="I809" i="10"/>
  <c r="I807" i="10"/>
  <c r="K807" i="10" s="1"/>
  <c r="I806" i="10"/>
  <c r="K806" i="10" s="1"/>
  <c r="J806" i="10" s="1"/>
  <c r="F806" i="10" s="1"/>
  <c r="I805" i="10"/>
  <c r="K805" i="10" s="1"/>
  <c r="I804" i="10"/>
  <c r="K804" i="10" s="1"/>
  <c r="J804" i="10" s="1"/>
  <c r="F804" i="10" s="1"/>
  <c r="I801" i="10"/>
  <c r="K801" i="10" s="1"/>
  <c r="J801" i="10" s="1"/>
  <c r="F801" i="10" s="1"/>
  <c r="I800" i="10"/>
  <c r="K800" i="10" s="1"/>
  <c r="I799" i="10"/>
  <c r="I797" i="10"/>
  <c r="K797" i="10" s="1"/>
  <c r="J797" i="10" s="1"/>
  <c r="F797" i="10" s="1"/>
  <c r="I795" i="10"/>
  <c r="K795" i="10" s="1"/>
  <c r="I794" i="10"/>
  <c r="K794" i="10" s="1"/>
  <c r="J794" i="10" s="1"/>
  <c r="F794" i="10" s="1"/>
  <c r="I793" i="10"/>
  <c r="K793" i="10" s="1"/>
  <c r="I792" i="10"/>
  <c r="K792" i="10" s="1"/>
  <c r="I791" i="10"/>
  <c r="K791" i="10" s="1"/>
  <c r="I789" i="10"/>
  <c r="I787" i="10"/>
  <c r="K787" i="10" s="1"/>
  <c r="I786" i="10"/>
  <c r="K786" i="10" s="1"/>
  <c r="I784" i="10"/>
  <c r="K784" i="10" s="1"/>
  <c r="I783" i="10"/>
  <c r="K783" i="10" s="1"/>
  <c r="I782" i="10"/>
  <c r="K782" i="10" s="1"/>
  <c r="I781" i="10"/>
  <c r="K781" i="10" s="1"/>
  <c r="I780" i="10"/>
  <c r="K780" i="10" s="1"/>
  <c r="I779" i="10"/>
  <c r="K779" i="10" s="1"/>
  <c r="I777" i="10"/>
  <c r="K777" i="10" s="1"/>
  <c r="J777" i="10" s="1"/>
  <c r="F777" i="10" s="1"/>
  <c r="I776" i="10"/>
  <c r="K776" i="10" s="1"/>
  <c r="I775" i="10"/>
  <c r="K775" i="10" s="1"/>
  <c r="J775" i="10" s="1"/>
  <c r="F775" i="10" s="1"/>
  <c r="I774" i="10"/>
  <c r="K774" i="10" s="1"/>
  <c r="I773" i="10"/>
  <c r="K773" i="10" s="1"/>
  <c r="J773" i="10" s="1"/>
  <c r="F773" i="10" s="1"/>
  <c r="I772" i="10"/>
  <c r="K772" i="10" s="1"/>
  <c r="I771" i="10"/>
  <c r="K771" i="10" s="1"/>
  <c r="J771" i="10" s="1"/>
  <c r="F771" i="10" s="1"/>
  <c r="I770" i="10"/>
  <c r="K770" i="10" s="1"/>
  <c r="I769" i="10"/>
  <c r="K769" i="10" s="1"/>
  <c r="J769" i="10" s="1"/>
  <c r="F769" i="10" s="1"/>
  <c r="I767" i="10"/>
  <c r="K767" i="10" s="1"/>
  <c r="I766" i="10"/>
  <c r="K766" i="10" s="1"/>
  <c r="J766" i="10" s="1"/>
  <c r="F766" i="10" s="1"/>
  <c r="I765" i="10"/>
  <c r="K765" i="10" s="1"/>
  <c r="I764" i="10"/>
  <c r="K764" i="10" s="1"/>
  <c r="J764" i="10" s="1"/>
  <c r="F764" i="10" s="1"/>
  <c r="I763" i="10"/>
  <c r="K763" i="10" s="1"/>
  <c r="I762" i="10"/>
  <c r="K762" i="10" s="1"/>
  <c r="I761" i="10"/>
  <c r="K761" i="10" s="1"/>
  <c r="I760" i="10"/>
  <c r="K760" i="10" s="1"/>
  <c r="I759" i="10"/>
  <c r="H755" i="10"/>
  <c r="E755" i="10"/>
  <c r="H754" i="10"/>
  <c r="E754" i="10"/>
  <c r="H753" i="10"/>
  <c r="E753" i="10"/>
  <c r="H742" i="10"/>
  <c r="E742" i="10"/>
  <c r="H741" i="10"/>
  <c r="E741" i="10"/>
  <c r="H740" i="10"/>
  <c r="E740" i="10"/>
  <c r="H739" i="10"/>
  <c r="E739" i="10"/>
  <c r="H737" i="10"/>
  <c r="E737" i="10"/>
  <c r="H736" i="10"/>
  <c r="E736" i="10"/>
  <c r="H735" i="10"/>
  <c r="E735" i="10"/>
  <c r="H734" i="10"/>
  <c r="E734" i="10"/>
  <c r="H733" i="10"/>
  <c r="E733" i="10"/>
  <c r="H732" i="10"/>
  <c r="E732" i="10"/>
  <c r="H731" i="10"/>
  <c r="E731" i="10"/>
  <c r="H730" i="10"/>
  <c r="E730" i="10"/>
  <c r="H729" i="10"/>
  <c r="E729" i="10"/>
  <c r="H727" i="10"/>
  <c r="E727" i="10"/>
  <c r="H726" i="10"/>
  <c r="E726" i="10"/>
  <c r="H725" i="10"/>
  <c r="E725" i="10"/>
  <c r="H724" i="10"/>
  <c r="E724" i="10"/>
  <c r="H722" i="10"/>
  <c r="E722" i="10"/>
  <c r="H721" i="10"/>
  <c r="E721" i="10"/>
  <c r="H720" i="10"/>
  <c r="E720" i="10"/>
  <c r="H719" i="10"/>
  <c r="E719" i="10"/>
  <c r="H717" i="10"/>
  <c r="E717" i="10"/>
  <c r="H716" i="10"/>
  <c r="E716" i="10"/>
  <c r="H715" i="10"/>
  <c r="E715" i="10"/>
  <c r="H713" i="10"/>
  <c r="E713" i="10"/>
  <c r="H712" i="10"/>
  <c r="E712" i="10"/>
  <c r="H711" i="10"/>
  <c r="E711" i="10"/>
  <c r="H710" i="10"/>
  <c r="E710" i="10"/>
  <c r="H709" i="10"/>
  <c r="E709" i="10"/>
  <c r="H707" i="10"/>
  <c r="E707" i="10"/>
  <c r="H706" i="10"/>
  <c r="E706" i="10"/>
  <c r="H704" i="10"/>
  <c r="E704" i="10"/>
  <c r="H703" i="10"/>
  <c r="E703" i="10"/>
  <c r="H702" i="10"/>
  <c r="E702" i="10"/>
  <c r="H701" i="10"/>
  <c r="E701" i="10"/>
  <c r="H700" i="10"/>
  <c r="E700" i="10"/>
  <c r="H699" i="10"/>
  <c r="E699" i="10"/>
  <c r="H697" i="10"/>
  <c r="E697" i="10"/>
  <c r="H696" i="10"/>
  <c r="E696" i="10"/>
  <c r="H695" i="10"/>
  <c r="E695" i="10"/>
  <c r="H694" i="10"/>
  <c r="E694" i="10"/>
  <c r="H693" i="10"/>
  <c r="E693" i="10"/>
  <c r="I503" i="10"/>
  <c r="K503" i="10" s="1"/>
  <c r="I502" i="10"/>
  <c r="K502" i="10" s="1"/>
  <c r="I501" i="10"/>
  <c r="K501" i="10" s="1"/>
  <c r="I490" i="10"/>
  <c r="K490" i="10" s="1"/>
  <c r="I489" i="10"/>
  <c r="K489" i="10" s="1"/>
  <c r="I488" i="10"/>
  <c r="K488" i="10" s="1"/>
  <c r="I487" i="10"/>
  <c r="K487" i="10" s="1"/>
  <c r="I483" i="10"/>
  <c r="K483" i="10" s="1"/>
  <c r="I482" i="10"/>
  <c r="K482" i="10" s="1"/>
  <c r="I481" i="10"/>
  <c r="K481" i="10" s="1"/>
  <c r="I480" i="10"/>
  <c r="K480" i="10" s="1"/>
  <c r="I478" i="10"/>
  <c r="K478" i="10" s="1"/>
  <c r="I477" i="10"/>
  <c r="K477" i="10" s="1"/>
  <c r="I475" i="10"/>
  <c r="K475" i="10" s="1"/>
  <c r="I474" i="10"/>
  <c r="K474" i="10" s="1"/>
  <c r="I473" i="10"/>
  <c r="K473" i="10" s="1"/>
  <c r="I472" i="10"/>
  <c r="K472" i="10" s="1"/>
  <c r="I471" i="10"/>
  <c r="K471" i="10" s="1"/>
  <c r="I470" i="10"/>
  <c r="K470" i="10" s="1"/>
  <c r="I469" i="10"/>
  <c r="K469" i="10" s="1"/>
  <c r="I468" i="10"/>
  <c r="K468" i="10" s="1"/>
  <c r="I467" i="10"/>
  <c r="K467" i="10" s="1"/>
  <c r="I465" i="10"/>
  <c r="K465" i="10" s="1"/>
  <c r="I464" i="10"/>
  <c r="K464" i="10" s="1"/>
  <c r="I463" i="10"/>
  <c r="K463" i="10" s="1"/>
  <c r="I462" i="10"/>
  <c r="K462" i="10" s="1"/>
  <c r="I461" i="10"/>
  <c r="K461" i="10" s="1"/>
  <c r="I460" i="10"/>
  <c r="K460" i="10" s="1"/>
  <c r="I459" i="10"/>
  <c r="K459" i="10" s="1"/>
  <c r="I458" i="10"/>
  <c r="K458" i="10" s="1"/>
  <c r="I455" i="10"/>
  <c r="K455" i="10" s="1"/>
  <c r="I453" i="10"/>
  <c r="K453" i="10" s="1"/>
  <c r="I452" i="10"/>
  <c r="K452" i="10" s="1"/>
  <c r="I451" i="10"/>
  <c r="K451" i="10" s="1"/>
  <c r="I450" i="10"/>
  <c r="K450" i="10" s="1"/>
  <c r="I449" i="10"/>
  <c r="K449" i="10" s="1"/>
  <c r="I448" i="10"/>
  <c r="K448" i="10" s="1"/>
  <c r="I445" i="10"/>
  <c r="K445" i="10" s="1"/>
  <c r="I444" i="10"/>
  <c r="K444" i="10" s="1"/>
  <c r="I443" i="10"/>
  <c r="K443" i="10" s="1"/>
  <c r="I442" i="10"/>
  <c r="K442" i="10" s="1"/>
  <c r="I441" i="10"/>
  <c r="K441" i="10" s="1"/>
  <c r="I440" i="10"/>
  <c r="K440" i="10" s="1"/>
  <c r="I438" i="10"/>
  <c r="K438" i="10" s="1"/>
  <c r="I437" i="10"/>
  <c r="K437" i="10" s="1"/>
  <c r="I435" i="10"/>
  <c r="K435" i="10" s="1"/>
  <c r="I434" i="10"/>
  <c r="K434" i="10" s="1"/>
  <c r="I433" i="10"/>
  <c r="K433" i="10" s="1"/>
  <c r="I432" i="10"/>
  <c r="K432" i="10" s="1"/>
  <c r="I431" i="10"/>
  <c r="K431" i="10" s="1"/>
  <c r="I429" i="10"/>
  <c r="K429" i="10" s="1"/>
  <c r="J429" i="10" s="1"/>
  <c r="E429" i="10"/>
  <c r="I428" i="10"/>
  <c r="K428" i="10" s="1"/>
  <c r="J428" i="10" s="1"/>
  <c r="E428" i="10"/>
  <c r="I427" i="10"/>
  <c r="K427" i="10" s="1"/>
  <c r="E427" i="10"/>
  <c r="I424" i="10"/>
  <c r="K424" i="10" s="1"/>
  <c r="I423" i="10"/>
  <c r="I422" i="10"/>
  <c r="I421" i="10"/>
  <c r="I420" i="10"/>
  <c r="I419" i="10"/>
  <c r="I417" i="10"/>
  <c r="K417" i="10" s="1"/>
  <c r="I415" i="10"/>
  <c r="K415" i="10" s="1"/>
  <c r="I414" i="10"/>
  <c r="K414" i="10" s="1"/>
  <c r="I413" i="10"/>
  <c r="K413" i="10" s="1"/>
  <c r="I412" i="10"/>
  <c r="K412" i="10" s="1"/>
  <c r="I411" i="10"/>
  <c r="K411" i="10" s="1"/>
  <c r="I410" i="10"/>
  <c r="K410" i="10" s="1"/>
  <c r="I409" i="10"/>
  <c r="K409" i="10" s="1"/>
  <c r="I408" i="10"/>
  <c r="I407" i="10"/>
  <c r="I403" i="10"/>
  <c r="K403" i="10" s="1"/>
  <c r="I402" i="10"/>
  <c r="K402" i="10" s="1"/>
  <c r="I401" i="10"/>
  <c r="K401" i="10" s="1"/>
  <c r="I390" i="10"/>
  <c r="K390" i="10" s="1"/>
  <c r="I389" i="10"/>
  <c r="K389" i="10" s="1"/>
  <c r="J389" i="10" s="1"/>
  <c r="I388" i="10"/>
  <c r="K388" i="10" s="1"/>
  <c r="I387" i="10"/>
  <c r="K387" i="10" s="1"/>
  <c r="I385" i="10"/>
  <c r="K385" i="10" s="1"/>
  <c r="J385" i="10" s="1"/>
  <c r="I384" i="10"/>
  <c r="K384" i="10" s="1"/>
  <c r="I383" i="10"/>
  <c r="K383" i="10" s="1"/>
  <c r="J383" i="10" s="1"/>
  <c r="I382" i="10"/>
  <c r="K382" i="10" s="1"/>
  <c r="I381" i="10"/>
  <c r="K381" i="10" s="1"/>
  <c r="J381" i="10" s="1"/>
  <c r="I380" i="10"/>
  <c r="K380" i="10" s="1"/>
  <c r="I379" i="10"/>
  <c r="K379" i="10" s="1"/>
  <c r="J379" i="10" s="1"/>
  <c r="I378" i="10"/>
  <c r="K378" i="10" s="1"/>
  <c r="I377" i="10"/>
  <c r="K377" i="10" s="1"/>
  <c r="J377" i="10" s="1"/>
  <c r="I375" i="10"/>
  <c r="K375" i="10" s="1"/>
  <c r="J375" i="10" s="1"/>
  <c r="I374" i="10"/>
  <c r="K374" i="10" s="1"/>
  <c r="I373" i="10"/>
  <c r="K373" i="10" s="1"/>
  <c r="J373" i="10" s="1"/>
  <c r="I372" i="10"/>
  <c r="K372" i="10" s="1"/>
  <c r="I371" i="10"/>
  <c r="K371" i="10" s="1"/>
  <c r="J371" i="10" s="1"/>
  <c r="I370" i="10"/>
  <c r="K370" i="10" s="1"/>
  <c r="I369" i="10"/>
  <c r="K369" i="10" s="1"/>
  <c r="J369" i="10" s="1"/>
  <c r="I368" i="10"/>
  <c r="K368" i="10" s="1"/>
  <c r="I367" i="10"/>
  <c r="K367" i="10" s="1"/>
  <c r="I364" i="10"/>
  <c r="K364" i="10" s="1"/>
  <c r="J364" i="10" s="1"/>
  <c r="I363" i="10"/>
  <c r="K363" i="10" s="1"/>
  <c r="I362" i="10"/>
  <c r="K362" i="10" s="1"/>
  <c r="J362" i="10" s="1"/>
  <c r="I360" i="10"/>
  <c r="K360" i="10" s="1"/>
  <c r="I359" i="10"/>
  <c r="K359" i="10" s="1"/>
  <c r="J359" i="10" s="1"/>
  <c r="I358" i="10"/>
  <c r="K358" i="10" s="1"/>
  <c r="I354" i="10"/>
  <c r="K354" i="10" s="1"/>
  <c r="I353" i="10"/>
  <c r="K353" i="10" s="1"/>
  <c r="J353" i="10" s="1"/>
  <c r="I350" i="10"/>
  <c r="K350" i="10" s="1"/>
  <c r="I349" i="10"/>
  <c r="K349" i="10" s="1"/>
  <c r="J349" i="10" s="1"/>
  <c r="I348" i="10"/>
  <c r="K348" i="10" s="1"/>
  <c r="I347" i="10"/>
  <c r="K347" i="10" s="1"/>
  <c r="J347" i="10" s="1"/>
  <c r="I345" i="10"/>
  <c r="K345" i="10" s="1"/>
  <c r="J345" i="10" s="1"/>
  <c r="I344" i="10"/>
  <c r="K344" i="10" s="1"/>
  <c r="I343" i="10"/>
  <c r="K343" i="10" s="1"/>
  <c r="J343" i="10" s="1"/>
  <c r="I342" i="10"/>
  <c r="K342" i="10" s="1"/>
  <c r="I341" i="10"/>
  <c r="K341" i="10" s="1"/>
  <c r="J341" i="10" s="1"/>
  <c r="I339" i="10"/>
  <c r="K339" i="10" s="1"/>
  <c r="I338" i="10"/>
  <c r="K338" i="10" s="1"/>
  <c r="J338" i="10" s="1"/>
  <c r="I337" i="10"/>
  <c r="K337" i="10" s="1"/>
  <c r="I335" i="10"/>
  <c r="K335" i="10" s="1"/>
  <c r="I334" i="10"/>
  <c r="K334" i="10" s="1"/>
  <c r="J334" i="10" s="1"/>
  <c r="I327" i="10"/>
  <c r="K327" i="10" s="1"/>
  <c r="J327" i="10" s="1"/>
  <c r="I326" i="10"/>
  <c r="K326" i="10" s="1"/>
  <c r="I324" i="10"/>
  <c r="K324" i="10" s="1"/>
  <c r="I322" i="10"/>
  <c r="K322" i="10" s="1"/>
  <c r="J322" i="10" s="1"/>
  <c r="I321" i="10"/>
  <c r="K321" i="10" s="1"/>
  <c r="I320" i="10"/>
  <c r="K320" i="10" s="1"/>
  <c r="J320" i="10" s="1"/>
  <c r="I318" i="10"/>
  <c r="K318" i="10" s="1"/>
  <c r="I317" i="10"/>
  <c r="K317" i="10" s="1"/>
  <c r="J317" i="10" s="1"/>
  <c r="I316" i="10"/>
  <c r="K316" i="10" s="1"/>
  <c r="G316" i="10" s="1"/>
  <c r="F316" i="10" s="1"/>
  <c r="I315" i="10"/>
  <c r="I314" i="10"/>
  <c r="K314" i="10" s="1"/>
  <c r="I312" i="10"/>
  <c r="K312" i="10" s="1"/>
  <c r="I311" i="10"/>
  <c r="K311" i="10" s="1"/>
  <c r="J311" i="10" s="1"/>
  <c r="I310" i="10"/>
  <c r="K310" i="10" s="1"/>
  <c r="I309" i="10"/>
  <c r="K309" i="10" s="1"/>
  <c r="J309" i="10" s="1"/>
  <c r="I308" i="10"/>
  <c r="K308" i="10" s="1"/>
  <c r="I306" i="10"/>
  <c r="K306" i="10" s="1"/>
  <c r="I305" i="10"/>
  <c r="K305" i="10" s="1"/>
  <c r="I304" i="10"/>
  <c r="K304" i="10" s="1"/>
  <c r="I301" i="10"/>
  <c r="K301" i="10" s="1"/>
  <c r="I300" i="10"/>
  <c r="K300" i="10" s="1"/>
  <c r="I299" i="10"/>
  <c r="K299" i="10" s="1"/>
  <c r="I298" i="10"/>
  <c r="K298" i="10" s="1"/>
  <c r="I287" i="10"/>
  <c r="K287" i="10" s="1"/>
  <c r="G287" i="10" s="1"/>
  <c r="F287" i="10" s="1"/>
  <c r="I286" i="10"/>
  <c r="K286" i="10" s="1"/>
  <c r="G286" i="10" s="1"/>
  <c r="I285" i="10"/>
  <c r="K285" i="10" s="1"/>
  <c r="G285" i="10" s="1"/>
  <c r="F285" i="10" s="1"/>
  <c r="I284" i="10"/>
  <c r="K284" i="10" s="1"/>
  <c r="I282" i="10"/>
  <c r="K282" i="10" s="1"/>
  <c r="G282" i="10" s="1"/>
  <c r="I281" i="10"/>
  <c r="K281" i="10" s="1"/>
  <c r="I280" i="10"/>
  <c r="K280" i="10" s="1"/>
  <c r="J280" i="10" s="1"/>
  <c r="I279" i="10"/>
  <c r="K279" i="10" s="1"/>
  <c r="I278" i="10"/>
  <c r="K278" i="10" s="1"/>
  <c r="G278" i="10" s="1"/>
  <c r="I276" i="10"/>
  <c r="K276" i="10" s="1"/>
  <c r="I275" i="10"/>
  <c r="K275" i="10" s="1"/>
  <c r="J275" i="10" s="1"/>
  <c r="I268" i="10"/>
  <c r="K268" i="10" s="1"/>
  <c r="I267" i="10"/>
  <c r="K267" i="10" s="1"/>
  <c r="J267" i="10" s="1"/>
  <c r="I266" i="10"/>
  <c r="K266" i="10" s="1"/>
  <c r="I196" i="10"/>
  <c r="I195" i="10"/>
  <c r="I193" i="10"/>
  <c r="I192" i="10"/>
  <c r="I191" i="10"/>
  <c r="I190" i="10"/>
  <c r="I189" i="10"/>
  <c r="I188" i="10"/>
  <c r="I187" i="10"/>
  <c r="I186" i="10"/>
  <c r="I185" i="10"/>
  <c r="I183" i="10"/>
  <c r="I182" i="10"/>
  <c r="I181" i="10"/>
  <c r="I180" i="10"/>
  <c r="I179" i="10"/>
  <c r="I178" i="10"/>
  <c r="I177" i="10"/>
  <c r="I176" i="10"/>
  <c r="I175" i="10"/>
  <c r="I173" i="10"/>
  <c r="I171" i="10"/>
  <c r="I170" i="10"/>
  <c r="I169" i="10"/>
  <c r="I168" i="10"/>
  <c r="I167" i="10"/>
  <c r="I166" i="10"/>
  <c r="I165" i="10"/>
  <c r="I163" i="10"/>
  <c r="I162" i="10"/>
  <c r="I161" i="10"/>
  <c r="I160" i="10"/>
  <c r="I159" i="10"/>
  <c r="I148" i="10"/>
  <c r="I147" i="10"/>
  <c r="I143" i="10"/>
  <c r="I142" i="10"/>
  <c r="I141" i="10"/>
  <c r="I140" i="10"/>
  <c r="I139" i="10"/>
  <c r="I138" i="10"/>
  <c r="I137" i="10"/>
  <c r="I136" i="10"/>
  <c r="I135" i="10"/>
  <c r="I133" i="10"/>
  <c r="I132" i="10"/>
  <c r="I131" i="10"/>
  <c r="I130" i="10"/>
  <c r="I129" i="10"/>
  <c r="I127" i="10"/>
  <c r="I126" i="10"/>
  <c r="I125" i="10"/>
  <c r="I123" i="10"/>
  <c r="I122" i="10"/>
  <c r="I121" i="10"/>
  <c r="I120" i="10"/>
  <c r="I119" i="10"/>
  <c r="I118" i="10"/>
  <c r="I117" i="10"/>
  <c r="I116" i="10"/>
  <c r="I115" i="10"/>
  <c r="I113" i="10"/>
  <c r="I112" i="10"/>
  <c r="I111" i="10"/>
  <c r="I98" i="10"/>
  <c r="I97" i="10"/>
  <c r="I96" i="10"/>
  <c r="I95" i="10"/>
  <c r="I93" i="10"/>
  <c r="I92" i="10"/>
  <c r="I91" i="10"/>
  <c r="I90" i="10"/>
  <c r="I89" i="10"/>
  <c r="I88" i="10"/>
  <c r="I87" i="10"/>
  <c r="I86" i="10"/>
  <c r="I85" i="10"/>
  <c r="I83" i="10"/>
  <c r="I82" i="10"/>
  <c r="I81" i="10"/>
  <c r="I80" i="10"/>
  <c r="I79" i="10"/>
  <c r="I78" i="10"/>
  <c r="I77" i="10"/>
  <c r="I76" i="10"/>
  <c r="I75" i="10"/>
  <c r="I73" i="10"/>
  <c r="I72" i="10"/>
  <c r="I71" i="10"/>
  <c r="I70" i="10"/>
  <c r="I69" i="10"/>
  <c r="I68" i="10"/>
  <c r="I67" i="10"/>
  <c r="I66" i="10"/>
  <c r="I65" i="10"/>
  <c r="I63" i="10"/>
  <c r="J62" i="10"/>
  <c r="I62" i="10"/>
  <c r="J61" i="10"/>
  <c r="I61" i="10"/>
  <c r="J60" i="10"/>
  <c r="I60" i="10"/>
  <c r="J59" i="10"/>
  <c r="I59" i="10"/>
  <c r="J48" i="10"/>
  <c r="I48" i="10"/>
  <c r="J47" i="10"/>
  <c r="I47" i="10"/>
  <c r="J46" i="10"/>
  <c r="I46" i="10"/>
  <c r="J45" i="10"/>
  <c r="I45" i="10"/>
  <c r="J43" i="10"/>
  <c r="I43" i="10"/>
  <c r="J42" i="10"/>
  <c r="I42" i="10"/>
  <c r="J41" i="10"/>
  <c r="I41" i="10"/>
  <c r="J40" i="10"/>
  <c r="I40" i="10"/>
  <c r="J39" i="10"/>
  <c r="I39" i="10"/>
  <c r="J38" i="10"/>
  <c r="I38" i="10"/>
  <c r="J37" i="10"/>
  <c r="I37" i="10"/>
  <c r="J36" i="10"/>
  <c r="I36" i="10"/>
  <c r="J35" i="10"/>
  <c r="I35" i="10"/>
  <c r="I30" i="10"/>
  <c r="K30" i="10" s="1"/>
  <c r="I27" i="10"/>
  <c r="K27" i="10" s="1"/>
  <c r="I25" i="10"/>
  <c r="K25" i="10" s="1"/>
  <c r="I23" i="10"/>
  <c r="K23" i="10" s="1"/>
  <c r="I18" i="10"/>
  <c r="K18" i="10" s="1"/>
  <c r="I14" i="10"/>
  <c r="K14" i="10" s="1"/>
  <c r="I13" i="10"/>
  <c r="K13" i="10" s="1"/>
  <c r="I12" i="10"/>
  <c r="K12" i="10" s="1"/>
  <c r="I11" i="10"/>
  <c r="K11" i="10" s="1"/>
  <c r="I10" i="10"/>
  <c r="K10" i="10" s="1"/>
  <c r="I9" i="10"/>
  <c r="K9" i="10" s="1"/>
  <c r="I8" i="10"/>
  <c r="K8" i="10" s="1"/>
  <c r="I7" i="10"/>
  <c r="K7" i="10" s="1"/>
  <c r="I6" i="10"/>
  <c r="K6" i="10" s="1"/>
  <c r="E286" i="10" l="1"/>
  <c r="F286" i="10"/>
  <c r="E192" i="10"/>
  <c r="F192" i="10"/>
  <c r="E186" i="10"/>
  <c r="F186" i="10"/>
  <c r="E179" i="10"/>
  <c r="F179" i="10"/>
  <c r="E278" i="10"/>
  <c r="F278" i="10"/>
  <c r="E282" i="10"/>
  <c r="F282" i="10"/>
  <c r="E180" i="10"/>
  <c r="F180" i="10"/>
  <c r="E229" i="10"/>
  <c r="G228" i="10"/>
  <c r="F228" i="10" s="1"/>
  <c r="J1151" i="10"/>
  <c r="F1151" i="10" s="1"/>
  <c r="G1151" i="10"/>
  <c r="E1151" i="10" s="1"/>
  <c r="J284" i="10"/>
  <c r="J304" i="10"/>
  <c r="J306" i="10"/>
  <c r="J324" i="10"/>
  <c r="J367" i="10"/>
  <c r="J387" i="10"/>
  <c r="J427" i="10"/>
  <c r="K759" i="10"/>
  <c r="G759" i="10" s="1"/>
  <c r="K789" i="10"/>
  <c r="G789" i="10" s="1"/>
  <c r="J792" i="10"/>
  <c r="F792" i="10" s="1"/>
  <c r="K809" i="10"/>
  <c r="J809" i="10" s="1"/>
  <c r="F809" i="10" s="1"/>
  <c r="F1535" i="10"/>
  <c r="F1536" i="10"/>
  <c r="J1637" i="10"/>
  <c r="J1639" i="10"/>
  <c r="J1653" i="10"/>
  <c r="K1858" i="10"/>
  <c r="K1860" i="10"/>
  <c r="G1860" i="10" s="1"/>
  <c r="E85" i="10"/>
  <c r="F67" i="10"/>
  <c r="E65" i="10"/>
  <c r="E62" i="10"/>
  <c r="E60" i="10"/>
  <c r="F35" i="10"/>
  <c r="E168" i="10"/>
  <c r="E166" i="10"/>
  <c r="E163" i="10"/>
  <c r="E161" i="10"/>
  <c r="E159" i="10"/>
  <c r="E145" i="10"/>
  <c r="E185" i="10"/>
  <c r="E16" i="10"/>
  <c r="J299" i="10"/>
  <c r="J301" i="10"/>
  <c r="J760" i="10"/>
  <c r="F760" i="10" s="1"/>
  <c r="J762" i="10"/>
  <c r="F762" i="10" s="1"/>
  <c r="J780" i="10"/>
  <c r="F780" i="10" s="1"/>
  <c r="J782" i="10"/>
  <c r="F782" i="10" s="1"/>
  <c r="J784" i="10"/>
  <c r="F784" i="10" s="1"/>
  <c r="J787" i="10"/>
  <c r="F787" i="10" s="1"/>
  <c r="K799" i="10"/>
  <c r="G799" i="10" s="1"/>
  <c r="K819" i="10"/>
  <c r="G819" i="10" s="1"/>
  <c r="J841" i="10"/>
  <c r="K1859" i="10"/>
  <c r="J1859" i="10" s="1"/>
  <c r="K1861" i="10"/>
  <c r="K1876" i="10"/>
  <c r="J1876" i="10" s="1"/>
  <c r="K1883" i="10"/>
  <c r="J1883" i="10" s="1"/>
  <c r="E95" i="10"/>
  <c r="E75" i="10"/>
  <c r="E68" i="10"/>
  <c r="E66" i="10"/>
  <c r="F63" i="10"/>
  <c r="E61" i="10"/>
  <c r="F59" i="10"/>
  <c r="E45" i="10"/>
  <c r="E167" i="10"/>
  <c r="E165" i="10"/>
  <c r="E162" i="10"/>
  <c r="E160" i="10"/>
  <c r="E195" i="10"/>
  <c r="F105" i="10"/>
  <c r="E983" i="10"/>
  <c r="E984" i="10"/>
  <c r="E998" i="10"/>
  <c r="F998" i="10"/>
  <c r="E1003" i="10"/>
  <c r="E1007" i="10"/>
  <c r="E1002" i="10"/>
  <c r="F1002" i="10"/>
  <c r="E1004" i="10"/>
  <c r="F1004" i="10"/>
  <c r="E1008" i="10"/>
  <c r="F1008" i="10"/>
  <c r="E1010" i="10"/>
  <c r="F1010" i="10"/>
  <c r="E1005" i="10"/>
  <c r="E1009" i="10"/>
  <c r="K1150" i="10"/>
  <c r="G1150" i="10" s="1"/>
  <c r="E1150" i="10" s="1"/>
  <c r="K315" i="10"/>
  <c r="J315" i="10" s="1"/>
  <c r="K1244" i="10"/>
  <c r="J1230" i="10"/>
  <c r="J1231" i="10"/>
  <c r="K1154" i="10"/>
  <c r="J1154" i="10" s="1"/>
  <c r="F1154" i="10" s="1"/>
  <c r="K1149" i="10"/>
  <c r="G1149" i="10" s="1"/>
  <c r="E1149" i="10" s="1"/>
  <c r="K1153" i="10"/>
  <c r="J1153" i="10" s="1"/>
  <c r="F1153" i="10" s="1"/>
  <c r="G1140" i="10"/>
  <c r="E1140" i="10" s="1"/>
  <c r="J1140" i="10"/>
  <c r="F1140" i="10" s="1"/>
  <c r="K1155" i="10"/>
  <c r="J1155" i="10" s="1"/>
  <c r="F1155" i="10" s="1"/>
  <c r="K1152" i="10"/>
  <c r="K1148" i="10"/>
  <c r="J1148" i="10" s="1"/>
  <c r="F1148" i="10" s="1"/>
  <c r="F110" i="10"/>
  <c r="J1146" i="10"/>
  <c r="F1146" i="10" s="1"/>
  <c r="G1146" i="10"/>
  <c r="E1146" i="10" s="1"/>
  <c r="J1145" i="10"/>
  <c r="F1145" i="10" s="1"/>
  <c r="G1145" i="10"/>
  <c r="E1145" i="10" s="1"/>
  <c r="J1147" i="10"/>
  <c r="F1147" i="10" s="1"/>
  <c r="G1147" i="10"/>
  <c r="E1147" i="10" s="1"/>
  <c r="J1144" i="10"/>
  <c r="F1144" i="10" s="1"/>
  <c r="G1144" i="10"/>
  <c r="E1144" i="10" s="1"/>
  <c r="J1143" i="10"/>
  <c r="F1143" i="10" s="1"/>
  <c r="G1143" i="10"/>
  <c r="E1143" i="10" s="1"/>
  <c r="E100" i="10"/>
  <c r="F108" i="10"/>
  <c r="F106" i="10"/>
  <c r="F103" i="10"/>
  <c r="E101" i="10"/>
  <c r="E102" i="10"/>
  <c r="E109" i="10"/>
  <c r="E107" i="10"/>
  <c r="E105" i="10"/>
  <c r="J351" i="10"/>
  <c r="G351" i="10"/>
  <c r="F16" i="10"/>
  <c r="G1623" i="10"/>
  <c r="G1625" i="10"/>
  <c r="E1625" i="10" s="1"/>
  <c r="G1637" i="10"/>
  <c r="G1639" i="10"/>
  <c r="G1641" i="10"/>
  <c r="G1643" i="10"/>
  <c r="G1645" i="10"/>
  <c r="G1647" i="10"/>
  <c r="E1647" i="10" s="1"/>
  <c r="G1649" i="10"/>
  <c r="E1649" i="10" s="1"/>
  <c r="G1651" i="10"/>
  <c r="E1651" i="10" s="1"/>
  <c r="G1653" i="10"/>
  <c r="G1655" i="10"/>
  <c r="E1655" i="10" s="1"/>
  <c r="G1657" i="10"/>
  <c r="E1657" i="10" s="1"/>
  <c r="G1659" i="10"/>
  <c r="E1659" i="10" s="1"/>
  <c r="F111" i="10"/>
  <c r="F148" i="10"/>
  <c r="E27" i="10"/>
  <c r="E23" i="10"/>
  <c r="F95" i="10"/>
  <c r="F91" i="10"/>
  <c r="E67" i="10"/>
  <c r="E59" i="10"/>
  <c r="E43" i="10"/>
  <c r="E35" i="10"/>
  <c r="F140" i="10"/>
  <c r="F136" i="10"/>
  <c r="F132" i="10"/>
  <c r="F120" i="10"/>
  <c r="F116" i="10"/>
  <c r="F112" i="10"/>
  <c r="F97" i="10"/>
  <c r="F93" i="10"/>
  <c r="E98" i="10"/>
  <c r="E63" i="10"/>
  <c r="E47" i="10"/>
  <c r="E39" i="10"/>
  <c r="E30" i="10"/>
  <c r="F168" i="10"/>
  <c r="F160" i="10"/>
  <c r="F142" i="10"/>
  <c r="F138" i="10"/>
  <c r="F130" i="10"/>
  <c r="F126" i="10"/>
  <c r="F122" i="10"/>
  <c r="F118" i="10"/>
  <c r="F8" i="10"/>
  <c r="J281" i="10"/>
  <c r="G281" i="10"/>
  <c r="J266" i="10"/>
  <c r="G266" i="10"/>
  <c r="J268" i="10"/>
  <c r="G268" i="10"/>
  <c r="J276" i="10"/>
  <c r="G276" i="10"/>
  <c r="J279" i="10"/>
  <c r="G279" i="10"/>
  <c r="J432" i="10"/>
  <c r="G432" i="10"/>
  <c r="J434" i="10"/>
  <c r="G434" i="10"/>
  <c r="J438" i="10"/>
  <c r="G438" i="10"/>
  <c r="J441" i="10"/>
  <c r="G441" i="10"/>
  <c r="J443" i="10"/>
  <c r="G443" i="10"/>
  <c r="J445" i="10"/>
  <c r="G445" i="10"/>
  <c r="J449" i="10"/>
  <c r="G449" i="10"/>
  <c r="J451" i="10"/>
  <c r="G451" i="10"/>
  <c r="J453" i="10"/>
  <c r="G453" i="10"/>
  <c r="J459" i="10"/>
  <c r="J461" i="10"/>
  <c r="J463" i="10"/>
  <c r="J465" i="10"/>
  <c r="J468" i="10"/>
  <c r="J470" i="10"/>
  <c r="J472" i="10"/>
  <c r="J474" i="10"/>
  <c r="G284" i="10"/>
  <c r="F284" i="10" s="1"/>
  <c r="G280" i="10"/>
  <c r="G275" i="10"/>
  <c r="G267" i="10"/>
  <c r="F88" i="10"/>
  <c r="F80" i="10"/>
  <c r="F76" i="10"/>
  <c r="F72" i="10"/>
  <c r="F68" i="10"/>
  <c r="F60" i="10"/>
  <c r="F48" i="10"/>
  <c r="F40" i="10"/>
  <c r="F36" i="10"/>
  <c r="E96" i="10"/>
  <c r="E92" i="10"/>
  <c r="E12" i="10"/>
  <c r="F12" i="10"/>
  <c r="J278" i="10"/>
  <c r="J282" i="10"/>
  <c r="J286" i="10"/>
  <c r="G299" i="10"/>
  <c r="F299" i="10" s="1"/>
  <c r="G301" i="10"/>
  <c r="F301" i="10" s="1"/>
  <c r="G304" i="10"/>
  <c r="F304" i="10" s="1"/>
  <c r="G306" i="10"/>
  <c r="F306" i="10" s="1"/>
  <c r="G309" i="10"/>
  <c r="G311" i="10"/>
  <c r="G317" i="10"/>
  <c r="G320" i="10"/>
  <c r="G322" i="10"/>
  <c r="G324" i="10"/>
  <c r="F324" i="10" s="1"/>
  <c r="G327" i="10"/>
  <c r="G334" i="10"/>
  <c r="G338" i="10"/>
  <c r="G341" i="10"/>
  <c r="G343" i="10"/>
  <c r="G345" i="10"/>
  <c r="G347" i="10"/>
  <c r="G349" i="10"/>
  <c r="G353" i="10"/>
  <c r="G359" i="10"/>
  <c r="G362" i="10"/>
  <c r="G364" i="10"/>
  <c r="G367" i="10"/>
  <c r="F367" i="10" s="1"/>
  <c r="G369" i="10"/>
  <c r="G371" i="10"/>
  <c r="G373" i="10"/>
  <c r="G375" i="10"/>
  <c r="G377" i="10"/>
  <c r="G379" i="10"/>
  <c r="G381" i="10"/>
  <c r="G383" i="10"/>
  <c r="G385" i="10"/>
  <c r="G387" i="10"/>
  <c r="F387" i="10" s="1"/>
  <c r="G389" i="10"/>
  <c r="J402" i="10"/>
  <c r="G402" i="10"/>
  <c r="K408" i="10"/>
  <c r="J408" i="10" s="1"/>
  <c r="G408" i="10"/>
  <c r="J410" i="10"/>
  <c r="G410" i="10"/>
  <c r="J412" i="10"/>
  <c r="G412" i="10"/>
  <c r="J414" i="10"/>
  <c r="G414" i="10"/>
  <c r="K419" i="10"/>
  <c r="J419" i="10" s="1"/>
  <c r="G419" i="10"/>
  <c r="K421" i="10"/>
  <c r="J421" i="10" s="1"/>
  <c r="G421" i="10"/>
  <c r="K423" i="10"/>
  <c r="J423" i="10" s="1"/>
  <c r="G423" i="10"/>
  <c r="E143" i="10"/>
  <c r="F143" i="10"/>
  <c r="E141" i="10"/>
  <c r="F141" i="10"/>
  <c r="E139" i="10"/>
  <c r="F139" i="10"/>
  <c r="E137" i="10"/>
  <c r="F137" i="10"/>
  <c r="E135" i="10"/>
  <c r="F135" i="10"/>
  <c r="E133" i="10"/>
  <c r="F133" i="10"/>
  <c r="E131" i="10"/>
  <c r="F131" i="10"/>
  <c r="E129" i="10"/>
  <c r="F129" i="10"/>
  <c r="E127" i="10"/>
  <c r="F127" i="10"/>
  <c r="E125" i="10"/>
  <c r="F125" i="10"/>
  <c r="E123" i="10"/>
  <c r="F123" i="10"/>
  <c r="E121" i="10"/>
  <c r="F121" i="10"/>
  <c r="E119" i="10"/>
  <c r="F119" i="10"/>
  <c r="E117" i="10"/>
  <c r="F117" i="10"/>
  <c r="E115" i="10"/>
  <c r="F115" i="10"/>
  <c r="E113" i="10"/>
  <c r="F113" i="10"/>
  <c r="F86" i="10"/>
  <c r="F82" i="10"/>
  <c r="F78" i="10"/>
  <c r="F70" i="10"/>
  <c r="F66" i="10"/>
  <c r="F62" i="10"/>
  <c r="F46" i="10"/>
  <c r="F42" i="10"/>
  <c r="F38" i="10"/>
  <c r="E90" i="10"/>
  <c r="F170" i="10"/>
  <c r="F166" i="10"/>
  <c r="F162" i="10"/>
  <c r="F146" i="10"/>
  <c r="F171" i="10"/>
  <c r="E171" i="10"/>
  <c r="F33" i="10"/>
  <c r="F87" i="10"/>
  <c r="F85" i="10"/>
  <c r="F83" i="10"/>
  <c r="F81" i="10"/>
  <c r="F79" i="10"/>
  <c r="F77" i="10"/>
  <c r="F75" i="10"/>
  <c r="F73" i="10"/>
  <c r="F71" i="10"/>
  <c r="F69" i="10"/>
  <c r="F65" i="10"/>
  <c r="F61" i="10"/>
  <c r="F45" i="10"/>
  <c r="F41" i="10"/>
  <c r="F37" i="10"/>
  <c r="E89" i="10"/>
  <c r="F169" i="10"/>
  <c r="F167" i="10"/>
  <c r="F165" i="10"/>
  <c r="F163" i="10"/>
  <c r="F159" i="10"/>
  <c r="F147" i="10"/>
  <c r="F145" i="10"/>
  <c r="E6" i="10"/>
  <c r="F6" i="10"/>
  <c r="F18" i="10"/>
  <c r="F14" i="10"/>
  <c r="F10" i="10"/>
  <c r="E17" i="10"/>
  <c r="E13" i="10"/>
  <c r="E11" i="10"/>
  <c r="E9" i="10"/>
  <c r="E7" i="10"/>
  <c r="G760" i="10"/>
  <c r="G762" i="10"/>
  <c r="G764" i="10"/>
  <c r="E764" i="10" s="1"/>
  <c r="G766" i="10"/>
  <c r="E766" i="10" s="1"/>
  <c r="G769" i="10"/>
  <c r="E769" i="10" s="1"/>
  <c r="G771" i="10"/>
  <c r="E771" i="10" s="1"/>
  <c r="G773" i="10"/>
  <c r="E773" i="10" s="1"/>
  <c r="G775" i="10"/>
  <c r="E775" i="10" s="1"/>
  <c r="G777" i="10"/>
  <c r="E777" i="10" s="1"/>
  <c r="G780" i="10"/>
  <c r="G782" i="10"/>
  <c r="G784" i="10"/>
  <c r="G787" i="10"/>
  <c r="G792" i="10"/>
  <c r="G794" i="10"/>
  <c r="E794" i="10" s="1"/>
  <c r="G797" i="10"/>
  <c r="E797" i="10" s="1"/>
  <c r="G801" i="10"/>
  <c r="E801" i="10" s="1"/>
  <c r="G804" i="10"/>
  <c r="E804" i="10" s="1"/>
  <c r="G806" i="10"/>
  <c r="E806" i="10" s="1"/>
  <c r="G811" i="10"/>
  <c r="E811" i="10" s="1"/>
  <c r="G815" i="10"/>
  <c r="E815" i="10" s="1"/>
  <c r="G821" i="10"/>
  <c r="E821" i="10" s="1"/>
  <c r="G822" i="10"/>
  <c r="E822" i="10" s="1"/>
  <c r="G825" i="10"/>
  <c r="E825" i="10" s="1"/>
  <c r="E833" i="10"/>
  <c r="E835" i="10"/>
  <c r="E837" i="10"/>
  <c r="E839" i="10"/>
  <c r="E841" i="10"/>
  <c r="E843" i="10"/>
  <c r="J478" i="10"/>
  <c r="J481" i="10"/>
  <c r="J483" i="10"/>
  <c r="J487" i="10"/>
  <c r="J489" i="10"/>
  <c r="J501" i="10"/>
  <c r="J503" i="10"/>
  <c r="J855" i="10"/>
  <c r="E855" i="10"/>
  <c r="J858" i="10"/>
  <c r="E858" i="10"/>
  <c r="J862" i="10"/>
  <c r="E862" i="10"/>
  <c r="J864" i="10"/>
  <c r="E864" i="10"/>
  <c r="J867" i="10"/>
  <c r="J869" i="10"/>
  <c r="J871" i="10"/>
  <c r="J873" i="10"/>
  <c r="J875" i="10"/>
  <c r="J877" i="10"/>
  <c r="J1337" i="10"/>
  <c r="J1339" i="10"/>
  <c r="J1341" i="10"/>
  <c r="J1343" i="10"/>
  <c r="J1345" i="10"/>
  <c r="J1347" i="10"/>
  <c r="J1349" i="10"/>
  <c r="J1011" i="10"/>
  <c r="J1012" i="10"/>
  <c r="J1015" i="10"/>
  <c r="J1033" i="10"/>
  <c r="F1033" i="10" s="1"/>
  <c r="G1033" i="10"/>
  <c r="E1033" i="10" s="1"/>
  <c r="J1034" i="10"/>
  <c r="F1034" i="10" s="1"/>
  <c r="G1034" i="10"/>
  <c r="E1034" i="10" s="1"/>
  <c r="J1037" i="10"/>
  <c r="F1037" i="10" s="1"/>
  <c r="G1037" i="10"/>
  <c r="E1037" i="10" s="1"/>
  <c r="J1038" i="10"/>
  <c r="F1038" i="10" s="1"/>
  <c r="G1038" i="10"/>
  <c r="E1038" i="10" s="1"/>
  <c r="J1664" i="10"/>
  <c r="F1664" i="10" s="1"/>
  <c r="G1664" i="10"/>
  <c r="E1664" i="10" s="1"/>
  <c r="J1666" i="10"/>
  <c r="F1666" i="10" s="1"/>
  <c r="G1666" i="10"/>
  <c r="E1666" i="10" s="1"/>
  <c r="J1668" i="10"/>
  <c r="F1668" i="10" s="1"/>
  <c r="G1668" i="10"/>
  <c r="E1668" i="10" s="1"/>
  <c r="J1670" i="10"/>
  <c r="F1670" i="10" s="1"/>
  <c r="G1670" i="10"/>
  <c r="E1670" i="10" s="1"/>
  <c r="J1674" i="10"/>
  <c r="F1674" i="10" s="1"/>
  <c r="G1674" i="10"/>
  <c r="E1674" i="10" s="1"/>
  <c r="J1676" i="10"/>
  <c r="F1676" i="10" s="1"/>
  <c r="G1676" i="10"/>
  <c r="E1676" i="10" s="1"/>
  <c r="J285" i="10"/>
  <c r="E285" i="10"/>
  <c r="J287" i="10"/>
  <c r="E287" i="10"/>
  <c r="J298" i="10"/>
  <c r="G298" i="10"/>
  <c r="J300" i="10"/>
  <c r="G300" i="10"/>
  <c r="J305" i="10"/>
  <c r="G305" i="10"/>
  <c r="F305" i="10" s="1"/>
  <c r="J308" i="10"/>
  <c r="G308" i="10"/>
  <c r="J310" i="10"/>
  <c r="G310" i="10"/>
  <c r="J312" i="10"/>
  <c r="G312" i="10"/>
  <c r="J314" i="10"/>
  <c r="G314" i="10"/>
  <c r="F314" i="10" s="1"/>
  <c r="J316" i="10"/>
  <c r="E316" i="10"/>
  <c r="J318" i="10"/>
  <c r="G318" i="10"/>
  <c r="J321" i="10"/>
  <c r="G321" i="10"/>
  <c r="J326" i="10"/>
  <c r="G326" i="10"/>
  <c r="J335" i="10"/>
  <c r="G335" i="10"/>
  <c r="J337" i="10"/>
  <c r="G337" i="10"/>
  <c r="F337" i="10" s="1"/>
  <c r="J339" i="10"/>
  <c r="G339" i="10"/>
  <c r="J342" i="10"/>
  <c r="G342" i="10"/>
  <c r="J344" i="10"/>
  <c r="G344" i="10"/>
  <c r="J348" i="10"/>
  <c r="G348" i="10"/>
  <c r="J350" i="10"/>
  <c r="G350" i="10"/>
  <c r="J354" i="10"/>
  <c r="G354" i="10"/>
  <c r="J358" i="10"/>
  <c r="G358" i="10"/>
  <c r="J360" i="10"/>
  <c r="G360" i="10"/>
  <c r="J363" i="10"/>
  <c r="G363" i="10"/>
  <c r="J368" i="10"/>
  <c r="G368" i="10"/>
  <c r="J370" i="10"/>
  <c r="G370" i="10"/>
  <c r="J372" i="10"/>
  <c r="G372" i="10"/>
  <c r="J374" i="10"/>
  <c r="G374" i="10"/>
  <c r="J378" i="10"/>
  <c r="G378" i="10"/>
  <c r="J380" i="10"/>
  <c r="G380" i="10"/>
  <c r="J382" i="10"/>
  <c r="G382" i="10"/>
  <c r="J384" i="10"/>
  <c r="G384" i="10"/>
  <c r="J388" i="10"/>
  <c r="G388" i="10"/>
  <c r="J390" i="10"/>
  <c r="G390" i="10"/>
  <c r="J401" i="10"/>
  <c r="G401" i="10"/>
  <c r="F401" i="10" s="1"/>
  <c r="J403" i="10"/>
  <c r="G403" i="10"/>
  <c r="F403" i="10" s="1"/>
  <c r="K407" i="10"/>
  <c r="G407" i="10"/>
  <c r="F407" i="10" s="1"/>
  <c r="J409" i="10"/>
  <c r="G409" i="10"/>
  <c r="J411" i="10"/>
  <c r="G411" i="10"/>
  <c r="J413" i="10"/>
  <c r="G413" i="10"/>
  <c r="J415" i="10"/>
  <c r="G415" i="10"/>
  <c r="J417" i="10"/>
  <c r="G417" i="10"/>
  <c r="F417" i="10" s="1"/>
  <c r="K420" i="10"/>
  <c r="J420" i="10" s="1"/>
  <c r="G420" i="10"/>
  <c r="K422" i="10"/>
  <c r="J422" i="10" s="1"/>
  <c r="G422" i="10"/>
  <c r="J424" i="10"/>
  <c r="G424" i="10"/>
  <c r="J431" i="10"/>
  <c r="G431" i="10"/>
  <c r="J433" i="10"/>
  <c r="G433" i="10"/>
  <c r="J435" i="10"/>
  <c r="G435" i="10"/>
  <c r="J437" i="10"/>
  <c r="G437" i="10"/>
  <c r="F437" i="10" s="1"/>
  <c r="J440" i="10"/>
  <c r="G440" i="10"/>
  <c r="J442" i="10"/>
  <c r="G442" i="10"/>
  <c r="J444" i="10"/>
  <c r="G444" i="10"/>
  <c r="J448" i="10"/>
  <c r="G448" i="10"/>
  <c r="J450" i="10"/>
  <c r="G450" i="10"/>
  <c r="J452" i="10"/>
  <c r="G452" i="10"/>
  <c r="J455" i="10"/>
  <c r="J458" i="10"/>
  <c r="J460" i="10"/>
  <c r="J462" i="10"/>
  <c r="J464" i="10"/>
  <c r="J467" i="10"/>
  <c r="J469" i="10"/>
  <c r="J471" i="10"/>
  <c r="J473" i="10"/>
  <c r="J475" i="10"/>
  <c r="J477" i="10"/>
  <c r="J480" i="10"/>
  <c r="J482" i="10"/>
  <c r="J488" i="10"/>
  <c r="J490" i="10"/>
  <c r="J502" i="10"/>
  <c r="J761" i="10"/>
  <c r="F761" i="10" s="1"/>
  <c r="G761" i="10"/>
  <c r="J763" i="10"/>
  <c r="F763" i="10" s="1"/>
  <c r="G763" i="10"/>
  <c r="E763" i="10" s="1"/>
  <c r="J765" i="10"/>
  <c r="F765" i="10" s="1"/>
  <c r="G765" i="10"/>
  <c r="E765" i="10" s="1"/>
  <c r="J767" i="10"/>
  <c r="F767" i="10" s="1"/>
  <c r="G767" i="10"/>
  <c r="E767" i="10" s="1"/>
  <c r="J770" i="10"/>
  <c r="F770" i="10" s="1"/>
  <c r="G770" i="10"/>
  <c r="E770" i="10" s="1"/>
  <c r="J772" i="10"/>
  <c r="F772" i="10" s="1"/>
  <c r="G772" i="10"/>
  <c r="E772" i="10" s="1"/>
  <c r="J774" i="10"/>
  <c r="F774" i="10" s="1"/>
  <c r="G774" i="10"/>
  <c r="E774" i="10" s="1"/>
  <c r="J776" i="10"/>
  <c r="F776" i="10" s="1"/>
  <c r="G776" i="10"/>
  <c r="E776" i="10" s="1"/>
  <c r="J779" i="10"/>
  <c r="F779" i="10" s="1"/>
  <c r="G779" i="10"/>
  <c r="J781" i="10"/>
  <c r="F781" i="10" s="1"/>
  <c r="G781" i="10"/>
  <c r="J783" i="10"/>
  <c r="F783" i="10" s="1"/>
  <c r="G783" i="10"/>
  <c r="J786" i="10"/>
  <c r="F786" i="10" s="1"/>
  <c r="G786" i="10"/>
  <c r="E786" i="10" s="1"/>
  <c r="J791" i="10"/>
  <c r="F791" i="10" s="1"/>
  <c r="G791" i="10"/>
  <c r="J793" i="10"/>
  <c r="F793" i="10" s="1"/>
  <c r="G793" i="10"/>
  <c r="E793" i="10" s="1"/>
  <c r="J795" i="10"/>
  <c r="F795" i="10" s="1"/>
  <c r="G795" i="10"/>
  <c r="E795" i="10" s="1"/>
  <c r="J800" i="10"/>
  <c r="F800" i="10" s="1"/>
  <c r="G800" i="10"/>
  <c r="E800" i="10" s="1"/>
  <c r="J803" i="10"/>
  <c r="F803" i="10" s="1"/>
  <c r="E803" i="10"/>
  <c r="J805" i="10"/>
  <c r="F805" i="10" s="1"/>
  <c r="G805" i="10"/>
  <c r="E805" i="10" s="1"/>
  <c r="J807" i="10"/>
  <c r="F807" i="10" s="1"/>
  <c r="G807" i="10"/>
  <c r="E807" i="10" s="1"/>
  <c r="J813" i="10"/>
  <c r="F813" i="10" s="1"/>
  <c r="G813" i="10"/>
  <c r="E813" i="10" s="1"/>
  <c r="J816" i="10"/>
  <c r="F816" i="10" s="1"/>
  <c r="G816" i="10"/>
  <c r="E816" i="10" s="1"/>
  <c r="J1035" i="10"/>
  <c r="F1035" i="10" s="1"/>
  <c r="G1035" i="10"/>
  <c r="E1035" i="10" s="1"/>
  <c r="J1661" i="10"/>
  <c r="F1661" i="10" s="1"/>
  <c r="G1661" i="10"/>
  <c r="E1661" i="10" s="1"/>
  <c r="J1663" i="10"/>
  <c r="G1663" i="10"/>
  <c r="J1665" i="10"/>
  <c r="F1665" i="10" s="1"/>
  <c r="G1665" i="10"/>
  <c r="E1665" i="10" s="1"/>
  <c r="J1667" i="10"/>
  <c r="F1667" i="10" s="1"/>
  <c r="G1667" i="10"/>
  <c r="E1667" i="10" s="1"/>
  <c r="J1669" i="10"/>
  <c r="F1669" i="10" s="1"/>
  <c r="G1669" i="10"/>
  <c r="E1669" i="10" s="1"/>
  <c r="J1671" i="10"/>
  <c r="F1671" i="10" s="1"/>
  <c r="G1671" i="10"/>
  <c r="E1671" i="10" s="1"/>
  <c r="J1673" i="10"/>
  <c r="F1673" i="10" s="1"/>
  <c r="G1673" i="10"/>
  <c r="J1675" i="10"/>
  <c r="F1675" i="10" s="1"/>
  <c r="G1675" i="10"/>
  <c r="E1675" i="10" s="1"/>
  <c r="J1013" i="10"/>
  <c r="J1014" i="10"/>
  <c r="J823" i="10"/>
  <c r="F823" i="10" s="1"/>
  <c r="G823" i="10"/>
  <c r="E823" i="10" s="1"/>
  <c r="J829" i="10"/>
  <c r="J831" i="10"/>
  <c r="J834" i="10"/>
  <c r="E834" i="10"/>
  <c r="J836" i="10"/>
  <c r="E836" i="10"/>
  <c r="J838" i="10"/>
  <c r="E838" i="10"/>
  <c r="J842" i="10"/>
  <c r="E842" i="10"/>
  <c r="J844" i="10"/>
  <c r="E844" i="10"/>
  <c r="J857" i="10"/>
  <c r="E857" i="10"/>
  <c r="J859" i="10"/>
  <c r="E859" i="10"/>
  <c r="J861" i="10"/>
  <c r="E861" i="10"/>
  <c r="J863" i="10"/>
  <c r="E863" i="10"/>
  <c r="J866" i="10"/>
  <c r="J868" i="10"/>
  <c r="J872" i="10"/>
  <c r="J874" i="10"/>
  <c r="J876" i="10"/>
  <c r="J1017" i="10"/>
  <c r="J1032" i="10"/>
  <c r="F1032" i="10" s="1"/>
  <c r="G1032" i="10"/>
  <c r="E1032" i="10" s="1"/>
  <c r="J1624" i="10"/>
  <c r="F1624" i="10" s="1"/>
  <c r="G1624" i="10"/>
  <c r="E1624" i="10" s="1"/>
  <c r="J1626" i="10"/>
  <c r="F1626" i="10" s="1"/>
  <c r="G1626" i="10"/>
  <c r="E1626" i="10" s="1"/>
  <c r="J1638" i="10"/>
  <c r="G1638" i="10"/>
  <c r="J1640" i="10"/>
  <c r="G1640" i="10"/>
  <c r="J1644" i="10"/>
  <c r="F1644" i="10" s="1"/>
  <c r="G1644" i="10"/>
  <c r="J1646" i="10"/>
  <c r="F1646" i="10" s="1"/>
  <c r="G1646" i="10"/>
  <c r="J1648" i="10"/>
  <c r="F1648" i="10" s="1"/>
  <c r="G1648" i="10"/>
  <c r="E1648" i="10" s="1"/>
  <c r="J1650" i="10"/>
  <c r="F1650" i="10" s="1"/>
  <c r="G1650" i="10"/>
  <c r="E1650" i="10" s="1"/>
  <c r="J1654" i="10"/>
  <c r="F1654" i="10" s="1"/>
  <c r="G1654" i="10"/>
  <c r="E1654" i="10" s="1"/>
  <c r="J1656" i="10"/>
  <c r="F1656" i="10" s="1"/>
  <c r="G1656" i="10"/>
  <c r="E1656" i="10" s="1"/>
  <c r="J1658" i="10"/>
  <c r="F1658" i="10" s="1"/>
  <c r="G1658" i="10"/>
  <c r="E1658" i="10" s="1"/>
  <c r="J1660" i="10"/>
  <c r="F1660" i="10" s="1"/>
  <c r="G1660" i="10"/>
  <c r="E1660" i="10" s="1"/>
  <c r="J10" i="10"/>
  <c r="J27" i="10"/>
  <c r="J6" i="10"/>
  <c r="J14" i="10"/>
  <c r="J8" i="10"/>
  <c r="J12" i="10"/>
  <c r="J23" i="10"/>
  <c r="J9" i="10"/>
  <c r="J11" i="10"/>
  <c r="J13" i="10"/>
  <c r="J18" i="10"/>
  <c r="J25" i="10"/>
  <c r="F25" i="10" s="1"/>
  <c r="G25" i="10"/>
  <c r="E25" i="10" s="1"/>
  <c r="J883" i="10"/>
  <c r="J887" i="10"/>
  <c r="J891" i="10"/>
  <c r="J896" i="10"/>
  <c r="J904" i="10"/>
  <c r="J908" i="10"/>
  <c r="J912" i="10"/>
  <c r="J916" i="10"/>
  <c r="J921" i="10"/>
  <c r="J925" i="10"/>
  <c r="J929" i="10"/>
  <c r="J933" i="10"/>
  <c r="J937" i="10"/>
  <c r="J7" i="10"/>
  <c r="J30" i="10"/>
  <c r="J885" i="10"/>
  <c r="J889" i="10"/>
  <c r="J893" i="10"/>
  <c r="J898" i="10"/>
  <c r="J902" i="10"/>
  <c r="J906" i="10"/>
  <c r="J914" i="10"/>
  <c r="J919" i="10"/>
  <c r="J923" i="10"/>
  <c r="J927" i="10"/>
  <c r="J931" i="10"/>
  <c r="J935" i="10"/>
  <c r="J881" i="10"/>
  <c r="J884" i="10"/>
  <c r="J886" i="10"/>
  <c r="J892" i="10"/>
  <c r="J895" i="10"/>
  <c r="J897" i="10"/>
  <c r="J899" i="10"/>
  <c r="J903" i="10"/>
  <c r="J905" i="10"/>
  <c r="J907" i="10"/>
  <c r="J909" i="10"/>
  <c r="J913" i="10"/>
  <c r="J915" i="10"/>
  <c r="J918" i="10"/>
  <c r="J926" i="10"/>
  <c r="J934" i="10"/>
  <c r="J938" i="10"/>
  <c r="J977" i="10"/>
  <c r="E977" i="10"/>
  <c r="J981" i="10"/>
  <c r="E981" i="10"/>
  <c r="J1342" i="10"/>
  <c r="J1346" i="10"/>
  <c r="J1353" i="10"/>
  <c r="J1355" i="10"/>
  <c r="J1356" i="10"/>
  <c r="J1360" i="10"/>
  <c r="J1362" i="10"/>
  <c r="J1364" i="10"/>
  <c r="J1367" i="10"/>
  <c r="J1371" i="10"/>
  <c r="J1374" i="10"/>
  <c r="J1377" i="10"/>
  <c r="J1379" i="10"/>
  <c r="J1380" i="10"/>
  <c r="J1382" i="10"/>
  <c r="J1384" i="10"/>
  <c r="J1385" i="10"/>
  <c r="J1387" i="10"/>
  <c r="J1390" i="10"/>
  <c r="J1393" i="10"/>
  <c r="J1395" i="10"/>
  <c r="F1395" i="10" s="1"/>
  <c r="G1395" i="10"/>
  <c r="E1395" i="10" s="1"/>
  <c r="J1397" i="10"/>
  <c r="F1397" i="10" s="1"/>
  <c r="G1397" i="10"/>
  <c r="E1397" i="10" s="1"/>
  <c r="J1399" i="10"/>
  <c r="F1399" i="10" s="1"/>
  <c r="G1399" i="10"/>
  <c r="E1399" i="10" s="1"/>
  <c r="J1401" i="10"/>
  <c r="F1401" i="10" s="1"/>
  <c r="G1401" i="10"/>
  <c r="E1401" i="10" s="1"/>
  <c r="J1403" i="10"/>
  <c r="F1403" i="10" s="1"/>
  <c r="G1403" i="10"/>
  <c r="E1403" i="10" s="1"/>
  <c r="J1405" i="10"/>
  <c r="F1405" i="10" s="1"/>
  <c r="G1405" i="10"/>
  <c r="E1405" i="10" s="1"/>
  <c r="J1406" i="10"/>
  <c r="F1406" i="10" s="1"/>
  <c r="G1406" i="10"/>
  <c r="E1406" i="10" s="1"/>
  <c r="J1407" i="10"/>
  <c r="F1407" i="10" s="1"/>
  <c r="G1407" i="10"/>
  <c r="E1407" i="10" s="1"/>
  <c r="J1409" i="10"/>
  <c r="G1409" i="10"/>
  <c r="J1411" i="10"/>
  <c r="F1411" i="10" s="1"/>
  <c r="G1411" i="10"/>
  <c r="E1411" i="10" s="1"/>
  <c r="J1413" i="10"/>
  <c r="F1413" i="10" s="1"/>
  <c r="G1413" i="10"/>
  <c r="E1413" i="10" s="1"/>
  <c r="J1415" i="10"/>
  <c r="F1415" i="10" s="1"/>
  <c r="G1415" i="10"/>
  <c r="E1415" i="10" s="1"/>
  <c r="J1417" i="10"/>
  <c r="F1417" i="10" s="1"/>
  <c r="G1417" i="10"/>
  <c r="E1417" i="10" s="1"/>
  <c r="J1419" i="10"/>
  <c r="G1419" i="10"/>
  <c r="J1436" i="10"/>
  <c r="G1436" i="10"/>
  <c r="J1444" i="10"/>
  <c r="F1444" i="10" s="1"/>
  <c r="G1444" i="10"/>
  <c r="E1444" i="10" s="1"/>
  <c r="J1446" i="10"/>
  <c r="F1446" i="10" s="1"/>
  <c r="G1446" i="10"/>
  <c r="E1446" i="10" s="1"/>
  <c r="J1453" i="10"/>
  <c r="F1453" i="10" s="1"/>
  <c r="G1453" i="10"/>
  <c r="E1453" i="10" s="1"/>
  <c r="J1459" i="10"/>
  <c r="F1459" i="10" s="1"/>
  <c r="G1459" i="10"/>
  <c r="E1459" i="10" s="1"/>
  <c r="J1461" i="10"/>
  <c r="G1461" i="10"/>
  <c r="J1465" i="10"/>
  <c r="F1465" i="10" s="1"/>
  <c r="G1465" i="10"/>
  <c r="E1465" i="10" s="1"/>
  <c r="J888" i="10"/>
  <c r="J901" i="10"/>
  <c r="J911" i="10"/>
  <c r="J922" i="10"/>
  <c r="J924" i="10"/>
  <c r="J928" i="10"/>
  <c r="J932" i="10"/>
  <c r="J936" i="10"/>
  <c r="J972" i="10"/>
  <c r="J990" i="10"/>
  <c r="F990" i="10" s="1"/>
  <c r="G990" i="10"/>
  <c r="E990" i="10" s="1"/>
  <c r="J1336" i="10"/>
  <c r="J1340" i="10"/>
  <c r="J1344" i="10"/>
  <c r="J1350" i="10"/>
  <c r="J1352" i="10"/>
  <c r="J1354" i="10"/>
  <c r="J1357" i="10"/>
  <c r="J1359" i="10"/>
  <c r="J1361" i="10"/>
  <c r="J1363" i="10"/>
  <c r="J1366" i="10"/>
  <c r="J1369" i="10"/>
  <c r="J1372" i="10"/>
  <c r="J1375" i="10"/>
  <c r="J1376" i="10"/>
  <c r="J1381" i="10"/>
  <c r="J1383" i="10"/>
  <c r="J1386" i="10"/>
  <c r="J1389" i="10"/>
  <c r="J1391" i="10"/>
  <c r="J1392" i="10"/>
  <c r="J1396" i="10"/>
  <c r="F1396" i="10" s="1"/>
  <c r="G1396" i="10"/>
  <c r="E1396" i="10" s="1"/>
  <c r="J1400" i="10"/>
  <c r="F1400" i="10" s="1"/>
  <c r="G1400" i="10"/>
  <c r="E1400" i="10" s="1"/>
  <c r="J1402" i="10"/>
  <c r="F1402" i="10" s="1"/>
  <c r="G1402" i="10"/>
  <c r="E1402" i="10" s="1"/>
  <c r="J1404" i="10"/>
  <c r="F1404" i="10" s="1"/>
  <c r="G1404" i="10"/>
  <c r="E1404" i="10" s="1"/>
  <c r="J1410" i="10"/>
  <c r="F1410" i="10" s="1"/>
  <c r="G1410" i="10"/>
  <c r="E1410" i="10" s="1"/>
  <c r="J1412" i="10"/>
  <c r="F1412" i="10" s="1"/>
  <c r="G1412" i="10"/>
  <c r="E1412" i="10" s="1"/>
  <c r="J1414" i="10"/>
  <c r="F1414" i="10" s="1"/>
  <c r="G1414" i="10"/>
  <c r="E1414" i="10" s="1"/>
  <c r="J1416" i="10"/>
  <c r="F1416" i="10" s="1"/>
  <c r="G1416" i="10"/>
  <c r="E1416" i="10" s="1"/>
  <c r="J1420" i="10"/>
  <c r="F1420" i="10" s="1"/>
  <c r="G1420" i="10"/>
  <c r="E1420" i="10" s="1"/>
  <c r="J1421" i="10"/>
  <c r="F1421" i="10" s="1"/>
  <c r="G1421" i="10"/>
  <c r="E1421" i="10" s="1"/>
  <c r="J1422" i="10"/>
  <c r="F1422" i="10" s="1"/>
  <c r="G1422" i="10"/>
  <c r="E1422" i="10" s="1"/>
  <c r="J1434" i="10"/>
  <c r="F1434" i="10" s="1"/>
  <c r="G1434" i="10"/>
  <c r="E1434" i="10" s="1"/>
  <c r="J1440" i="10"/>
  <c r="F1440" i="10" s="1"/>
  <c r="G1440" i="10"/>
  <c r="E1440" i="10" s="1"/>
  <c r="J1445" i="10"/>
  <c r="F1445" i="10" s="1"/>
  <c r="G1445" i="10"/>
  <c r="E1445" i="10" s="1"/>
  <c r="J1447" i="10"/>
  <c r="F1447" i="10" s="1"/>
  <c r="G1447" i="10"/>
  <c r="E1447" i="10" s="1"/>
  <c r="J1449" i="10"/>
  <c r="G1449" i="10"/>
  <c r="J1455" i="10"/>
  <c r="F1455" i="10" s="1"/>
  <c r="G1455" i="10"/>
  <c r="E1455" i="10" s="1"/>
  <c r="J1457" i="10"/>
  <c r="F1457" i="10" s="1"/>
  <c r="G1457" i="10"/>
  <c r="E1457" i="10" s="1"/>
  <c r="J1463" i="10"/>
  <c r="F1463" i="10" s="1"/>
  <c r="G1463" i="10"/>
  <c r="E1463" i="10" s="1"/>
  <c r="J1467" i="10"/>
  <c r="F1467" i="10" s="1"/>
  <c r="G1467" i="10"/>
  <c r="E1467" i="10" s="1"/>
  <c r="J971" i="10"/>
  <c r="J973" i="10"/>
  <c r="J979" i="10"/>
  <c r="E979" i="10"/>
  <c r="J988" i="10"/>
  <c r="F988" i="10" s="1"/>
  <c r="G988" i="10"/>
  <c r="E988" i="10" s="1"/>
  <c r="J992" i="10"/>
  <c r="F992" i="10" s="1"/>
  <c r="G992" i="10"/>
  <c r="E992" i="10" s="1"/>
  <c r="J1042" i="10"/>
  <c r="F1042" i="10" s="1"/>
  <c r="G1042" i="10"/>
  <c r="E1042" i="10" s="1"/>
  <c r="J1043" i="10"/>
  <c r="F1043" i="10" s="1"/>
  <c r="G1043" i="10"/>
  <c r="E1043" i="10" s="1"/>
  <c r="J1044" i="10"/>
  <c r="F1044" i="10" s="1"/>
  <c r="G1044" i="10"/>
  <c r="E1044" i="10" s="1"/>
  <c r="J1045" i="10"/>
  <c r="F1045" i="10" s="1"/>
  <c r="G1045" i="10"/>
  <c r="E1045" i="10" s="1"/>
  <c r="J1047" i="10"/>
  <c r="G1047" i="10"/>
  <c r="J1048" i="10"/>
  <c r="F1048" i="10" s="1"/>
  <c r="G1048" i="10"/>
  <c r="E1048" i="10" s="1"/>
  <c r="J1049" i="10"/>
  <c r="F1049" i="10" s="1"/>
  <c r="G1049" i="10"/>
  <c r="E1049" i="10" s="1"/>
  <c r="J1050" i="10"/>
  <c r="F1050" i="10" s="1"/>
  <c r="G1050" i="10"/>
  <c r="E1050" i="10" s="1"/>
  <c r="J1061" i="10"/>
  <c r="F1061" i="10" s="1"/>
  <c r="G1061" i="10"/>
  <c r="J1062" i="10"/>
  <c r="F1062" i="10" s="1"/>
  <c r="G1062" i="10"/>
  <c r="E1062" i="10" s="1"/>
  <c r="J1063" i="10"/>
  <c r="F1063" i="10" s="1"/>
  <c r="G1063" i="10"/>
  <c r="E1063" i="10" s="1"/>
  <c r="J1064" i="10"/>
  <c r="F1064" i="10" s="1"/>
  <c r="G1064" i="10"/>
  <c r="J1065" i="10"/>
  <c r="F1065" i="10" s="1"/>
  <c r="G1065" i="10"/>
  <c r="J1067" i="10"/>
  <c r="F1067" i="10" s="1"/>
  <c r="G1067" i="10"/>
  <c r="J1069" i="10"/>
  <c r="G1069" i="10"/>
  <c r="J1070" i="10"/>
  <c r="G1070" i="10"/>
  <c r="J1071" i="10"/>
  <c r="F1071" i="10" s="1"/>
  <c r="G1071" i="10"/>
  <c r="E1071" i="10" s="1"/>
  <c r="J1072" i="10"/>
  <c r="F1072" i="10" s="1"/>
  <c r="G1072" i="10"/>
  <c r="E1072" i="10" s="1"/>
  <c r="J1073" i="10"/>
  <c r="F1073" i="10" s="1"/>
  <c r="G1073" i="10"/>
  <c r="E1073" i="10" s="1"/>
  <c r="J1074" i="10"/>
  <c r="F1074" i="10" s="1"/>
  <c r="G1074" i="10"/>
  <c r="E1074" i="10" s="1"/>
  <c r="J1075" i="10"/>
  <c r="F1075" i="10" s="1"/>
  <c r="G1075" i="10"/>
  <c r="E1075" i="10" s="1"/>
  <c r="J1077" i="10"/>
  <c r="G1077" i="10"/>
  <c r="F1077" i="10" s="1"/>
  <c r="J1142" i="10"/>
  <c r="F1142" i="10" s="1"/>
  <c r="E1142" i="10"/>
  <c r="J1205" i="10"/>
  <c r="J1206" i="10"/>
  <c r="J1207" i="10"/>
  <c r="J1208" i="10"/>
  <c r="J1209" i="10"/>
  <c r="J1210" i="10"/>
  <c r="J1211" i="10"/>
  <c r="J1212" i="10"/>
  <c r="J1214" i="10"/>
  <c r="J1215" i="10"/>
  <c r="J1216" i="10"/>
  <c r="J1217" i="10"/>
  <c r="J1228" i="10"/>
  <c r="J1229" i="10"/>
  <c r="J1234" i="10"/>
  <c r="J1235" i="10"/>
  <c r="J1236" i="10"/>
  <c r="J1237" i="10"/>
  <c r="J1238" i="10"/>
  <c r="J1239" i="10"/>
  <c r="J1240" i="10"/>
  <c r="J1241" i="10"/>
  <c r="J1242" i="10"/>
  <c r="J1245" i="10"/>
  <c r="J1246" i="10"/>
  <c r="J1247" i="10"/>
  <c r="J1248" i="10"/>
  <c r="J1249" i="10"/>
  <c r="J1250" i="10"/>
  <c r="J1251" i="10"/>
  <c r="J1252" i="10"/>
  <c r="J1254" i="10"/>
  <c r="J1255" i="10"/>
  <c r="J1256" i="10"/>
  <c r="J1257" i="10"/>
  <c r="J1264" i="10"/>
  <c r="J1265" i="10"/>
  <c r="J1266" i="10"/>
  <c r="J1267" i="10"/>
  <c r="J1269" i="10"/>
  <c r="J1270" i="10"/>
  <c r="J1271" i="10"/>
  <c r="J1272" i="10"/>
  <c r="J1273" i="10"/>
  <c r="J1274" i="10"/>
  <c r="J1275" i="10"/>
  <c r="J1276" i="10"/>
  <c r="J1277" i="10"/>
  <c r="J1279" i="10"/>
  <c r="J1280" i="10"/>
  <c r="J1281" i="10"/>
  <c r="J1282" i="10"/>
  <c r="J1283" i="10"/>
  <c r="J1284" i="10"/>
  <c r="J1285" i="10"/>
  <c r="J1286" i="10"/>
  <c r="J1287" i="10"/>
  <c r="J1290" i="10"/>
  <c r="J1291" i="10"/>
  <c r="J1292" i="10"/>
  <c r="J1293" i="10"/>
  <c r="J1294" i="10"/>
  <c r="J1295" i="10"/>
  <c r="J1296" i="10"/>
  <c r="J1297" i="10"/>
  <c r="J1299" i="10"/>
  <c r="J1300" i="10"/>
  <c r="J1301" i="10"/>
  <c r="J1302" i="10"/>
  <c r="J1303" i="10"/>
  <c r="J1304" i="10"/>
  <c r="J1305" i="10"/>
  <c r="J1306" i="10"/>
  <c r="J1307" i="10"/>
  <c r="J1309" i="10"/>
  <c r="J1310" i="10"/>
  <c r="J1311" i="10"/>
  <c r="J1312" i="10"/>
  <c r="J1313" i="10"/>
  <c r="J1314" i="10"/>
  <c r="J1316" i="10"/>
  <c r="J1317" i="10"/>
  <c r="J1321" i="10"/>
  <c r="J1322" i="10"/>
  <c r="J1435" i="10"/>
  <c r="G1435" i="10"/>
  <c r="J1437" i="10"/>
  <c r="G1437" i="10"/>
  <c r="J1439" i="10"/>
  <c r="F1439" i="10" s="1"/>
  <c r="G1439" i="10"/>
  <c r="E1439" i="10" s="1"/>
  <c r="J1441" i="10"/>
  <c r="G1441" i="10"/>
  <c r="J1454" i="10"/>
  <c r="F1454" i="10" s="1"/>
  <c r="G1454" i="10"/>
  <c r="E1454" i="10" s="1"/>
  <c r="J1456" i="10"/>
  <c r="F1456" i="10" s="1"/>
  <c r="G1456" i="10"/>
  <c r="E1456" i="10" s="1"/>
  <c r="J1458" i="10"/>
  <c r="F1458" i="10" s="1"/>
  <c r="G1458" i="10"/>
  <c r="E1458" i="10" s="1"/>
  <c r="J1462" i="10"/>
  <c r="F1462" i="10" s="1"/>
  <c r="G1462" i="10"/>
  <c r="E1462" i="10" s="1"/>
  <c r="J1464" i="10"/>
  <c r="F1464" i="10" s="1"/>
  <c r="G1464" i="10"/>
  <c r="E1464" i="10" s="1"/>
  <c r="J1466" i="10"/>
  <c r="F1466" i="10" s="1"/>
  <c r="G1466" i="10"/>
  <c r="E1466" i="10" s="1"/>
  <c r="J1468" i="10"/>
  <c r="F1468" i="10" s="1"/>
  <c r="G1468" i="10"/>
  <c r="E1468" i="10" s="1"/>
  <c r="J1472" i="10"/>
  <c r="F1472" i="10" s="1"/>
  <c r="G1472" i="10"/>
  <c r="E1472" i="10" s="1"/>
  <c r="J1474" i="10"/>
  <c r="F1474" i="10" s="1"/>
  <c r="G1474" i="10"/>
  <c r="E1474" i="10" s="1"/>
  <c r="J1476" i="10"/>
  <c r="F1476" i="10" s="1"/>
  <c r="G1476" i="10"/>
  <c r="E1476" i="10" s="1"/>
  <c r="J1478" i="10"/>
  <c r="F1478" i="10" s="1"/>
  <c r="G1478" i="10"/>
  <c r="E1478" i="10" s="1"/>
  <c r="J1482" i="10"/>
  <c r="F1482" i="10" s="1"/>
  <c r="G1482" i="10"/>
  <c r="E1482" i="10" s="1"/>
  <c r="J1488" i="10"/>
  <c r="F1488" i="10" s="1"/>
  <c r="G1488" i="10"/>
  <c r="E1488" i="10" s="1"/>
  <c r="J1492" i="10"/>
  <c r="F1492" i="10" s="1"/>
  <c r="G1492" i="10"/>
  <c r="E1492" i="10" s="1"/>
  <c r="J1494" i="10"/>
  <c r="F1494" i="10" s="1"/>
  <c r="G1494" i="10"/>
  <c r="E1494" i="10" s="1"/>
  <c r="J1496" i="10"/>
  <c r="F1496" i="10" s="1"/>
  <c r="G1496" i="10"/>
  <c r="E1496" i="10" s="1"/>
  <c r="J1498" i="10"/>
  <c r="F1498" i="10" s="1"/>
  <c r="G1498" i="10"/>
  <c r="E1498" i="10" s="1"/>
  <c r="J1502" i="10"/>
  <c r="F1502" i="10" s="1"/>
  <c r="G1502" i="10"/>
  <c r="E1502" i="10" s="1"/>
  <c r="J1517" i="10"/>
  <c r="F1517" i="10" s="1"/>
  <c r="G1517" i="10"/>
  <c r="E1517" i="10" s="1"/>
  <c r="J1519" i="10"/>
  <c r="F1519" i="10" s="1"/>
  <c r="G1519" i="10"/>
  <c r="E1519" i="10" s="1"/>
  <c r="J1521" i="10"/>
  <c r="G1521" i="10"/>
  <c r="J1523" i="10"/>
  <c r="F1523" i="10" s="1"/>
  <c r="G1523" i="10"/>
  <c r="E1523" i="10" s="1"/>
  <c r="J1539" i="10"/>
  <c r="F1539" i="10" s="1"/>
  <c r="G1539" i="10"/>
  <c r="E1539" i="10" s="1"/>
  <c r="J1541" i="10"/>
  <c r="F1541" i="10" s="1"/>
  <c r="G1541" i="10"/>
  <c r="E1541" i="10" s="1"/>
  <c r="J1544" i="10"/>
  <c r="G1544" i="10"/>
  <c r="J1546" i="10"/>
  <c r="F1546" i="10" s="1"/>
  <c r="G1546" i="10"/>
  <c r="E1546" i="10" s="1"/>
  <c r="J1548" i="10"/>
  <c r="F1548" i="10" s="1"/>
  <c r="G1548" i="10"/>
  <c r="E1548" i="10" s="1"/>
  <c r="J1552" i="10"/>
  <c r="J1554" i="10"/>
  <c r="J1556" i="10"/>
  <c r="J1558" i="10"/>
  <c r="J1562" i="10"/>
  <c r="J1566" i="10"/>
  <c r="F1566" i="10" s="1"/>
  <c r="G1566" i="10"/>
  <c r="E1566" i="10" s="1"/>
  <c r="J1569" i="10"/>
  <c r="F1569" i="10" s="1"/>
  <c r="G1569" i="10"/>
  <c r="E1569" i="10" s="1"/>
  <c r="J1571" i="10"/>
  <c r="F1571" i="10" s="1"/>
  <c r="G1571" i="10"/>
  <c r="E1571" i="10" s="1"/>
  <c r="J1573" i="10"/>
  <c r="F1573" i="10" s="1"/>
  <c r="G1573" i="10"/>
  <c r="E1573" i="10" s="1"/>
  <c r="J1575" i="10"/>
  <c r="F1575" i="10" s="1"/>
  <c r="G1575" i="10"/>
  <c r="E1575" i="10" s="1"/>
  <c r="J1577" i="10"/>
  <c r="F1577" i="10" s="1"/>
  <c r="G1577" i="10"/>
  <c r="E1577" i="10" s="1"/>
  <c r="J1579" i="10"/>
  <c r="F1579" i="10" s="1"/>
  <c r="G1579" i="10"/>
  <c r="E1579" i="10" s="1"/>
  <c r="J1584" i="10"/>
  <c r="F1584" i="10" s="1"/>
  <c r="G1584" i="10"/>
  <c r="E1584" i="10" s="1"/>
  <c r="J1586" i="10"/>
  <c r="F1586" i="10" s="1"/>
  <c r="G1586" i="10"/>
  <c r="E1586" i="10" s="1"/>
  <c r="J1588" i="10"/>
  <c r="F1588" i="10" s="1"/>
  <c r="G1588" i="10"/>
  <c r="E1588" i="10" s="1"/>
  <c r="J1590" i="10"/>
  <c r="F1590" i="10" s="1"/>
  <c r="G1590" i="10"/>
  <c r="E1590" i="10" s="1"/>
  <c r="J1594" i="10"/>
  <c r="F1594" i="10" s="1"/>
  <c r="G1594" i="10"/>
  <c r="E1594" i="10" s="1"/>
  <c r="J1596" i="10"/>
  <c r="F1596" i="10" s="1"/>
  <c r="G1596" i="10"/>
  <c r="E1596" i="10" s="1"/>
  <c r="J1598" i="10"/>
  <c r="F1598" i="10" s="1"/>
  <c r="G1598" i="10"/>
  <c r="E1598" i="10" s="1"/>
  <c r="J1600" i="10"/>
  <c r="F1600" i="10" s="1"/>
  <c r="G1600" i="10"/>
  <c r="E1600" i="10" s="1"/>
  <c r="J1604" i="10"/>
  <c r="F1604" i="10" s="1"/>
  <c r="G1604" i="10"/>
  <c r="E1604" i="10" s="1"/>
  <c r="J1606" i="10"/>
  <c r="F1606" i="10" s="1"/>
  <c r="G1606" i="10"/>
  <c r="E1606" i="10" s="1"/>
  <c r="J1608" i="10"/>
  <c r="F1608" i="10" s="1"/>
  <c r="G1608" i="10"/>
  <c r="E1608" i="10" s="1"/>
  <c r="J1610" i="10"/>
  <c r="F1610" i="10" s="1"/>
  <c r="G1610" i="10"/>
  <c r="E1610" i="10" s="1"/>
  <c r="J1614" i="10"/>
  <c r="F1614" i="10" s="1"/>
  <c r="G1614" i="10"/>
  <c r="E1614" i="10" s="1"/>
  <c r="J1616" i="10"/>
  <c r="F1616" i="10" s="1"/>
  <c r="G1616" i="10"/>
  <c r="E1616" i="10" s="1"/>
  <c r="J1618" i="10"/>
  <c r="F1618" i="10" s="1"/>
  <c r="G1618" i="10"/>
  <c r="E1618" i="10" s="1"/>
  <c r="J1620" i="10"/>
  <c r="F1620" i="10" s="1"/>
  <c r="G1620" i="10"/>
  <c r="E1620" i="10" s="1"/>
  <c r="J975" i="10"/>
  <c r="F975" i="10" s="1"/>
  <c r="G975" i="10"/>
  <c r="E975" i="10" s="1"/>
  <c r="J978" i="10"/>
  <c r="E978" i="10"/>
  <c r="J980" i="10"/>
  <c r="E980" i="10"/>
  <c r="J982" i="10"/>
  <c r="E982" i="10"/>
  <c r="J989" i="10"/>
  <c r="F989" i="10" s="1"/>
  <c r="G989" i="10"/>
  <c r="E989" i="10" s="1"/>
  <c r="J991" i="10"/>
  <c r="F991" i="10" s="1"/>
  <c r="G991" i="10"/>
  <c r="E991" i="10" s="1"/>
  <c r="J993" i="10"/>
  <c r="F993" i="10" s="1"/>
  <c r="G993" i="10"/>
  <c r="E993" i="10" s="1"/>
  <c r="J1469" i="10"/>
  <c r="F1469" i="10" s="1"/>
  <c r="G1469" i="10"/>
  <c r="E1469" i="10" s="1"/>
  <c r="J1471" i="10"/>
  <c r="F1471" i="10" s="1"/>
  <c r="G1471" i="10"/>
  <c r="E1471" i="10" s="1"/>
  <c r="J1473" i="10"/>
  <c r="F1473" i="10" s="1"/>
  <c r="G1473" i="10"/>
  <c r="E1473" i="10" s="1"/>
  <c r="J1475" i="10"/>
  <c r="F1475" i="10" s="1"/>
  <c r="G1475" i="10"/>
  <c r="E1475" i="10" s="1"/>
  <c r="J1477" i="10"/>
  <c r="F1477" i="10" s="1"/>
  <c r="G1477" i="10"/>
  <c r="E1477" i="10" s="1"/>
  <c r="J1479" i="10"/>
  <c r="F1479" i="10" s="1"/>
  <c r="G1479" i="10"/>
  <c r="E1479" i="10" s="1"/>
  <c r="J1481" i="10"/>
  <c r="G1481" i="10"/>
  <c r="J1484" i="10"/>
  <c r="F1484" i="10" s="1"/>
  <c r="G1484" i="10"/>
  <c r="E1484" i="10" s="1"/>
  <c r="J1485" i="10"/>
  <c r="F1485" i="10" s="1"/>
  <c r="G1485" i="10"/>
  <c r="E1485" i="10" s="1"/>
  <c r="J1487" i="10"/>
  <c r="F1487" i="10" s="1"/>
  <c r="G1487" i="10"/>
  <c r="E1487" i="10" s="1"/>
  <c r="J1489" i="10"/>
  <c r="F1489" i="10" s="1"/>
  <c r="G1489" i="10"/>
  <c r="E1489" i="10" s="1"/>
  <c r="J1491" i="10"/>
  <c r="G1491" i="10"/>
  <c r="J1493" i="10"/>
  <c r="F1493" i="10" s="1"/>
  <c r="G1493" i="10"/>
  <c r="E1493" i="10" s="1"/>
  <c r="J1495" i="10"/>
  <c r="F1495" i="10" s="1"/>
  <c r="G1495" i="10"/>
  <c r="E1495" i="10" s="1"/>
  <c r="J1497" i="10"/>
  <c r="F1497" i="10" s="1"/>
  <c r="G1497" i="10"/>
  <c r="E1497" i="10" s="1"/>
  <c r="J1499" i="10"/>
  <c r="F1499" i="10" s="1"/>
  <c r="G1499" i="10"/>
  <c r="E1499" i="10" s="1"/>
  <c r="J1501" i="10"/>
  <c r="G1501" i="10"/>
  <c r="J1516" i="10"/>
  <c r="F1516" i="10" s="1"/>
  <c r="G1516" i="10"/>
  <c r="E1516" i="10" s="1"/>
  <c r="J1518" i="10"/>
  <c r="F1518" i="10" s="1"/>
  <c r="G1518" i="10"/>
  <c r="E1518" i="10" s="1"/>
  <c r="J1522" i="10"/>
  <c r="F1522" i="10" s="1"/>
  <c r="G1522" i="10"/>
  <c r="E1522" i="10" s="1"/>
  <c r="J1524" i="10"/>
  <c r="F1524" i="10" s="1"/>
  <c r="G1524" i="10"/>
  <c r="E1524" i="10" s="1"/>
  <c r="J1538" i="10"/>
  <c r="G1538" i="10"/>
  <c r="J1542" i="10"/>
  <c r="G1542" i="10"/>
  <c r="J1545" i="10"/>
  <c r="F1545" i="10" s="1"/>
  <c r="G1545" i="10"/>
  <c r="E1545" i="10" s="1"/>
  <c r="J1547" i="10"/>
  <c r="F1547" i="10" s="1"/>
  <c r="G1547" i="10"/>
  <c r="E1547" i="10" s="1"/>
  <c r="J1553" i="10"/>
  <c r="J1555" i="10"/>
  <c r="J1557" i="10"/>
  <c r="J1559" i="10"/>
  <c r="J1561" i="10"/>
  <c r="J1563" i="10"/>
  <c r="J1568" i="10"/>
  <c r="F1568" i="10" s="1"/>
  <c r="G1568" i="10"/>
  <c r="E1568" i="10" s="1"/>
  <c r="J1570" i="10"/>
  <c r="F1570" i="10" s="1"/>
  <c r="G1570" i="10"/>
  <c r="E1570" i="10" s="1"/>
  <c r="J1574" i="10"/>
  <c r="F1574" i="10" s="1"/>
  <c r="G1574" i="10"/>
  <c r="E1574" i="10" s="1"/>
  <c r="J1576" i="10"/>
  <c r="F1576" i="10" s="1"/>
  <c r="G1576" i="10"/>
  <c r="E1576" i="10" s="1"/>
  <c r="J1578" i="10"/>
  <c r="F1578" i="10" s="1"/>
  <c r="G1578" i="10"/>
  <c r="E1578" i="10" s="1"/>
  <c r="J1581" i="10"/>
  <c r="F1581" i="10" s="1"/>
  <c r="G1581" i="10"/>
  <c r="E1581" i="10" s="1"/>
  <c r="J1583" i="10"/>
  <c r="G1583" i="10"/>
  <c r="J1585" i="10"/>
  <c r="F1585" i="10" s="1"/>
  <c r="G1585" i="10"/>
  <c r="E1585" i="10" s="1"/>
  <c r="J1587" i="10"/>
  <c r="F1587" i="10" s="1"/>
  <c r="G1587" i="10"/>
  <c r="E1587" i="10" s="1"/>
  <c r="J1589" i="10"/>
  <c r="F1589" i="10" s="1"/>
  <c r="G1589" i="10"/>
  <c r="E1589" i="10" s="1"/>
  <c r="J1591" i="10"/>
  <c r="F1591" i="10" s="1"/>
  <c r="G1591" i="10"/>
  <c r="E1591" i="10" s="1"/>
  <c r="J1593" i="10"/>
  <c r="F1593" i="10" s="1"/>
  <c r="G1593" i="10"/>
  <c r="E1593" i="10" s="1"/>
  <c r="J1595" i="10"/>
  <c r="F1595" i="10" s="1"/>
  <c r="G1595" i="10"/>
  <c r="E1595" i="10" s="1"/>
  <c r="J1597" i="10"/>
  <c r="F1597" i="10" s="1"/>
  <c r="G1597" i="10"/>
  <c r="E1597" i="10" s="1"/>
  <c r="J1599" i="10"/>
  <c r="F1599" i="10" s="1"/>
  <c r="G1599" i="10"/>
  <c r="E1599" i="10" s="1"/>
  <c r="J1601" i="10"/>
  <c r="F1601" i="10" s="1"/>
  <c r="G1601" i="10"/>
  <c r="E1601" i="10" s="1"/>
  <c r="J1603" i="10"/>
  <c r="G1603" i="10"/>
  <c r="J1605" i="10"/>
  <c r="F1605" i="10" s="1"/>
  <c r="G1605" i="10"/>
  <c r="E1605" i="10" s="1"/>
  <c r="J1607" i="10"/>
  <c r="F1607" i="10" s="1"/>
  <c r="G1607" i="10"/>
  <c r="E1607" i="10" s="1"/>
  <c r="J1609" i="10"/>
  <c r="F1609" i="10" s="1"/>
  <c r="G1609" i="10"/>
  <c r="E1609" i="10" s="1"/>
  <c r="J1611" i="10"/>
  <c r="F1611" i="10" s="1"/>
  <c r="G1611" i="10"/>
  <c r="E1611" i="10" s="1"/>
  <c r="J1613" i="10"/>
  <c r="G1613" i="10"/>
  <c r="J1615" i="10"/>
  <c r="F1615" i="10" s="1"/>
  <c r="G1615" i="10"/>
  <c r="E1615" i="10" s="1"/>
  <c r="J1617" i="10"/>
  <c r="F1617" i="10" s="1"/>
  <c r="G1617" i="10"/>
  <c r="E1617" i="10" s="1"/>
  <c r="J1619" i="10"/>
  <c r="F1619" i="10" s="1"/>
  <c r="G1619" i="10"/>
  <c r="E1619" i="10" s="1"/>
  <c r="J1621" i="10"/>
  <c r="F1621" i="10" s="1"/>
  <c r="G1621" i="10"/>
  <c r="E1621" i="10" s="1"/>
  <c r="J1777" i="10"/>
  <c r="G1777" i="10"/>
  <c r="J1779" i="10"/>
  <c r="G1779" i="10"/>
  <c r="J1781" i="10"/>
  <c r="G1781" i="10"/>
  <c r="J1783" i="10"/>
  <c r="G1783" i="10"/>
  <c r="J1785" i="10"/>
  <c r="G1785" i="10"/>
  <c r="J1787" i="10"/>
  <c r="F1787" i="10" s="1"/>
  <c r="G1787" i="10"/>
  <c r="E1787" i="10" s="1"/>
  <c r="J1789" i="10"/>
  <c r="F1789" i="10" s="1"/>
  <c r="G1789" i="10"/>
  <c r="E1789" i="10" s="1"/>
  <c r="J1791" i="10"/>
  <c r="F1791" i="10" s="1"/>
  <c r="G1791" i="10"/>
  <c r="E1791" i="10" s="1"/>
  <c r="J1793" i="10"/>
  <c r="F1793" i="10" s="1"/>
  <c r="G1793" i="10"/>
  <c r="E1793" i="10" s="1"/>
  <c r="J1795" i="10"/>
  <c r="G1795" i="10"/>
  <c r="J1797" i="10"/>
  <c r="G1797" i="10"/>
  <c r="J1799" i="10"/>
  <c r="G1799" i="10"/>
  <c r="J1801" i="10"/>
  <c r="F1801" i="10" s="1"/>
  <c r="G1801" i="10"/>
  <c r="E1801" i="10" s="1"/>
  <c r="J1803" i="10"/>
  <c r="F1803" i="10" s="1"/>
  <c r="G1803" i="10"/>
  <c r="E1803" i="10" s="1"/>
  <c r="J1805" i="10"/>
  <c r="G1805" i="10"/>
  <c r="J1807" i="10"/>
  <c r="G1807" i="10"/>
  <c r="J1809" i="10"/>
  <c r="G1809" i="10"/>
  <c r="J1811" i="10"/>
  <c r="G1811" i="10"/>
  <c r="J1813" i="10"/>
  <c r="G1813" i="10"/>
  <c r="J1815" i="10"/>
  <c r="G1815" i="10"/>
  <c r="J1817" i="10"/>
  <c r="G1817" i="10"/>
  <c r="J1819" i="10"/>
  <c r="G1819" i="10"/>
  <c r="J1821" i="10"/>
  <c r="G1821" i="10"/>
  <c r="J1823" i="10"/>
  <c r="G1823" i="10"/>
  <c r="J1825" i="10"/>
  <c r="G1825" i="10"/>
  <c r="J1837" i="10"/>
  <c r="G1837" i="10"/>
  <c r="J1839" i="10"/>
  <c r="G1839" i="10"/>
  <c r="J1778" i="10"/>
  <c r="F1778" i="10" s="1"/>
  <c r="G1778" i="10"/>
  <c r="E1778" i="10" s="1"/>
  <c r="J1780" i="10"/>
  <c r="F1780" i="10" s="1"/>
  <c r="G1780" i="10"/>
  <c r="E1780" i="10" s="1"/>
  <c r="J1784" i="10"/>
  <c r="G1784" i="10"/>
  <c r="J1786" i="10"/>
  <c r="G1786" i="10"/>
  <c r="J1788" i="10"/>
  <c r="G1788" i="10"/>
  <c r="J1790" i="10"/>
  <c r="G1790" i="10"/>
  <c r="J1794" i="10"/>
  <c r="G1794" i="10"/>
  <c r="J1796" i="10"/>
  <c r="G1796" i="10"/>
  <c r="J1798" i="10"/>
  <c r="F1798" i="10" s="1"/>
  <c r="G1798" i="10"/>
  <c r="E1798" i="10" s="1"/>
  <c r="J1800" i="10"/>
  <c r="F1800" i="10" s="1"/>
  <c r="G1800" i="10"/>
  <c r="E1800" i="10" s="1"/>
  <c r="J1804" i="10"/>
  <c r="F1804" i="10" s="1"/>
  <c r="G1804" i="10"/>
  <c r="E1804" i="10" s="1"/>
  <c r="J1806" i="10"/>
  <c r="G1806" i="10"/>
  <c r="J1808" i="10"/>
  <c r="F1808" i="10" s="1"/>
  <c r="G1808" i="10"/>
  <c r="E1808" i="10" s="1"/>
  <c r="J1810" i="10"/>
  <c r="G1810" i="10"/>
  <c r="J1814" i="10"/>
  <c r="G1814" i="10"/>
  <c r="J1816" i="10"/>
  <c r="G1816" i="10"/>
  <c r="J1818" i="10"/>
  <c r="G1818" i="10"/>
  <c r="J1820" i="10"/>
  <c r="G1820" i="10"/>
  <c r="J1824" i="10"/>
  <c r="G1824" i="10"/>
  <c r="J1826" i="10"/>
  <c r="G1826" i="10"/>
  <c r="J1838" i="10"/>
  <c r="G1838" i="10"/>
  <c r="J1840" i="10"/>
  <c r="G1840" i="10"/>
  <c r="J1841" i="10"/>
  <c r="G1841" i="10"/>
  <c r="J1843" i="10"/>
  <c r="G1843" i="10"/>
  <c r="J1844" i="10"/>
  <c r="G1844" i="10"/>
  <c r="J1845" i="10"/>
  <c r="G1845" i="10"/>
  <c r="J1846" i="10"/>
  <c r="G1846" i="10"/>
  <c r="J1847" i="10"/>
  <c r="G1847" i="10"/>
  <c r="J1848" i="10"/>
  <c r="G1848" i="10"/>
  <c r="J1849" i="10"/>
  <c r="G1849" i="10"/>
  <c r="J1850" i="10"/>
  <c r="G1850" i="10"/>
  <c r="J1851" i="10"/>
  <c r="G1851" i="10"/>
  <c r="J1853" i="10"/>
  <c r="G1853" i="10"/>
  <c r="J1854" i="10"/>
  <c r="G1854" i="10"/>
  <c r="J1855" i="10"/>
  <c r="G1855" i="10"/>
  <c r="J1856" i="10"/>
  <c r="G1856" i="10"/>
  <c r="J1857" i="10"/>
  <c r="G1857" i="10"/>
  <c r="J1858" i="10"/>
  <c r="G1858" i="10"/>
  <c r="J1861" i="10"/>
  <c r="G1861" i="10"/>
  <c r="J1863" i="10"/>
  <c r="G1863" i="10"/>
  <c r="J1864" i="10"/>
  <c r="G1864" i="10"/>
  <c r="J1865" i="10"/>
  <c r="G1865" i="10"/>
  <c r="J1866" i="10"/>
  <c r="G1866" i="10"/>
  <c r="J1867" i="10"/>
  <c r="G1867" i="10"/>
  <c r="J1868" i="10"/>
  <c r="G1868" i="10"/>
  <c r="J1869" i="10"/>
  <c r="G1869" i="10"/>
  <c r="J1870" i="10"/>
  <c r="G1870" i="10"/>
  <c r="J1871" i="10"/>
  <c r="G1871" i="10"/>
  <c r="J1873" i="10"/>
  <c r="G1873" i="10"/>
  <c r="J1874" i="10"/>
  <c r="G1874" i="10"/>
  <c r="E1874" i="10" s="1"/>
  <c r="J1877" i="10"/>
  <c r="F1877" i="10" s="1"/>
  <c r="G1877" i="10"/>
  <c r="E1877" i="10" s="1"/>
  <c r="J1878" i="10"/>
  <c r="F1878" i="10" s="1"/>
  <c r="G1878" i="10"/>
  <c r="E1878" i="10" s="1"/>
  <c r="J1879" i="10"/>
  <c r="F1879" i="10" s="1"/>
  <c r="G1879" i="10"/>
  <c r="E1879" i="10" s="1"/>
  <c r="J1880" i="10"/>
  <c r="F1880" i="10" s="1"/>
  <c r="G1880" i="10"/>
  <c r="E1880" i="10" s="1"/>
  <c r="J1881" i="10"/>
  <c r="F1881" i="10" s="1"/>
  <c r="G1881" i="10"/>
  <c r="E1881" i="10" s="1"/>
  <c r="J1884" i="10"/>
  <c r="F1884" i="10" s="1"/>
  <c r="G1884" i="10"/>
  <c r="E1884" i="10" s="1"/>
  <c r="E423" i="10" l="1"/>
  <c r="F423" i="10"/>
  <c r="E421" i="10"/>
  <c r="F421" i="10"/>
  <c r="E419" i="10"/>
  <c r="F419" i="10"/>
  <c r="E414" i="10"/>
  <c r="F414" i="10"/>
  <c r="E412" i="10"/>
  <c r="F412" i="10"/>
  <c r="E410" i="10"/>
  <c r="F410" i="10"/>
  <c r="E408" i="10"/>
  <c r="F408" i="10"/>
  <c r="E402" i="10"/>
  <c r="F402" i="10"/>
  <c r="E389" i="10"/>
  <c r="F389" i="10"/>
  <c r="E385" i="10"/>
  <c r="F385" i="10"/>
  <c r="E381" i="10"/>
  <c r="F381" i="10"/>
  <c r="E377" i="10"/>
  <c r="F377" i="10"/>
  <c r="E373" i="10"/>
  <c r="F373" i="10"/>
  <c r="E369" i="10"/>
  <c r="F369" i="10"/>
  <c r="E364" i="10"/>
  <c r="F364" i="10"/>
  <c r="E359" i="10"/>
  <c r="F359" i="10"/>
  <c r="E349" i="10"/>
  <c r="F349" i="10"/>
  <c r="E345" i="10"/>
  <c r="F345" i="10"/>
  <c r="E341" i="10"/>
  <c r="F341" i="10"/>
  <c r="E334" i="10"/>
  <c r="F334" i="10"/>
  <c r="E320" i="10"/>
  <c r="F320" i="10"/>
  <c r="E311" i="10"/>
  <c r="F311" i="10"/>
  <c r="E275" i="10"/>
  <c r="F275" i="10"/>
  <c r="E351" i="10"/>
  <c r="F351" i="10"/>
  <c r="E452" i="10"/>
  <c r="F452" i="10"/>
  <c r="E450" i="10"/>
  <c r="F450" i="10"/>
  <c r="E448" i="10"/>
  <c r="F448" i="10"/>
  <c r="E444" i="10"/>
  <c r="F444" i="10"/>
  <c r="E442" i="10"/>
  <c r="F442" i="10"/>
  <c r="E440" i="10"/>
  <c r="F440" i="10"/>
  <c r="E435" i="10"/>
  <c r="F435" i="10"/>
  <c r="E433" i="10"/>
  <c r="F433" i="10"/>
  <c r="E431" i="10"/>
  <c r="F431" i="10"/>
  <c r="E424" i="10"/>
  <c r="F424" i="10"/>
  <c r="E422" i="10"/>
  <c r="F422" i="10"/>
  <c r="E420" i="10"/>
  <c r="F420" i="10"/>
  <c r="E415" i="10"/>
  <c r="F415" i="10"/>
  <c r="E413" i="10"/>
  <c r="F413" i="10"/>
  <c r="E411" i="10"/>
  <c r="F411" i="10"/>
  <c r="E409" i="10"/>
  <c r="F409" i="10"/>
  <c r="E390" i="10"/>
  <c r="F390" i="10"/>
  <c r="E388" i="10"/>
  <c r="F388" i="10"/>
  <c r="E384" i="10"/>
  <c r="F384" i="10"/>
  <c r="E382" i="10"/>
  <c r="F382" i="10"/>
  <c r="E380" i="10"/>
  <c r="F380" i="10"/>
  <c r="E378" i="10"/>
  <c r="F378" i="10"/>
  <c r="E374" i="10"/>
  <c r="F374" i="10"/>
  <c r="E372" i="10"/>
  <c r="F372" i="10"/>
  <c r="E370" i="10"/>
  <c r="F370" i="10"/>
  <c r="E368" i="10"/>
  <c r="F368" i="10"/>
  <c r="E363" i="10"/>
  <c r="F363" i="10"/>
  <c r="E360" i="10"/>
  <c r="F360" i="10"/>
  <c r="E358" i="10"/>
  <c r="F358" i="10"/>
  <c r="E354" i="10"/>
  <c r="F354" i="10"/>
  <c r="E350" i="10"/>
  <c r="F350" i="10"/>
  <c r="E348" i="10"/>
  <c r="F348" i="10"/>
  <c r="E344" i="10"/>
  <c r="F344" i="10"/>
  <c r="E342" i="10"/>
  <c r="F342" i="10"/>
  <c r="E339" i="10"/>
  <c r="F339" i="10"/>
  <c r="E335" i="10"/>
  <c r="F335" i="10"/>
  <c r="E326" i="10"/>
  <c r="F326" i="10"/>
  <c r="E321" i="10"/>
  <c r="F321" i="10"/>
  <c r="E318" i="10"/>
  <c r="F318" i="10"/>
  <c r="E312" i="10"/>
  <c r="F312" i="10"/>
  <c r="E310" i="10"/>
  <c r="F310" i="10"/>
  <c r="E308" i="10"/>
  <c r="F308" i="10"/>
  <c r="E300" i="10"/>
  <c r="F300" i="10"/>
  <c r="E298" i="10"/>
  <c r="F298" i="10"/>
  <c r="E383" i="10"/>
  <c r="F383" i="10"/>
  <c r="E379" i="10"/>
  <c r="F379" i="10"/>
  <c r="E375" i="10"/>
  <c r="F375" i="10"/>
  <c r="E371" i="10"/>
  <c r="F371" i="10"/>
  <c r="E362" i="10"/>
  <c r="F362" i="10"/>
  <c r="E353" i="10"/>
  <c r="F353" i="10"/>
  <c r="E347" i="10"/>
  <c r="F347" i="10"/>
  <c r="E343" i="10"/>
  <c r="F343" i="10"/>
  <c r="E338" i="10"/>
  <c r="F338" i="10"/>
  <c r="E327" i="10"/>
  <c r="F327" i="10"/>
  <c r="E322" i="10"/>
  <c r="F322" i="10"/>
  <c r="E317" i="10"/>
  <c r="F317" i="10"/>
  <c r="E309" i="10"/>
  <c r="F309" i="10"/>
  <c r="E267" i="10"/>
  <c r="F267" i="10"/>
  <c r="E280" i="10"/>
  <c r="F280" i="10"/>
  <c r="E453" i="10"/>
  <c r="F453" i="10"/>
  <c r="E451" i="10"/>
  <c r="F451" i="10"/>
  <c r="E449" i="10"/>
  <c r="F449" i="10"/>
  <c r="E445" i="10"/>
  <c r="F445" i="10"/>
  <c r="E443" i="10"/>
  <c r="F443" i="10"/>
  <c r="E441" i="10"/>
  <c r="F441" i="10"/>
  <c r="E438" i="10"/>
  <c r="F438" i="10"/>
  <c r="E434" i="10"/>
  <c r="F434" i="10"/>
  <c r="E432" i="10"/>
  <c r="F432" i="10"/>
  <c r="E279" i="10"/>
  <c r="F279" i="10"/>
  <c r="E276" i="10"/>
  <c r="F276" i="10"/>
  <c r="E268" i="10"/>
  <c r="F268" i="10"/>
  <c r="E266" i="10"/>
  <c r="F266" i="10"/>
  <c r="E281" i="10"/>
  <c r="F281" i="10"/>
  <c r="G1883" i="10"/>
  <c r="E1883" i="10" s="1"/>
  <c r="G809" i="10"/>
  <c r="E809" i="10" s="1"/>
  <c r="G1876" i="10"/>
  <c r="E1876" i="10" s="1"/>
  <c r="J1860" i="10"/>
  <c r="F1860" i="10" s="1"/>
  <c r="G227" i="10"/>
  <c r="F227" i="10" s="1"/>
  <c r="E228" i="10"/>
  <c r="G1859" i="10"/>
  <c r="E1859" i="10" s="1"/>
  <c r="J819" i="10"/>
  <c r="F819" i="10" s="1"/>
  <c r="J759" i="10"/>
  <c r="F759" i="10" s="1"/>
  <c r="F1883" i="10"/>
  <c r="E1873" i="10"/>
  <c r="E1871" i="10"/>
  <c r="E1870" i="10"/>
  <c r="E1869" i="10"/>
  <c r="E1868" i="10"/>
  <c r="E1867" i="10"/>
  <c r="E1866" i="10"/>
  <c r="E1865" i="10"/>
  <c r="E1864" i="10"/>
  <c r="E1863" i="10"/>
  <c r="E1861" i="10"/>
  <c r="E1860" i="10"/>
  <c r="E1858" i="10"/>
  <c r="E1857" i="10"/>
  <c r="E1856" i="10"/>
  <c r="E1855" i="10"/>
  <c r="E1854" i="10"/>
  <c r="E1853" i="10"/>
  <c r="E1851" i="10"/>
  <c r="E1850" i="10"/>
  <c r="E1849" i="10"/>
  <c r="E1848" i="10"/>
  <c r="E1847" i="10"/>
  <c r="E1846" i="10"/>
  <c r="E1845" i="10"/>
  <c r="E1844" i="10"/>
  <c r="E1843" i="10"/>
  <c r="E1841" i="10"/>
  <c r="E1840" i="10"/>
  <c r="E1838" i="10"/>
  <c r="E1826" i="10"/>
  <c r="E1824" i="10"/>
  <c r="E1820" i="10"/>
  <c r="E1818" i="10"/>
  <c r="E1816" i="10"/>
  <c r="E1814" i="10"/>
  <c r="E1810" i="10"/>
  <c r="E1806" i="10"/>
  <c r="E1796" i="10"/>
  <c r="E1794" i="10"/>
  <c r="E1790" i="10"/>
  <c r="E1788" i="10"/>
  <c r="E1786" i="10"/>
  <c r="E1784" i="10"/>
  <c r="E1839" i="10"/>
  <c r="E1837" i="10"/>
  <c r="E1825" i="10"/>
  <c r="E1823" i="10"/>
  <c r="E1821" i="10"/>
  <c r="E1819" i="10"/>
  <c r="E1817" i="10"/>
  <c r="E1815" i="10"/>
  <c r="E1813" i="10"/>
  <c r="E1811" i="10"/>
  <c r="E1809" i="10"/>
  <c r="E1807" i="10"/>
  <c r="E1805" i="10"/>
  <c r="E1799" i="10"/>
  <c r="E1797" i="10"/>
  <c r="E1795" i="10"/>
  <c r="E1785" i="10"/>
  <c r="E1783" i="10"/>
  <c r="E1781" i="10"/>
  <c r="E1779" i="10"/>
  <c r="E1777" i="10"/>
  <c r="E1613" i="10"/>
  <c r="E1603" i="10"/>
  <c r="E1583" i="10"/>
  <c r="E1542" i="10"/>
  <c r="E1538" i="10"/>
  <c r="E1501" i="10"/>
  <c r="E1491" i="10"/>
  <c r="E1481" i="10"/>
  <c r="E1544" i="10"/>
  <c r="E1521" i="10"/>
  <c r="E1441" i="10"/>
  <c r="E1437" i="10"/>
  <c r="E1435" i="10"/>
  <c r="E1077" i="10"/>
  <c r="E1070" i="10"/>
  <c r="E1069" i="10"/>
  <c r="E1067" i="10"/>
  <c r="E1065" i="10"/>
  <c r="E1064" i="10"/>
  <c r="E1061" i="10"/>
  <c r="E1047" i="10"/>
  <c r="E1449" i="10"/>
  <c r="E1461" i="10"/>
  <c r="E1436" i="10"/>
  <c r="E1419" i="10"/>
  <c r="E1409" i="10"/>
  <c r="F1640" i="10"/>
  <c r="F1638" i="10"/>
  <c r="F1663" i="10"/>
  <c r="J407" i="10"/>
  <c r="E799" i="10"/>
  <c r="E789" i="10"/>
  <c r="E784" i="10"/>
  <c r="E780" i="10"/>
  <c r="E762" i="10"/>
  <c r="E324" i="10"/>
  <c r="E306" i="10"/>
  <c r="E301" i="10"/>
  <c r="E284" i="10"/>
  <c r="E1643" i="10"/>
  <c r="E1639" i="10"/>
  <c r="G1152" i="10"/>
  <c r="J799" i="10"/>
  <c r="F1653" i="10"/>
  <c r="F1637" i="10"/>
  <c r="F1876" i="10"/>
  <c r="F1874" i="10"/>
  <c r="F1873" i="10"/>
  <c r="F1871" i="10"/>
  <c r="F1870" i="10"/>
  <c r="F1869" i="10"/>
  <c r="F1868" i="10"/>
  <c r="F1867" i="10"/>
  <c r="F1866" i="10"/>
  <c r="F1865" i="10"/>
  <c r="F1864" i="10"/>
  <c r="F1863" i="10"/>
  <c r="F1861" i="10"/>
  <c r="F1859" i="10"/>
  <c r="F1858" i="10"/>
  <c r="F1857" i="10"/>
  <c r="F1856" i="10"/>
  <c r="F1855" i="10"/>
  <c r="F1854" i="10"/>
  <c r="F1853" i="10"/>
  <c r="F1851" i="10"/>
  <c r="F1850" i="10"/>
  <c r="F1849" i="10"/>
  <c r="F1848" i="10"/>
  <c r="F1847" i="10"/>
  <c r="F1846" i="10"/>
  <c r="F1845" i="10"/>
  <c r="F1844" i="10"/>
  <c r="F1843" i="10"/>
  <c r="F1841" i="10"/>
  <c r="F1840" i="10"/>
  <c r="F1838" i="10"/>
  <c r="F1826" i="10"/>
  <c r="F1824" i="10"/>
  <c r="F1820" i="10"/>
  <c r="F1818" i="10"/>
  <c r="F1816" i="10"/>
  <c r="F1814" i="10"/>
  <c r="F1810" i="10"/>
  <c r="F1806" i="10"/>
  <c r="F1796" i="10"/>
  <c r="F1794" i="10"/>
  <c r="F1790" i="10"/>
  <c r="F1788" i="10"/>
  <c r="F1786" i="10"/>
  <c r="F1784" i="10"/>
  <c r="F1839" i="10"/>
  <c r="F1837" i="10"/>
  <c r="F1825" i="10"/>
  <c r="F1823" i="10"/>
  <c r="F1821" i="10"/>
  <c r="F1819" i="10"/>
  <c r="F1817" i="10"/>
  <c r="F1815" i="10"/>
  <c r="F1813" i="10"/>
  <c r="F1811" i="10"/>
  <c r="F1809" i="10"/>
  <c r="F1807" i="10"/>
  <c r="F1805" i="10"/>
  <c r="F1799" i="10"/>
  <c r="F1797" i="10"/>
  <c r="F1795" i="10"/>
  <c r="F1785" i="10"/>
  <c r="F1783" i="10"/>
  <c r="F1781" i="10"/>
  <c r="F1779" i="10"/>
  <c r="F1777" i="10"/>
  <c r="F1613" i="10"/>
  <c r="F1603" i="10"/>
  <c r="F1583" i="10"/>
  <c r="F1542" i="10"/>
  <c r="F1538" i="10"/>
  <c r="F1501" i="10"/>
  <c r="F1491" i="10"/>
  <c r="F1481" i="10"/>
  <c r="F1544" i="10"/>
  <c r="F1521" i="10"/>
  <c r="F1441" i="10"/>
  <c r="F1437" i="10"/>
  <c r="F1435" i="10"/>
  <c r="F1070" i="10"/>
  <c r="F1069" i="10"/>
  <c r="F1047" i="10"/>
  <c r="F1449" i="10"/>
  <c r="F1461" i="10"/>
  <c r="F1436" i="10"/>
  <c r="F1419" i="10"/>
  <c r="F1409" i="10"/>
  <c r="E1646" i="10"/>
  <c r="E1644" i="10"/>
  <c r="E1640" i="10"/>
  <c r="E1638" i="10"/>
  <c r="E1673" i="10"/>
  <c r="E1663" i="10"/>
  <c r="E819" i="10"/>
  <c r="E791" i="10"/>
  <c r="E783" i="10"/>
  <c r="E781" i="10"/>
  <c r="E779" i="10"/>
  <c r="E761" i="10"/>
  <c r="E759" i="10"/>
  <c r="E437" i="10"/>
  <c r="E417" i="10"/>
  <c r="E407" i="10"/>
  <c r="E403" i="10"/>
  <c r="E401" i="10"/>
  <c r="E337" i="10"/>
  <c r="E314" i="10"/>
  <c r="E305" i="10"/>
  <c r="E792" i="10"/>
  <c r="E787" i="10"/>
  <c r="E782" i="10"/>
  <c r="E760" i="10"/>
  <c r="E387" i="10"/>
  <c r="E367" i="10"/>
  <c r="E304" i="10"/>
  <c r="E299" i="10"/>
  <c r="E1653" i="10"/>
  <c r="E1645" i="10"/>
  <c r="E1641" i="10"/>
  <c r="E1637" i="10"/>
  <c r="E1623" i="10"/>
  <c r="F1639" i="10"/>
  <c r="J789" i="10"/>
  <c r="J1150" i="10"/>
  <c r="F1150" i="10" s="1"/>
  <c r="G315" i="10"/>
  <c r="G1154" i="10"/>
  <c r="E1154" i="10" s="1"/>
  <c r="J1244" i="10"/>
  <c r="J1149" i="10"/>
  <c r="F1149" i="10" s="1"/>
  <c r="J1152" i="10"/>
  <c r="G1153" i="10"/>
  <c r="E1153" i="10" s="1"/>
  <c r="G1155" i="10"/>
  <c r="E1155" i="10" s="1"/>
  <c r="G1148" i="10"/>
  <c r="E1148" i="10" s="1"/>
  <c r="C2" i="5"/>
  <c r="B9" i="5"/>
  <c r="C9" i="5"/>
  <c r="D9" i="5"/>
  <c r="E9" i="5"/>
  <c r="G9" i="5" s="1"/>
  <c r="C8" i="5"/>
  <c r="C10" i="5"/>
  <c r="D10" i="5"/>
  <c r="E10" i="5"/>
  <c r="G10" i="5" s="1"/>
  <c r="C11" i="5"/>
  <c r="D11" i="5"/>
  <c r="E11" i="5"/>
  <c r="C12" i="5"/>
  <c r="D12" i="5"/>
  <c r="E12" i="5"/>
  <c r="C13" i="5"/>
  <c r="D13" i="5"/>
  <c r="E13" i="5"/>
  <c r="C14" i="5"/>
  <c r="D14" i="5"/>
  <c r="E14" i="5"/>
  <c r="C15" i="5"/>
  <c r="D15" i="5"/>
  <c r="E15" i="5"/>
  <c r="C16" i="5"/>
  <c r="D16" i="5"/>
  <c r="E16" i="5"/>
  <c r="C17" i="5"/>
  <c r="D17" i="5"/>
  <c r="E17" i="5"/>
  <c r="C18" i="5"/>
  <c r="D18" i="5"/>
  <c r="E18" i="5"/>
  <c r="C19" i="5"/>
  <c r="C20" i="5"/>
  <c r="D20" i="5"/>
  <c r="E20" i="5"/>
  <c r="G20" i="5" s="1"/>
  <c r="C21" i="5"/>
  <c r="D21" i="5"/>
  <c r="E21" i="5"/>
  <c r="G21" i="5" s="1"/>
  <c r="C22" i="5"/>
  <c r="D22" i="5"/>
  <c r="E22" i="5"/>
  <c r="C23" i="5"/>
  <c r="D23" i="5"/>
  <c r="E23" i="5"/>
  <c r="C3" i="5"/>
  <c r="C4" i="5"/>
  <c r="C5" i="5"/>
  <c r="C6" i="5"/>
  <c r="B3" i="5"/>
  <c r="B4" i="5"/>
  <c r="B5" i="5"/>
  <c r="B6" i="5"/>
  <c r="B7" i="5"/>
  <c r="C7" i="5"/>
  <c r="B8" i="5"/>
  <c r="B10" i="5"/>
  <c r="B11" i="5"/>
  <c r="G11" i="5"/>
  <c r="B12" i="5"/>
  <c r="G12" i="5"/>
  <c r="B13" i="5"/>
  <c r="G13" i="5"/>
  <c r="B14" i="5"/>
  <c r="G14" i="5"/>
  <c r="B15" i="5"/>
  <c r="G15" i="5"/>
  <c r="B16" i="5"/>
  <c r="G16" i="5"/>
  <c r="B17" i="5"/>
  <c r="G17" i="5"/>
  <c r="B18" i="5"/>
  <c r="G18" i="5"/>
  <c r="B19" i="5"/>
  <c r="B20" i="5"/>
  <c r="B21" i="5"/>
  <c r="B22" i="5"/>
  <c r="G22" i="5"/>
  <c r="B23" i="5"/>
  <c r="G23" i="5"/>
  <c r="E315" i="10" l="1"/>
  <c r="F315" i="10"/>
  <c r="E227" i="10"/>
  <c r="G226" i="10"/>
  <c r="F226" i="10" s="1"/>
  <c r="F1152" i="10"/>
  <c r="E1152" i="10"/>
  <c r="F789" i="10"/>
  <c r="F799" i="10"/>
  <c r="E7" i="5"/>
  <c r="G7" i="5" s="1"/>
  <c r="D7" i="5"/>
  <c r="E6" i="5"/>
  <c r="G6" i="5" s="1"/>
  <c r="D6" i="5"/>
  <c r="E19" i="5"/>
  <c r="G19" i="5" s="1"/>
  <c r="D19" i="5"/>
  <c r="E226" i="10" l="1"/>
  <c r="G225" i="10"/>
  <c r="F225" i="10" s="1"/>
  <c r="E2" i="5"/>
  <c r="G2" i="5" s="1"/>
  <c r="D2" i="5"/>
  <c r="E5" i="5"/>
  <c r="G5" i="5" s="1"/>
  <c r="D5" i="5"/>
  <c r="E8" i="5"/>
  <c r="G8" i="5" s="1"/>
  <c r="D8" i="5"/>
  <c r="E225" i="10" l="1"/>
  <c r="G224" i="10"/>
  <c r="F224" i="10" s="1"/>
  <c r="D4" i="5"/>
  <c r="E3" i="5"/>
  <c r="G3" i="5" s="1"/>
  <c r="E4" i="5"/>
  <c r="G4" i="5" s="1"/>
  <c r="D3" i="5"/>
  <c r="G223" i="10" l="1"/>
  <c r="F223" i="10" s="1"/>
  <c r="E224" i="10"/>
  <c r="G24" i="5"/>
  <c r="E223" i="10" l="1"/>
  <c r="G222" i="10"/>
  <c r="F222" i="10" s="1"/>
  <c r="G25" i="5"/>
  <c r="E193" i="10"/>
  <c r="E189" i="10"/>
  <c r="E181" i="10"/>
  <c r="E177" i="10"/>
  <c r="E173" i="10"/>
  <c r="E190" i="10"/>
  <c r="E188" i="10"/>
  <c r="E182" i="10"/>
  <c r="E178" i="10"/>
  <c r="E176" i="10"/>
  <c r="E222" i="10" l="1"/>
  <c r="G220" i="10"/>
  <c r="F220" i="10" s="1"/>
  <c r="G221" i="10"/>
  <c r="F221" i="10" s="1"/>
  <c r="E196" i="10"/>
  <c r="E175" i="10"/>
  <c r="E183" i="10"/>
  <c r="E187" i="10"/>
  <c r="E191" i="10"/>
  <c r="F879" i="10"/>
  <c r="E879" i="10"/>
  <c r="G1504" i="10"/>
  <c r="E1504" i="10" s="1"/>
  <c r="E221" i="10" l="1"/>
  <c r="E220" i="10"/>
  <c r="F1504" i="10"/>
  <c r="K1335" i="10"/>
  <c r="J1335" i="10" l="1"/>
  <c r="G202" i="10"/>
  <c r="F202" i="10" s="1"/>
  <c r="G204" i="10"/>
  <c r="G206" i="10"/>
  <c r="F206" i="10" s="1"/>
  <c r="E212" i="10"/>
  <c r="E214" i="10"/>
  <c r="G203" i="10"/>
  <c r="F203" i="10" s="1"/>
  <c r="G205" i="10"/>
  <c r="F205" i="10" s="1"/>
  <c r="G207" i="10"/>
  <c r="F207" i="10" s="1"/>
  <c r="E211" i="10"/>
  <c r="E204" i="10" l="1"/>
  <c r="F204" i="10"/>
  <c r="E213" i="10"/>
  <c r="E209" i="10"/>
  <c r="E205" i="10"/>
  <c r="E210" i="10"/>
  <c r="E206" i="10"/>
  <c r="E202" i="10"/>
  <c r="E215" i="10"/>
  <c r="E207" i="10"/>
  <c r="E203" i="10"/>
  <c r="E208" i="10"/>
  <c r="G1103" i="10"/>
  <c r="E1103" i="10" s="1"/>
  <c r="G1104" i="10"/>
  <c r="F1104" i="10" s="1"/>
  <c r="G1105" i="10"/>
  <c r="F1105" i="10" s="1"/>
  <c r="G1093" i="10"/>
  <c r="F1093" i="10" s="1"/>
  <c r="G1094" i="10"/>
  <c r="E1094" i="10" s="1"/>
  <c r="G1107" i="10"/>
  <c r="E1107" i="10" s="1"/>
  <c r="G1097" i="10"/>
  <c r="F1097" i="10" s="1"/>
  <c r="G1106" i="10"/>
  <c r="F1106" i="10" s="1"/>
  <c r="G1088" i="10"/>
  <c r="F1088" i="10" s="1"/>
  <c r="G1108" i="10"/>
  <c r="F1108" i="10" s="1"/>
  <c r="G1091" i="10"/>
  <c r="F1091" i="10" s="1"/>
  <c r="G1085" i="10"/>
  <c r="E1085" i="10" s="1"/>
  <c r="G1092" i="10"/>
  <c r="E1092" i="10" s="1"/>
  <c r="G1110" i="10"/>
  <c r="E1110" i="10" s="1"/>
  <c r="G1095" i="10"/>
  <c r="E1095" i="10" s="1"/>
  <c r="G1087" i="10"/>
  <c r="E1087" i="10" s="1"/>
  <c r="G1109" i="10"/>
  <c r="E1109" i="10" s="1"/>
  <c r="G1098" i="10"/>
  <c r="E1098" i="10" s="1"/>
  <c r="G1096" i="10"/>
  <c r="F1096" i="10" s="1"/>
  <c r="G1086" i="10"/>
  <c r="E1086" i="10" s="1"/>
  <c r="G1090" i="10"/>
  <c r="F1090" i="10" s="1"/>
  <c r="G1099" i="10"/>
  <c r="E1099" i="10" s="1"/>
  <c r="G1089" i="10"/>
  <c r="E1089" i="10" s="1"/>
  <c r="F1086" i="10" l="1"/>
  <c r="F1099" i="10"/>
  <c r="E1093" i="10"/>
  <c r="E1108" i="10"/>
  <c r="F1089" i="10"/>
  <c r="F1098" i="10"/>
  <c r="F1095" i="10"/>
  <c r="E1088" i="10"/>
  <c r="F1107" i="10"/>
  <c r="F1087" i="10"/>
  <c r="F1110" i="10"/>
  <c r="E1096" i="10"/>
  <c r="F1085" i="10"/>
  <c r="E1097" i="10"/>
  <c r="F1094" i="10"/>
  <c r="E1104" i="10"/>
  <c r="E1105" i="10"/>
  <c r="E1090" i="10"/>
  <c r="F1109" i="10"/>
  <c r="F1092" i="10"/>
  <c r="E1091" i="10"/>
  <c r="E1106" i="10"/>
  <c r="F1103" i="10"/>
  <c r="G1125" i="10"/>
  <c r="F1125" i="10" s="1"/>
  <c r="G1132" i="10"/>
  <c r="E1132" i="10" s="1"/>
  <c r="G1126" i="10"/>
  <c r="E1126" i="10" s="1"/>
  <c r="G1123" i="10"/>
  <c r="E1123" i="10" s="1"/>
  <c r="G1118" i="10"/>
  <c r="F1118" i="10" s="1"/>
  <c r="G1122" i="10"/>
  <c r="E1122" i="10" s="1"/>
  <c r="E1137" i="10"/>
  <c r="F1137" i="10"/>
  <c r="G1121" i="10"/>
  <c r="E1121" i="10" s="1"/>
  <c r="G1116" i="10"/>
  <c r="F1116" i="10" s="1"/>
  <c r="G1115" i="10"/>
  <c r="F1115" i="10" s="1"/>
  <c r="G1136" i="10"/>
  <c r="F1136" i="10" s="1"/>
  <c r="G1119" i="10"/>
  <c r="F1119" i="10" s="1"/>
  <c r="G1135" i="10"/>
  <c r="E1135" i="10" s="1"/>
  <c r="G1133" i="10"/>
  <c r="F1133" i="10" s="1"/>
  <c r="G1117" i="10"/>
  <c r="E1117" i="10" s="1"/>
  <c r="G1124" i="10"/>
  <c r="F1124" i="10" s="1"/>
  <c r="G1134" i="10"/>
  <c r="F1134" i="10" s="1"/>
  <c r="G1130" i="10"/>
  <c r="E1130" i="10" s="1"/>
  <c r="G1120" i="10"/>
  <c r="F1120" i="10" s="1"/>
  <c r="G1112" i="10"/>
  <c r="F1112" i="10" s="1"/>
  <c r="G1113" i="10"/>
  <c r="F1113" i="10" s="1"/>
  <c r="G1131" i="10"/>
  <c r="E1131" i="10" s="1"/>
  <c r="G1114" i="10"/>
  <c r="F1114" i="10" s="1"/>
  <c r="F1131" i="10" l="1"/>
  <c r="E1124" i="10"/>
  <c r="E1116" i="10"/>
  <c r="F1126" i="10"/>
  <c r="F1117" i="10"/>
  <c r="E1114" i="10"/>
  <c r="E1112" i="10"/>
  <c r="E1136" i="10"/>
  <c r="F1123" i="10"/>
  <c r="E1125" i="10"/>
  <c r="E1118" i="10"/>
  <c r="F1135" i="10"/>
  <c r="E1120" i="10"/>
  <c r="E1134" i="10"/>
  <c r="E1119" i="10"/>
  <c r="F1121" i="10"/>
  <c r="E1113" i="10"/>
  <c r="E1133" i="10"/>
  <c r="F1132" i="10"/>
  <c r="F1130" i="10"/>
  <c r="E1115" i="10"/>
  <c r="F1122" i="10"/>
  <c r="G1129" i="10"/>
  <c r="E1129" i="10" s="1"/>
  <c r="G1127" i="10"/>
  <c r="F1127" i="10" s="1"/>
  <c r="G1128" i="10"/>
  <c r="E1128" i="10" s="1"/>
  <c r="F1128" i="10" l="1"/>
  <c r="F1129" i="10"/>
  <c r="E1127" i="10"/>
  <c r="G1100" i="10"/>
  <c r="F1100" i="10" s="1"/>
  <c r="G1102" i="10"/>
  <c r="E1102" i="10" s="1"/>
  <c r="G1101" i="10"/>
  <c r="E1101" i="10" s="1"/>
  <c r="F1101" i="10" l="1"/>
  <c r="E1100" i="10"/>
  <c r="F1102" i="10"/>
  <c r="G527" i="10"/>
  <c r="F527" i="10" s="1"/>
  <c r="G529" i="10"/>
  <c r="F529" i="10" s="1"/>
  <c r="G528" i="10"/>
  <c r="F528" i="10" s="1"/>
  <c r="E528" i="10" l="1"/>
  <c r="E527" i="10"/>
  <c r="E529" i="10"/>
  <c r="P544" i="10"/>
  <c r="P538" i="10"/>
  <c r="P539" i="10" l="1"/>
  <c r="P537" i="10"/>
  <c r="P540" i="10"/>
  <c r="P531" i="10"/>
  <c r="P532" i="10"/>
  <c r="P543" i="10"/>
  <c r="P535" i="10"/>
  <c r="P533" i="10"/>
  <c r="P541" i="10"/>
  <c r="P536" i="10"/>
  <c r="P534" i="10"/>
  <c r="P542" i="10"/>
</calcChain>
</file>

<file path=xl/sharedStrings.xml><?xml version="1.0" encoding="utf-8"?>
<sst xmlns="http://schemas.openxmlformats.org/spreadsheetml/2006/main" count="5616" uniqueCount="3660">
  <si>
    <t>Полное наименование</t>
  </si>
  <si>
    <t>шт</t>
  </si>
  <si>
    <t>Базовая единица изм.</t>
  </si>
  <si>
    <t>Трудоем-кость, чел/час</t>
  </si>
  <si>
    <t>Код расценки</t>
  </si>
  <si>
    <t>Норма выработки за час, шт.</t>
  </si>
  <si>
    <t>Количество изделий</t>
  </si>
  <si>
    <t>Заработан-ные, н/час</t>
  </si>
  <si>
    <t>комплект</t>
  </si>
  <si>
    <t xml:space="preserve">Подготовка пластин-изоляторов стыка распределительного шинопровода (обрубка литников)
</t>
  </si>
  <si>
    <t xml:space="preserve">Оклейка крышек  шинопровода 800-5000А (+болты)
</t>
  </si>
  <si>
    <t>Обезжиривание и оклейка с одной стороны пластины стыка РЕ (тонкая) стыка 800-1250А</t>
  </si>
  <si>
    <t>Обезжиривание и оклейка с одной стороны пластины стыка РЕ (тонкая) стыка 1600-2500А</t>
  </si>
  <si>
    <t>Обезжиривание и оклейка с одной стороны пластины стыка РЕ (тонкая) стыка 3200-5000А</t>
  </si>
  <si>
    <t>Итого (ощее число)</t>
  </si>
  <si>
    <t>Итого (на каждого, если двое)</t>
  </si>
  <si>
    <t>Упаковка</t>
  </si>
  <si>
    <t>подддон</t>
  </si>
  <si>
    <t>Комплектовка и упаковка стандартных секций на поддон</t>
  </si>
  <si>
    <t>шина</t>
  </si>
  <si>
    <t>Подготовка изоляторов 800-1250А (обезжиривание и оклейка двухсторонним скотчем), только для магистрального шинопровода.</t>
  </si>
  <si>
    <t>Подготовка изоляторов 1600-2500А (обезжиривание и оклейка двухсторонним скотчем), только для магистрального шинопровода.</t>
  </si>
  <si>
    <t>Подготовка изоляторов 3200-5000А (обезжиривание и оклейка двухсторонним скотчем), только для магистрального шинопровода.</t>
  </si>
  <si>
    <t>Подготовка изоляторов 6300А (обезжиривание и оклейка двухсторонним скотчем), только для магистрального шинопровода.</t>
  </si>
  <si>
    <t xml:space="preserve">Сборка стандартного 4-х и 5-ти проводного вертикального  угла магистрального шинопровода  KLM-S-CP 3200-4000А
</t>
  </si>
  <si>
    <t xml:space="preserve">Сборка стандартного 4-х и 5-ти проводного вертикального  угла магистрального шинопровода  KLM-S-CP 5000А
</t>
  </si>
  <si>
    <t>Обезжиривание и оклейка с одной стороны пластины стыка РЕ (тонкая) стыка 6300А</t>
  </si>
  <si>
    <t xml:space="preserve">Сборка стандартного 4-х и 5-ти проводного  горизонтального угла   магистрального  шинопровода  KLM-S-CD 800-2500А
</t>
  </si>
  <si>
    <t xml:space="preserve">Сборка стандартного 4-х и 5-ти проводного  горизонтального угла   магистрального  шинопровода  KLM-S-CD 5000А
</t>
  </si>
  <si>
    <t xml:space="preserve">Сборка стандартного 4-х и 5-ти проводного  горизонтального угла   магистрального  шинопровода  KLM-S-CD 3200-4000А
</t>
  </si>
  <si>
    <t xml:space="preserve">Сборка стандартного 4-х и 5-ти проводного вертикального  угла магистрального шинопровода  KLM-S-CP 6300А
</t>
  </si>
  <si>
    <t xml:space="preserve">Сборка стандартного 4-х и 5-ти проводного  горизонтального угла   магистрального  шинопровода  KLM-S-CD 6300А
</t>
  </si>
  <si>
    <t xml:space="preserve">Сборка 4-х и 5-ти проводной терминальной фланцевой секции  магистрального шинопровода  KLM-R-ATSC  800 - 2500А
</t>
  </si>
  <si>
    <t xml:space="preserve">Сборка 4-х и 5-ти проводной терминальной фланцевой секции  магистрального шинопровода  KLM-R-ATSC  3200 - 4000А
</t>
  </si>
  <si>
    <t xml:space="preserve">Сборка 4-х и 5-ти проводной  терминальной фланцевой секции  магистрального шинопровода KLM-R-ATSC  5000А
</t>
  </si>
  <si>
    <t xml:space="preserve">Норма выраб.за смену, шт </t>
  </si>
  <si>
    <t>Сборка 4-х и 5-ти проводной терминальной секции с вертикальным углом магистрального шинопровода  KLM-S-ATSCP 800 -2500А</t>
  </si>
  <si>
    <t>Сборка 4-х и 5-ти проводной терминальной секции с вертикальным углом магистрального шинопровода  KLM-S-ATSCP 3200 -4000А</t>
  </si>
  <si>
    <t>Сборка 4-х и 5-ти проводной терминальной секции с вертикальным углом магистрального шинопровода  KLM-S-ATSCP 5000А</t>
  </si>
  <si>
    <t>Сборка 4-х и 5-ти проводной терминальной секции с горизонтальным углом магистрального шинопровода  KLM-S-ATSCD 800 -2500А</t>
  </si>
  <si>
    <t>Сборка 4-х и 5-ти проводной терминальной секции с горизонтальным углом магистрального шинопровода  KLM-S-ATSCD 3200 -4000А</t>
  </si>
  <si>
    <t>Сборка 4-х и 5-ти проводной терминальной секции с горизонтальным углом магистрального шинопровода  KLM-S-ATSCD 5000А</t>
  </si>
  <si>
    <t xml:space="preserve">Сборка горизонтального 4-х и 5-ти проводного Z-модуля магистрального шинопровода  KLM-S-ZD 800 - 2500А 
</t>
  </si>
  <si>
    <t xml:space="preserve">Сборка горизонтального 4-х и 5-ти проводного Z-модуля магистрального шинопровода  KLM-S-ZD 3200 - 4000А 
</t>
  </si>
  <si>
    <t xml:space="preserve">Сборка горизонтального 4-х и 5-ти проводного Z-модуля магистрального шинопровода  KLM-S-ZD 5000А 
</t>
  </si>
  <si>
    <t>Оклейка пластины PE 3200 – 6300А магистрального шинопровода</t>
  </si>
  <si>
    <t>Оклейка пластины PE 800 – 2500А магистрального шинопровода</t>
  </si>
  <si>
    <t>Оклейка корпуса пятипроводной секции PE 800 – 2500А магистрального шинопровода</t>
  </si>
  <si>
    <t>Оклейка корпуса пятипроводной секции PE 3200 – 6300А магистрального шинопровода</t>
  </si>
  <si>
    <t xml:space="preserve">Нарезка изоляторов (гребенок) распределительного шинопровода </t>
  </si>
  <si>
    <t xml:space="preserve">Сборка стандартного  4-х и 5-ти проводного вертикального угла распределительного шинопровода  KLM-R-CР 100-630А
</t>
  </si>
  <si>
    <t>Сборка стандартного 4-х и 5-ти проводного  горизонтального угла   распределительного  шинопровода  KLM-R-CD  100-630А</t>
  </si>
  <si>
    <t xml:space="preserve">Сборка 4-х и 5-ти проводной терминальной фланцевой секции распределительного шинопровода  KLM-R-ATSC 100-630А   
</t>
  </si>
  <si>
    <t xml:space="preserve">Оклейка окошек отбора мощности секции распределительного шинопровода KLM-R-Pi 100-630А
</t>
  </si>
  <si>
    <t xml:space="preserve">Сборка горизонтального 4-х и 5-ти проводного  Z-модуля распределительного  шинопровода  KLM-R-ZD 100-630А
</t>
  </si>
  <si>
    <t>Оклейка корпуса стыка распределительного шинопровода 100-630А</t>
  </si>
  <si>
    <t>Упаковка крышек стыка (за комплект 10 шт.)</t>
  </si>
  <si>
    <t>Распаковка окрашенных корпусов секций (снятие упаковочной пленки)</t>
  </si>
  <si>
    <t xml:space="preserve">Сборка стандартного 4-х и 5-ти проводного  горизонтального угла   магистрального  шинопровода  KLM-S-CD 800-2500А Тип "С"
</t>
  </si>
  <si>
    <t xml:space="preserve">Сборка стандартного 4-х и 5-ти проводного  горизонтального угла   магистрального  шинопровода  KLM-S-CD 3200-4000А Тип "С"
</t>
  </si>
  <si>
    <t xml:space="preserve">Сборка стандартного 4-х и 5-ти проводного  горизонтального угла   магистрального  шинопровода  KLM-S-CD 5000А Тип "С"
</t>
  </si>
  <si>
    <t xml:space="preserve">Сборка стандартного 4-х и 5-ти проводного  горизонтального угла   магистрального  шинопровода  KLM-S-CD 6300А Тип "С"
</t>
  </si>
  <si>
    <t xml:space="preserve">Сборка 4-х и 5-ти проводной терминальной фланцевой секции  магистрального шинопровода  KLM-R-ATSC  800 - 2500А Тип "С"
</t>
  </si>
  <si>
    <t xml:space="preserve">Сборка 4-х и 5-ти проводной терминальной фланцевой секции  магистрального шинопровода  KLM-R-ATSC  3200 - 4000А Тип "С"
</t>
  </si>
  <si>
    <t xml:space="preserve">Сборка 4-х и 5-ти проводной  терминальной фланцевой секции  магистрального шинопровода KLM-R-ATSC  5000А Тип "С"
</t>
  </si>
  <si>
    <t xml:space="preserve">Сборка 4-х и 5-ти проводного комбинированного угла магистрального шинопровода  KLM-S-ZDP 800 - 2500А 
</t>
  </si>
  <si>
    <t xml:space="preserve">Сборка 4-х и 5-ти проводного комбинированного угла магистрального шинопровода  KLM-S-ZDP 5000А 
</t>
  </si>
  <si>
    <t xml:space="preserve">Сборка 4-х и 5-ти проводного комбинированного угла магистрального шинопровода  KLM-S-ZDP 3200 - 4000А 
</t>
  </si>
  <si>
    <t xml:space="preserve">Сборка горизонтального 4-х и 5-ти проводного Z-модуля магистрального шинопровода  KLM-S-ZD 3200 - 4000А  Тип "С"
</t>
  </si>
  <si>
    <t xml:space="preserve">Сборка горизонтального 4-х и 5-ти проводного Z-модуля магистрального шинопровода  KLM-S-ZD 5000А  Тип "С"
</t>
  </si>
  <si>
    <t xml:space="preserve">Сборка нестандартного 4-х и 5-ти проводного  горизонтального угла   магистрального  шинопровода  KLM-S-CD 800-2500А (с длиной сторон от 500 мм.)
</t>
  </si>
  <si>
    <t xml:space="preserve">Сборка нестандартного 4-х и 5-ти проводного  горизонтального угла   магистрального  шинопровода  KLM-S-CD 800-2500А Тип "С" (с длиной сторон от 500 мм.)
</t>
  </si>
  <si>
    <t xml:space="preserve">Сборка нестандартного 4-х и 5-ти проводного  горизонтального угла   магистрального  шинопровода  KLM-S-CD 3200-4000А Тип "С" (с длиной сторон от 600 мм.)
</t>
  </si>
  <si>
    <t xml:space="preserve">Сборка нестандартного 4-х и 5-ти проводного  горизонтального угла   магистрального  шинопровода  KLM-S-CD 5000А Тип "С" (с длиной сторон от 700 мм.)
</t>
  </si>
  <si>
    <t xml:space="preserve">Сборка нестандартного 4-х и 5-ти проводного  горизонтального угла   магистрального  шинопровода  KLM-S-CD 6300А Тип "С" (с длиной сторон от 900 мм.)
</t>
  </si>
  <si>
    <t xml:space="preserve">Сборка нестандартного 4-х и 5-ти проводного  горизонтального угла   магистрального  шинопровода  KLM-S-CD 3200-4000А (с длиной сторон от 600 мм.)
</t>
  </si>
  <si>
    <t xml:space="preserve">Сборка нестандартного 4-х и 5-ти проводного  горизонтального угла   магистрального  шинопровода  KLM-S-CD 5000А (с длиной сторон от 700 мм.)
</t>
  </si>
  <si>
    <t xml:space="preserve">Сборка нестандартного 4-х и 5-ти проводного  горизонтального угла   магистрального  шинопровода  KLM-S-CD 6300А (с длиной сторон от 900 мм.)
</t>
  </si>
  <si>
    <t>Сборка нестандартного 4-х и 5-ти проводного  горизонтального угла распределительного шинопровода  KLM-R-CD  100-630А (с длиной сторон от 300 мм.)</t>
  </si>
  <si>
    <t xml:space="preserve">Сборка нестандартного  4-х и 5-ти проводного вертикального угла распределительного шинопровода  KLM-R-CР 100-630А (с длиной сторон от 300 мм.)
</t>
  </si>
  <si>
    <t xml:space="preserve">Сборка нестандартного 4-х и 5-ти проводного вертикального  угла магистрального шинопровода  KLM-S-CP 6300А (с длиной сторон от 900 мм.)
</t>
  </si>
  <si>
    <t xml:space="preserve">Сборка нестандартного 4-х и 5-ти проводного вертикального  угла магистрального шинопровода  KLM-S-CP 5000А (с длиной сторон от 700 мм.)
</t>
  </si>
  <si>
    <t xml:space="preserve">Сборка нестандартного 4-х и 5-ти проводного вертикального  угла магистрального шинопровода  KLM-S-CP 3200-4000А (с длиной сторон от 600 мм.)
</t>
  </si>
  <si>
    <t xml:space="preserve">Сборка 4-х и 5-ти проводного нестандартного вертикального тройника магистрального шинопровода KLM-S-Т 3200-4000А (с удлиненными сторонами)
</t>
  </si>
  <si>
    <t xml:space="preserve">Сборка гибкой изолированной шины </t>
  </si>
  <si>
    <t>Сборка гибкой изолированной шины 32х1х8х2000 (8 шин)</t>
  </si>
  <si>
    <t>Сборка гибкой изолированной шины 20х1х2х2000 (2 шины)</t>
  </si>
  <si>
    <t>Сборка гибкой изолированной шины 20х1х3х2000 (3 шины)</t>
  </si>
  <si>
    <t>Сборка гибкой изолированной шины 24х1х3х2000 (3 шины)</t>
  </si>
  <si>
    <t>Сборка гибкой изолированной шины 24х1х4х2000 (4 шины)</t>
  </si>
  <si>
    <t>Сборка гибкой изолированной шины 24х1х5х2000 (5 шин)</t>
  </si>
  <si>
    <t>Сборка гибкой изолированной шины 32х1х5х2000 (5 шин)</t>
  </si>
  <si>
    <t>Сборка гибкой изолированной шины 32х1х6х2000 (6 шин)</t>
  </si>
  <si>
    <t xml:space="preserve">            Изготовление шин для терминальных фланцевых секций:</t>
  </si>
  <si>
    <t>Разметка отверстий на шинах для терминальных фланцевых секций 800А, кернение (2 отверстия)</t>
  </si>
  <si>
    <t>Разметка отверстий на шинах для терминальных фланцевых секций 1000-1250А, кернение (4 отверстия)</t>
  </si>
  <si>
    <t>Разметка отверстий на шинах для терминальных фланцевых секций 1600-2000А, кернение (8 отверстий)</t>
  </si>
  <si>
    <t>Разметка отверстий на шинах для терминальных фланцевых секций 2500А, кернение (10 отверстий)</t>
  </si>
  <si>
    <t>Зенковка отверстий в шинах для терминальных фланцевых секций 800А (2 отверстия)</t>
  </si>
  <si>
    <t>Зенковка отверстий в шинах для терминальных фланцевых секций 1000-1250А (4 отверстия)</t>
  </si>
  <si>
    <t>Зенковка отверстий в шинах для терминальных фланцевых секций 1600-2000А (8 отверстий)</t>
  </si>
  <si>
    <t>Зенковка отверстий в шинах для терминальных фланцевых секций 2500А (10 отверстий)</t>
  </si>
  <si>
    <t>коробка</t>
  </si>
  <si>
    <t>Разметка отверстий на переходных пластинах для терминальных фланцевых секций 3200А, кернение</t>
  </si>
  <si>
    <t xml:space="preserve">Разметка отверстий на переходных пластинах для терминальных фланцевых секций 4000А, кернение </t>
  </si>
  <si>
    <t xml:space="preserve">Зенковка отверстий в переходных пластинах для терминальных фланцевых секций 3200А </t>
  </si>
  <si>
    <t>Зенковка отверстий в переходных пластинах для терминальных фланцевых секций 4000А</t>
  </si>
  <si>
    <t xml:space="preserve">Пробивка отверстий в переходных пластинах для терминальных фланцевых секций 3200А на комбинированных пресс ножницах (Геке), правка </t>
  </si>
  <si>
    <t xml:space="preserve">Пробивка отверстий в переходных пластинах для терминальных фланцевых секций 4000А на комбинированных пресс ножницах (Геке), правка </t>
  </si>
  <si>
    <t xml:space="preserve">Сборка 4-х и 5-ти проводного комбинированного угла магистрального шинопровода  KLM-S-ZDP 800 - 2500А (с длинной стороны от 700 ммм до 900 мм.)
</t>
  </si>
  <si>
    <t xml:space="preserve">Сборка 4-х и 5-ти проводного комбинированного угла магистрального шинопровода  KLM-S-ZDP 3200 - 4000А (с длинной стороны от 700 ммм до 900 мм.)
</t>
  </si>
  <si>
    <t xml:space="preserve">Сборка 4-х и 5-ти проводного комбинированного угла магистрального шинопровода  KLM-S-ZDP 5000А (с длинной стороны от 700 ммм.)
</t>
  </si>
  <si>
    <t xml:space="preserve">Сборка 4-х и 5-ти проводного комбинированного угла магистрального шинопровода  KLM-S-ZDP 800 - 2500А (с длинной стороны от 900 мм.)
</t>
  </si>
  <si>
    <t xml:space="preserve">Сборка 4-х и 5-ти проводного комбинированного угла магистрального шинопровода  KLM-S-ZDP 3200 - 4000А (с длинной стороны от 900 мм.)
</t>
  </si>
  <si>
    <t xml:space="preserve">Пробивка 2-х отверстий в шинах для терминальных фланцевых секций 800А на комбинированных пресс ножницах (Геке), правка 2-х отверстий </t>
  </si>
  <si>
    <t>Пробивка 4-х отверстий в шинах для терминальных фланцевых секций 1000-1250А на комбинированных пресс ножницах (Геке), правка 4-х отверстий</t>
  </si>
  <si>
    <t>Пробивка 8-ми отверстий в шинах для терминальных фланцевых секций 1600-2000А на комбинированных пресс ножницах (Геке), правка 8-ми отверстий</t>
  </si>
  <si>
    <t>Пробивка отверстий в шинах для терминальных фланцевых секций 2500А на комбинированных пресс ножницах (Геке), правка 10-ти отверстий</t>
  </si>
  <si>
    <t>Подготовка медных пластин стыка магистрального шинопровода 6300А (зенковка, рихтовка, очистка от пыли, наклейка двухстороннего скотча)</t>
  </si>
  <si>
    <t>Сборка гибкого модуля FLX распределительного шинопровода KLM-R-FLX 100-400А</t>
  </si>
  <si>
    <t>Сборка гибкого модуля FLX распределительного шинопровода KLM-R-FLX 500-630А</t>
  </si>
  <si>
    <t xml:space="preserve">Сборка 4-х и 5-ти проводной секции с окошками отбора мощности магистрального шинопровода KLM-S-Pi, Al длиной 2000-3000 мм.: 800 – 1250А  
</t>
  </si>
  <si>
    <t xml:space="preserve">Сборка 4-х и 5-ти проводной секции с окошками отбора мощности магистрального шинопровода KLM-S-Pi, Al длиной 2000-3000 мм.: 1600 – 2500А  
</t>
  </si>
  <si>
    <t xml:space="preserve">Сборка 4-х и 5-ти проводной секции с окошками отбора мощности магистрального шинопровода KLM-S-Pi, Al длиной 2000-3000 мм.: 3200 – 4000А  
</t>
  </si>
  <si>
    <t xml:space="preserve">Сборка 4-х и 5-ти проводной секции с окошками отбора мощности магистрального шинопровода KLM-S-Pi, Cu длиной 2000-3000 мм.: 800 – 1250А  
</t>
  </si>
  <si>
    <t xml:space="preserve">Сборка стандартного 4-х и 5-ти проводного вертикального  угла магистрального шинопровода  KLM-S-CP 800-1000А
</t>
  </si>
  <si>
    <t xml:space="preserve">Сборка стандартного 4-х и 5-ти проводного вертикального  угла магистрального шинопровода  KLM-S-CP 1250-1600А
</t>
  </si>
  <si>
    <t xml:space="preserve">Сборка стандартного 4-х и 5-ти проводного вертикального  угла магистрального шинопровода  KLM-S-CP 2500А
</t>
  </si>
  <si>
    <t xml:space="preserve">Сборка нестандартного 4-х и 5-ти проводного вертикального  угла магистрального шинопровода  KLM-S-CP 800-1600А (с длиной сторон от 500 мм.)
</t>
  </si>
  <si>
    <t xml:space="preserve">Сборка нестандартного 4-х и 5-ти проводного вертикального  угла магистрального шинопровода  KLM-S-CP 2500А (с длиной сторон от 500 мм.)
</t>
  </si>
  <si>
    <t>Сборка коробок отбора мощности, контактных групп</t>
  </si>
  <si>
    <t>Сборка гибкого модуля FLX осветительного шинопровода KLM-L-FLX (0.7-1,2 м.)</t>
  </si>
  <si>
    <t>шт.</t>
  </si>
  <si>
    <t>Сборка 4-х  проводной секции магистрального шинопровода длиной 1000-1999 мм.: 6300А  (шины Аl)</t>
  </si>
  <si>
    <t>Сборка 4-х  проводной секции магистрального шинопровода длиной 2000-3000 мм.: 6300А  (шины Аl)</t>
  </si>
  <si>
    <t>Сборка 5-ти  проводной секции магистрального шинопровода длиной 1000-1999 мм.: 6300А (шины Аl)</t>
  </si>
  <si>
    <t>Сборка 5-ти  проводной секции магистрального шинопровода длиной 2000-3000 мм.: 6300А  (шины Аl)</t>
  </si>
  <si>
    <t>Сборка 4-х  проводной секции магистрального шинопровода длиной до 999 мм.: 6300А  (шины Аl)</t>
  </si>
  <si>
    <t>Сборка 5-ти  проводной секции магистрального шинопровода длиной до 999 мм.: 6300А (шины Аl)</t>
  </si>
  <si>
    <t>Резка алюминиевой ленты 0,3 мм (длина: 250-499 мм; ширина: до 99 мм)</t>
  </si>
  <si>
    <t>Резка алюминиевой ленты 0,3 мм (длина: 250-499 мм; ширина: 100-159 мм)</t>
  </si>
  <si>
    <t>Резка алюминиевой ленты 0,3 мм (длина: 250-499 мм; ширина: 160-200 мм)</t>
  </si>
  <si>
    <t>Резка алюминиевой ленты 0,3 мм (длина: 500-999 мм; ширина: до 99 мм)</t>
  </si>
  <si>
    <t>Резка алюминиевой ленты 0,3 мм (длина: 500-999 мм; ширина: 100-159 мм)</t>
  </si>
  <si>
    <t>Резка алюминиевой ленты 0,3 мм (длина: 500-999 мм; ширина: 160-200 мм)</t>
  </si>
  <si>
    <t>Резка алюминиевой ленты 0,3 мм (длина: от 1000 мм; ширина: до 99 мм)</t>
  </si>
  <si>
    <t>Резка алюминиевой ленты 0,3 мм (длина: от 1000 мм; ширина: 100-159 мм)</t>
  </si>
  <si>
    <t>Резка алюминиевой ленты 0,3 мм (длина: от 1000 мм; ширина: 160-200 мм)</t>
  </si>
  <si>
    <t>Замена катушки с лентой (вручную)</t>
  </si>
  <si>
    <t>Резка алюминиевой ленты для КША</t>
  </si>
  <si>
    <t>Пакет  КША  (длина: 250-499 мм; ширина: до 99 мм)</t>
  </si>
  <si>
    <t>Пакет  КША  (длина: 250-499 мм; ширина: 100-159 мм)</t>
  </si>
  <si>
    <t>Пакет  КША (длина: 250-499 мм; ширина: 160-200 мм)</t>
  </si>
  <si>
    <t>Пакет  КША  (длина: 500-999 мм; ширина: до 99 мм)</t>
  </si>
  <si>
    <t>Пакет  КША  (длина: 500-999 мм; ширина: 100-159 мм)</t>
  </si>
  <si>
    <t>Пакет  КША  (длина: 500-999 мм; ширина: 160-200 мм)</t>
  </si>
  <si>
    <t>Пакет  КША  (длина: от 1000 мм; ширина: до 99 мм)</t>
  </si>
  <si>
    <t>Пакет  КША  (длина: от 1000 мм; ширина: 100-159 мм)</t>
  </si>
  <si>
    <t>Пакет  КША  (длина: от 1000 мм; ширина: 160-200 мм)</t>
  </si>
  <si>
    <t>Оформление  фаски на шине перед сваркой (с одной стороны)</t>
  </si>
  <si>
    <t>Сварка КША 10 мм, оборудование "CEBORA" (3 прохода на сторону)</t>
  </si>
  <si>
    <t>С помощью разметочного штангенциркуля произвести разметку, обозначив границы фаски (или шва) в соответствии с чертежем.</t>
  </si>
  <si>
    <t>С помощью УШМ выровнять рабочую поверкхность  (для сварки)</t>
  </si>
  <si>
    <t>Разметка шин (для оформления фаски или сварки пакета КША, при ширине шины большей чем ширина пакета)</t>
  </si>
  <si>
    <t>Обработка фаски УШМ (шины для вертикальных элементов ШП)</t>
  </si>
  <si>
    <t>Обработка КША после сварки (с помощью УШМ)</t>
  </si>
  <si>
    <t>КША</t>
  </si>
  <si>
    <t>шов</t>
  </si>
  <si>
    <t>Сверление и раззенковка отверстий в профиле стыковочном (4 отв., 3 разных диаметров)</t>
  </si>
  <si>
    <t>Сборка 4-х и 5-ти проводного вертикального тройника распределительного шинопровода  KLM-R-TP 100-630А</t>
  </si>
  <si>
    <t>Сборка 4-х и 5-ти проводного вертикального тройника распределительного шинопровода  KLM-R-TP 100-630А (с удлиненными сторонами)</t>
  </si>
  <si>
    <t>Упаковка светильников типа ДПП 22-46 (1260х120х86 мм)</t>
  </si>
  <si>
    <t>Упаковка светильников типа ДПО 15 (по 4 шт. в коробку)</t>
  </si>
  <si>
    <t>Сборка комплекта для огнестойкой проходки шинопровода (файер барьера)  KLM-FB 100-630А</t>
  </si>
  <si>
    <t>Сборка комплекта для огнестойкой проходки шинопровода (файер барьера)  KLM-FB 5000А</t>
  </si>
  <si>
    <t>Сборка комплекта для огнестойкой проходки шинопровода (файер барьера)  KLM-FB 4000А</t>
  </si>
  <si>
    <t>Сборка комплекта для огнестойкой проходки шинопровода (файер барьера)  KLM-FB 800-1250А</t>
  </si>
  <si>
    <t>Сборка комплекта для огнестойкой проходки шинопровода (файер барьера)  KLM-FB 1600 -2000А</t>
  </si>
  <si>
    <t>Сборка комплекта для огнестойкой проходки шинопровода (файер барьера)  KLM-FB 2500А</t>
  </si>
  <si>
    <t>Сборка комплекта для огнестойкой проходки шинопровода (файер барьера)  KLM-FB 3200А</t>
  </si>
  <si>
    <t>Комплектовка и упаковка стыков и комплектующих на поддон 800х1200 (еврик) с бортами</t>
  </si>
  <si>
    <t>Сборка 4-х  проводной секции магистрального шинопровода длиной до 999 мм.: 6300А  (шины Cu)</t>
  </si>
  <si>
    <t>Сборка 5-ти  проводной секции магистрального шинопровода длиной до 999 мм.: 6300А (шины Cu)</t>
  </si>
  <si>
    <t>Сборка 4-х  проводной секции магистрального шинопровода длиной 1000-1999 мм.: 6300А  (шины Cu)</t>
  </si>
  <si>
    <t>Сборка 5-ти  проводной секции магистрального шинопровода длиной 1000-1999 мм.: 6300А (шины Cu)</t>
  </si>
  <si>
    <t>Сборка 5-ти  проводной секции магистрального шинопровода длиной 2000-3000 мм.: 6300А  (шины Cu)</t>
  </si>
  <si>
    <t>Сборка 4-х  проводной секции магистрального шинопровода длиной 2000-3000 мм.: 6300А (шины Cu)</t>
  </si>
  <si>
    <t>Сборка 4-х проводной секции магистрального шинопровода длиной 2000-3000 мм.: 800 – 1250А  (без учета оклейки пластин РЕ) (шины Аl)</t>
  </si>
  <si>
    <t>Сборка  5-ти проводной секции магистрального шинопровода длиной 2000-3000 мм.: 800 – 1250А  (без учета оклейки пластин РЕ) (шины Аl)</t>
  </si>
  <si>
    <t>Сборка 4-х  проводной секции магистрального шинопровода длиной 2000-3000 мм.: 1600 – 2500А  (без учета оклейки пластин РЕ) (шины Аl)</t>
  </si>
  <si>
    <t>Сборка 4-х  проводной  секции магистрального шинопровода длиной 2000-3000 мм.: 3200 – 4000А  (без учета оклейки пластин РЕ) (шины Аl)</t>
  </si>
  <si>
    <t>Сборка 4-х  проводной секции магистрального шинопровода длиной 2000-3000 мм.: 5000А  (без учета оклейки пластин РЕ) (шины Аl)</t>
  </si>
  <si>
    <t>Сборка и 5-ти проводной секции магистрального шинопровода длиной 2000-3000 мм.: 5000А  (без учета оклейки пластин РЕ) (шины Аl)</t>
  </si>
  <si>
    <t>Сборка 4-х  проводной секции магистрального шинопровода длиной 1000мм - 1999мм (S2): 800 – 2500А (без учета оклейки пластин РЕ) (шины Аl)</t>
  </si>
  <si>
    <t>Сборка 4-х  проводной секции магистрального шинопровода длиной 1000мм - 1999мм (S2):  3200 – 4000А  (без учета оклейки пластин РЕ) (шины Аl)</t>
  </si>
  <si>
    <t>Сборка 4-х  проводной секции магистрального шинопровода длиной до 999мм (S1): 800 – 2500А (без учета оклейки пластин РЕ) (шины Аl)</t>
  </si>
  <si>
    <t>Сборка 4-х проводной секции магистрального шинопровода длиной до 999мм (S1):  3200 – 4000А (без учета оклейки пластин РЕ ) (шины Аl)</t>
  </si>
  <si>
    <t>Сборка 4-х   проводной секции магистрального шинопровода длиной до 999мм (S1):  5000А (без учета оклейки пластин РЕ ) (шины Аl)</t>
  </si>
  <si>
    <t>Сборка и 5-ти проводной секции магистрального шинопровода длиной до 999мм (S1):  5000А (без учета оклейки пластин РЕ ) (шины Аl)</t>
  </si>
  <si>
    <t>Сборка 4-х  проводной секции магистрального шинопровода длиной 2000-3000 мм.: 800 – 1250А  (без учета оклейки пластин РЕ) (шины Cu)</t>
  </si>
  <si>
    <t>Сборка 4-х  проводной  секции магистрального шинопровода длиной 2000-3000 мм.: 1600 – 2500А  (без учета оклейки пластин РЕ) (шины Cu)</t>
  </si>
  <si>
    <t>Сборка 4-х  проводной секции магистрального шинопровода длиной 2000-3000 мм.: 3200 – 4000А  (без учета оклейки пластин РЕ) (шины Cu)</t>
  </si>
  <si>
    <t>Сборка 4-х  проводной секции магистрального шинопровода длиной 2000-3000 мм.: 5000А  (без учета оклейки пластин РЕ) (шины Cu)</t>
  </si>
  <si>
    <t>Сборка и 5-ти проводной секции магистрального шинопровода длиной 2000-3000 мм.: 5000А  (без учета оклейки пластин РЕ) (шины Cu)</t>
  </si>
  <si>
    <t>Сборка 4-х  проводной секции магистрального шинопровода длиной 1000мм - 1999мм (S2): 800 – 2500А (без учета оклейки пластин РЕ) (шины Cu)</t>
  </si>
  <si>
    <t>Сборка 4-х  проводной секции магистрального шинопровода длиной 1000мм - 1999мм (S2):  3200 – 4000А  (без учета оклейки пластин РЕ) (шины Cu)</t>
  </si>
  <si>
    <t>Сборка 4-х  проводной секции магистрального шинопровода длиной до 999мм (S1): 800 – 2500А (без учета оклейки пластин РЕ) (шины Cu)</t>
  </si>
  <si>
    <t>Сборка 4-х проводной секции магистрального шинопровода длиной до 999мм (S1):  3200 – 4000А (без учета оклейки пластин РЕ ) (шины Cu)</t>
  </si>
  <si>
    <t>Сборка 4-х   проводной секции магистрального шинопровода длиной до 999мм (S1):  5000А (без учета оклейки пластин РЕ ) (шины Cu)</t>
  </si>
  <si>
    <t>Сборка и 5-ти проводной секции магистрального шинопровода длиной до 999мм (S1):  5000А (без учета оклейки пластин РЕ ) (шины Cu)</t>
  </si>
  <si>
    <t>Комплектовка и упаковка  ЯОМ (тип 3812 - малый)   на поддон 800х3000</t>
  </si>
  <si>
    <t>Комплектовка и упаковка  ЯОМ (тип 1744 - средний)   на поддон 800х3000</t>
  </si>
  <si>
    <t>Комплектовка и упаковка  ЯОМ (тип 1906 - большой) на поддон 800х3000</t>
  </si>
  <si>
    <t>Комплектовка и упаковка  ЯОМ (тип 3812 - малый)   на поддон 1200х3000</t>
  </si>
  <si>
    <t>Комплектовка и упаковка  ЯОМ (тип 1744 - средний)   на поддон 1200х3000</t>
  </si>
  <si>
    <t>Комплектовка и упаковка  ЯОМ (тип 1906 - большой) на поддон 1200х3000</t>
  </si>
  <si>
    <t>Комплектовка и упаковка  ЯОМ (тип 3812 - малый)   на поддон 800х1200 (еврик)</t>
  </si>
  <si>
    <t>Комплектовка и упаковка  ЯОМ (тип 1744 - средний)   на поддон 800х1200 (еврик)</t>
  </si>
  <si>
    <t>Комплектовка и упаковка  ЯОМ (тип 1906 - большой) на поддон 800х1200 (еврик)</t>
  </si>
  <si>
    <t>Комплектовка и упаковка на поддон прямых секций нестандартной длины (L&lt;3000 мм)</t>
  </si>
  <si>
    <t>м</t>
  </si>
  <si>
    <t>Монтаж ручки автомата (МШП)</t>
  </si>
  <si>
    <t>Монтаж ручки автомата (РШП)</t>
  </si>
  <si>
    <t xml:space="preserve">Установка задней стенки </t>
  </si>
  <si>
    <t>Изолировка</t>
  </si>
  <si>
    <t xml:space="preserve"> Сборка и монтаж контактной группы  5Р  (шины Cu, РШП), с учетом нарезки изоляторов - "гребенок."</t>
  </si>
  <si>
    <t>Сборка 4-х и 5-ти проводного нестандартного вертикального тройника магистрального шинопровода KLM-S-ТP 5000 А (с удлиненными сторонами)</t>
  </si>
  <si>
    <t>Сборка 4-х и 5-ти проводного вертикального тройника магистрального шинопровода  KLM-S-TP 5000А</t>
  </si>
  <si>
    <t>Группа I-II.Установка  гибкой ошиновки , шин РЕ и N , площадки, фальш-панели, монтаж автомата. (РШП)</t>
  </si>
  <si>
    <t>Сборка 4-х и 5-ти проводного вертикального тройника магистрального шинопровода  KLM-S-CP 3200-4000А</t>
  </si>
  <si>
    <t>Сборка 4-х и 5-ти проводного нестандартного вертикального тройника магистрального шинопровода KLM-S-Т 2000-2500А (с удлиненными сторонами)</t>
  </si>
  <si>
    <t xml:space="preserve"> Сборка и монтаж контактной группы  4Р; (шины прямые, МШП).</t>
  </si>
  <si>
    <t xml:space="preserve"> Сборка и монтаж контактной группы  5Р;(шины прямые, МШП).</t>
  </si>
  <si>
    <t xml:space="preserve"> Сборка и монтаж контактной группы  4Р; (шины  гнутые).</t>
  </si>
  <si>
    <t xml:space="preserve"> Сборка и монтаж контактной группы  5Р; (шины гнутые).</t>
  </si>
  <si>
    <t xml:space="preserve"> Сборка и монтаж контактной группы  4Р  (шины Cu, РШП).</t>
  </si>
  <si>
    <t>Сборка 4-х и 5-ти проводного вертикального тройника магистрального шинопровода KLM-S-Т 800-1600А</t>
  </si>
  <si>
    <t>Установка сальника  (1 шт.) без учета раззенковки отверстия в задней крышке.</t>
  </si>
  <si>
    <t>Группа I-II. Установка  гибкой ошиновки , шин РЕ и N , площадки, фальш-панели  (для КОМ без автомата). РШП</t>
  </si>
  <si>
    <t>Группа II. Установка  гибкой ошиновки , шин РЕ и N , площадки, фальш-панели, монтаж автомата. Шины прямые(МШП)</t>
  </si>
  <si>
    <t>Сборка 4-х и 5-ти проводного нестандартного вертикального тройника магистрального шинопровода KLM-S-Т 800-16000А (с удлиненными сторонами)</t>
  </si>
  <si>
    <t>Сборка 4-х и 5-ти проводного вертикального тройника магистрального шинопровода KLM-S-Т 2000-2500А</t>
  </si>
  <si>
    <t>Оформление  фаски. Шина шириной до 99 мм (длина до 499 мм)</t>
  </si>
  <si>
    <t>Оформление  фаски. Шина шириной 100-159 мм (длина до 499 мм)</t>
  </si>
  <si>
    <t>Оформление  фаски. Шина шириной 160-200 мм (длина до 499 мм)</t>
  </si>
  <si>
    <t>Оформление  фаски. Шина шириной до 99 мм (длина от 500 мм)</t>
  </si>
  <si>
    <t>Оформление  фаски. Шина шириной 100-159 мм (длина от 500 мм)</t>
  </si>
  <si>
    <t>Оформление  фаски. Шина шириной 160-200 мм (длина от 500 мм)</t>
  </si>
  <si>
    <t>Изготовление гибкой ошиновки для коробки отбора мощности (отрезать, надеть и опрессовать наконечники, термоусадка) Сечение кабеля = 1,5-6 мм2.</t>
  </si>
  <si>
    <t>Изготовление гибкой ошиновки для коробки отбора мощности (отрезать, надеть и опрессовать наконечники, термоусадка). Сечение кабеля = 10-35 мм2.</t>
  </si>
  <si>
    <t>Изготовление гибкой ошиновки для коробки отбора мощности (отрезать, надеть и опрессовать наконечники, термоусадка). Сечение кабеля = 50-95 мм2.</t>
  </si>
  <si>
    <t>Группа III. Установка  жесткой ошиновки, шин РЕ и N, площадки, фальш-панели, монтаж автомата. шины (гнутые) ; МШП</t>
  </si>
  <si>
    <t>Комплектовка и упаковка на поддон  не прямых секций  различных типов, номиналов и габаритных размеров, 2-3 вида.</t>
  </si>
  <si>
    <t>Покраска изделий сложного профиля Типоразмер 1</t>
  </si>
  <si>
    <t>Покраска изделий сложного профиля Типоразмер 2</t>
  </si>
  <si>
    <t>Комплектовка и упаковка на поддон  непрямых секций различных типов, номиналов и габаритных размеров, 3-5 видов.</t>
  </si>
  <si>
    <t>Комплектовка и упаковка на поддон  непрямых секций  различных типов, номиналов и габаритных размеров, 6 и более видов.</t>
  </si>
  <si>
    <t>Компоновка пакета КША (толщина 10 мм)</t>
  </si>
  <si>
    <t>Сборка секций с корпусом из листа</t>
  </si>
  <si>
    <t>вставка</t>
  </si>
  <si>
    <t>гофра</t>
  </si>
  <si>
    <t>кабель</t>
  </si>
  <si>
    <t>Монтаж кабеля сечением 95 мм2 к шинам.</t>
  </si>
  <si>
    <t>Монтаж кабеля сечением 150 мм2 к шинам.</t>
  </si>
  <si>
    <t>Монтаж кабеля сечением 240 мм2 к шинам.</t>
  </si>
  <si>
    <t>Монтаж верхней стенки на коробку</t>
  </si>
  <si>
    <t>Отрезать гофру в размер.Протяжка гибкой связи через гофру, монтаж гофры к коробке (длина гофры до 3 м).</t>
  </si>
  <si>
    <t>Отрезать гофру в размер.Протяжка гибкой связи через гофру, монтаж гофры к коробке (длина гофры 4-5 м).</t>
  </si>
  <si>
    <t>Отрезать гофру в размер.Протяжка гибкой связи через гофру, монтаж гофры к коробке (длина гофры от 6 м).</t>
  </si>
  <si>
    <t>Изготовление гибкой связи: отрезать в размер, надеть и опрессовать наконечники, термоусадка. Сечение кабеля = 95 мм2. Длина кабеля до 3,5 м.</t>
  </si>
  <si>
    <t>Изготовление гибкой связи: отрезать в размер, надеть и опрессовать наконечники, термоусадка. Сечение кабеля = 150 мм2. Длина кабеля до 3,5 м.</t>
  </si>
  <si>
    <t>Изготовление гибкой связи: отрезать в размер, надеть и опрессовать наконечники, термоусадка. Сечение кабеля = 240  мм2. Длина кабеля до 3,5 м.</t>
  </si>
  <si>
    <t>Изготовление гибкой связи: отрезать в размер, надеть и опрессовать наконечники, термоусадка. Сечение кабеля = 95 мм2. Длина кабеля от 3,5 м.</t>
  </si>
  <si>
    <t>Изготовление гибкой связи: отрезать в размер, надеть и опрессовать наконечники, термоусадка. Сечение кабеля = 150 мм2. Длина кабеля от 3,5 м.</t>
  </si>
  <si>
    <t>Изготовление гибкой связи: отрезать в размер, надеть и опрессовать наконечники, термоусадка. Сечение кабеля = 240  мм2. Длина кабеля от 3,5 м.</t>
  </si>
  <si>
    <t>Сборка горизонтального 4-х и 5-ти проводного Z-модуля магистрального шинопровода  KLM-S-ZD 800 - 2500А  Тип "С"</t>
  </si>
  <si>
    <t xml:space="preserve">Сборка стандартнго вертикального 4-х и 5-ти проводного Z-модуля магистрального шинопровода  KLM-S-ZP 800 - 2500А </t>
  </si>
  <si>
    <t xml:space="preserve">Сборка стандартного вертикального 4-х и 5-ти проводного Z-модуля магистрального шинопровода  KLM-S-ZP 3200 - 4000А </t>
  </si>
  <si>
    <t xml:space="preserve">Сборка стандартного вертикального 4-х и 5-ти проводного Z-модуля магистрального шинопровода  KLM-S-ZP 5000А </t>
  </si>
  <si>
    <t>Сборка стандартноговертикального 4-х и 5-ти проводного  Z-модуля распределительного  шинопровода  KLM-R-ZP 100-630А</t>
  </si>
  <si>
    <t>Разметка и кернение ушей PE (T-образных). 2 отверстия.</t>
  </si>
  <si>
    <t>Сверловка и зенковка (с обеих сторон) ушей РЕ (T-образных). С применением 2 разных сверл. 2 отверстия.</t>
  </si>
  <si>
    <t>Разметка и кернение ушей PE (T-образных). 3 отверстия.</t>
  </si>
  <si>
    <t>Сверловка и зенковка (с обеих сторон) ушей РЕ (T-образных). С применением 2 разных сверл. 3 отверстия.</t>
  </si>
  <si>
    <t>Разметка и кернение ушей PE (T-образных). 4 отверстия.</t>
  </si>
  <si>
    <t>Сверловка и зенковка (с обеих сторон) ушей РЕ (T-образных). С применением 2 разных сверл. 4 отверстия.</t>
  </si>
  <si>
    <t>Разметка и кернение ушей PE (T-образных). 5 отверстия.</t>
  </si>
  <si>
    <t>Разметка 4-х отверстий на соединительном профиле - 40х40х170, в соответствии с чертежем.</t>
  </si>
  <si>
    <t>Разметка 8-ми отверстий на соединительном профиле - 40х40х170, в соответствии с чертежем.</t>
  </si>
  <si>
    <t>Кернение 4-х отверстий на соединительном профиле 40х40х170</t>
  </si>
  <si>
    <t>Кернение 8-ми отверстий на соединительном профиле 40х40х170</t>
  </si>
  <si>
    <t>Сверловка 4-х отверстий в соединительном профиле 40х40х170. С применением 2 разных сверл.</t>
  </si>
  <si>
    <t>Сверловка 8-ми отверстий в соединительном профиле 40х40х170. С применением 2 разных сверл.</t>
  </si>
  <si>
    <t>Раззенковка отверстий с внешней стороны, и зачистка напильником внутри, соединительного профиля 40х40х170. 4 отверстия.</t>
  </si>
  <si>
    <t>Раззенковка отверстий с внешней стороны, и зачистка напильником внутри, соединительного профиля 40х40х170. 8 отверстий</t>
  </si>
  <si>
    <t>пукля</t>
  </si>
  <si>
    <t xml:space="preserve">Напыление шины 200 мм  (4 контактных зоны).  До 999 мм. По 8 шт. </t>
  </si>
  <si>
    <t xml:space="preserve">Напыление шины 160 мм  (4 контактных зоны). До 999 мм. По 8 шт. </t>
  </si>
  <si>
    <t xml:space="preserve">Напыление шины 140 мм (4 контактных зоны). До 999 мм. По 8 шт. </t>
  </si>
  <si>
    <t xml:space="preserve">Напыление шины 100 мм (4 контактных зоны). До 999 мм. По 8 шт. </t>
  </si>
  <si>
    <t xml:space="preserve">Напыление шины 80 мм  (4 контактных зоны). До 999 мм. По 8 шт. </t>
  </si>
  <si>
    <t xml:space="preserve">Напыление шины 60-65 м (4 контактных зоны). До 999 мм. По 8 шт. </t>
  </si>
  <si>
    <t xml:space="preserve">Напыление шины 200 мм (4 контактных зоны), 1000-3000 мм. По 8 шт. </t>
  </si>
  <si>
    <t xml:space="preserve">Напыление шины 160 мм  (4 контактных зоны), 1000-3000 мм. По 8 шт. </t>
  </si>
  <si>
    <t xml:space="preserve">Напыление шины 140 мм (4 контактных зоны), 1000-3000 мм. По 8 шт. </t>
  </si>
  <si>
    <t xml:space="preserve">Напыление шины 100 мм (4 контактных зоны), 1000-3000 мм. По 8 шт. </t>
  </si>
  <si>
    <t xml:space="preserve">Напыление шины 80 мм  (4 контактных зоны), 1000-3000 мм. По 8 шт. </t>
  </si>
  <si>
    <t xml:space="preserve">Напыление шины 60-65мм (4 контактных зоны), 1000-3000 мм. По 8 шт. </t>
  </si>
  <si>
    <t>Напыление  пластин KLM-R-РТС 100-400А размером 60х85 мм</t>
  </si>
  <si>
    <t>Напыление  пластин KLM-R-РТС 500-630А размером 109х85мм</t>
  </si>
  <si>
    <t>Напыление  пластин KLM-S-РТС 800А размером 60х100 мм</t>
  </si>
  <si>
    <t>Напыление  пластин KLM-S-РТС 1000А размером 80х100 мм</t>
  </si>
  <si>
    <t>Напыление  пластин KLM-S-РТС 1250А размером 100х100 мм</t>
  </si>
  <si>
    <t>Напыление  пластин KLM-S-РТС 1600А размером 140х100 мм</t>
  </si>
  <si>
    <t>Напыление  пластин KLM-S-РТС 2000А размером 160х100 мм</t>
  </si>
  <si>
    <t>Напыление  пластин KLM-S-РТС 2500А размером 200х100 мм</t>
  </si>
  <si>
    <t>Напыление  пластин KLM-S-РТС 3200А размером 280х100 мм</t>
  </si>
  <si>
    <t>Подвесной пуклевщик. Пуклевка прямых секций лестничного лотка 3000 мм, 9 ступеней. Ширина 400 мм</t>
  </si>
  <si>
    <t>Снятие-установка защитного кожуха</t>
  </si>
  <si>
    <t>Гибка шайб</t>
  </si>
  <si>
    <t>Заневоливание шайб</t>
  </si>
  <si>
    <t>Покраска шайб краскопультом</t>
  </si>
  <si>
    <t>Монтаж расширителя и розетки к ЯОМ (пр-т МТС).Нарезка кабеля в размер, зачистка жил, опрессовка наконечников (10 на кабель), монтаж жил в розетку, автомат и ограничитель, идентификация наклейками.</t>
  </si>
  <si>
    <t>Группа III. Установка жесткой ошиновки, шин РЕ и N, площадки, фальш-панели (для КОМ без автомата). Шины Al, гнутые.</t>
  </si>
  <si>
    <t>Группа II. Установка  гибкой ошиновки , шин РЕ и N , площадки, фальш-панели  (для КОМ без автомата). Шины Al, прямые. МШП.</t>
  </si>
  <si>
    <t>Клепание  ручным заклепочником, углы лотков</t>
  </si>
  <si>
    <t>Сборка корпуса стыка, любой конструктив (верх-низ).  Комплект - 2 крышки, 4 полосы уплотнителя на крышку. Изолировщик.</t>
  </si>
  <si>
    <t>Подготовка алюминиевых пластин стыка распределительного шинопровода 100-630 А (обработка, правка)</t>
  </si>
  <si>
    <t>Подготовка медных пластин стыка магистрального шинопровода 800-1250А (зенковка, рихтовка)</t>
  </si>
  <si>
    <t>Подготовка алюминиевых пластин стыка магистрального шинопровода 800-1250А (обработка, правка)</t>
  </si>
  <si>
    <t>Подготовка алюминиевых пластин стыка магистрального шинопровода 1600-2500А (обработка, правка)</t>
  </si>
  <si>
    <t>Подготовка алюминиевых пластин стыка магистрального шинопровода 3200-5000А (обработка, правка)</t>
  </si>
  <si>
    <t>Подготовка алюминиевых пластин стыка магистрального шинопровода 6300А (обработка, правка)</t>
  </si>
  <si>
    <t>Подготовка медных пластин стыка магистрального шинопровода 3200-5000А (зенковка, рихтовка)</t>
  </si>
  <si>
    <t>Обезжиривание, очистка и наклейка двустороннего скотча на пластины стыка до 2000 А (по 2 полосы). Конструктив V3.</t>
  </si>
  <si>
    <t>Обезжиривание, очистка и наклейка двустороннего скотча на пластины стыка от 2500 А (по 2 полосы). Конструктив V3.</t>
  </si>
  <si>
    <t>Подготовка медных пластин стыка магистрального шинопровода 1600-2500А (зенковка, рихтовка, очистка от пыли)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</si>
  <si>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</si>
  <si>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</si>
  <si>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</si>
  <si>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</si>
  <si>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</si>
  <si>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</si>
  <si>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</si>
  <si>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</si>
  <si>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</si>
  <si>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Переход на другой цвет, без выбивки фильтров.</t>
  </si>
  <si>
    <t>Сборка  секции из профиля типа Е3, длиной 2000-3000 мм; 800-1250 А. Шины Аl.</t>
  </si>
  <si>
    <t xml:space="preserve">Полная сборка секции с 2-мя окнами отбора  KLM-S-Pi-V3, Al длиной 2000-3000 мм.: 800 – 1250А  </t>
  </si>
  <si>
    <t>Напыление шин</t>
  </si>
  <si>
    <t>Напыление пластин и шин стыков</t>
  </si>
  <si>
    <t>Гибка скобы (пластины), заглушек для стыка магистрального шинопровода  и распределительного шинопровода 100-400А  (2 гиба) (одновременно 2 шт)</t>
  </si>
  <si>
    <t>Гибка скобы (пластины), заглушек для стыка распределительного шинопровода 500-630А  (4 гиба) (одновременно 2 шт)</t>
  </si>
  <si>
    <t>Гибка заготовок для крышки стыка  (одновременно 2 шт)</t>
  </si>
  <si>
    <t xml:space="preserve"> комплект</t>
  </si>
  <si>
    <t xml:space="preserve">            Терминальная фланцевая секция магистрального шинопровода:</t>
  </si>
  <si>
    <t>Гибка заготовок для стандартной и нестандартной терминальной фланцевой секции магистрального шинопровода 800-3200А: стенок, фланца, пластин РЕ, пластин</t>
  </si>
  <si>
    <t>Гибка заготовок для стандартной и нестандартной терминальной фланцевой секции магистрального шинопровода 4000-6300А: стенок, фланца, пластин РЕ, пластин.</t>
  </si>
  <si>
    <t xml:space="preserve">            Прямые секции магистрального шинопровода:</t>
  </si>
  <si>
    <t>Гибка крышки для секции магистрального шинопровода длиной до 999мм (S1), 800-6300А</t>
  </si>
  <si>
    <t>Гибка крышки для секции магистрального шинопровода длиной 1000мм-1999мм (S2), 800-6300А</t>
  </si>
  <si>
    <t>Гибка крышки для секции магистрального шинопровода длиной 2000мм-3000мм (S3), 800-6300А</t>
  </si>
  <si>
    <t>Гибка полукорпуса для секции магистрального шинопровода длиной до 999мм (S1), 800-6300А</t>
  </si>
  <si>
    <t>Гибка полукорпуса для секции магистрального шинопровода длиной 1000мм-1999мм (S2), 800-6300А</t>
  </si>
  <si>
    <t>Гибка полукорпуса для секции магистрального шинопровода длиной 2000мм-3000мм (S3), 800-6300А</t>
  </si>
  <si>
    <t>Гибка вставки для секции магистрального шинопровода длиной до 999мм (S1), 800-6300А</t>
  </si>
  <si>
    <t>Гибка вставки для секции магистрального шинопровода длиной 1000мм-1999мм (S2), 800-6300А</t>
  </si>
  <si>
    <t>Гибка вставки для секции магистрального шинопровода длиной 2000мм-3000мм (S3), 800-6300А</t>
  </si>
  <si>
    <t>Гибка стяжки для секции магистрального шинопровода 800-3200А  (одновременно 2 шт)</t>
  </si>
  <si>
    <t>Гибка стяжки для секции магистрального шинопровода 4000-6300А  (изготовление отдельной детали)</t>
  </si>
  <si>
    <t>Гибка кронштейна (хлебница) для секции магистрального шинопровода 800-2000А  (одновременно 2 шт)</t>
  </si>
  <si>
    <t>Гибка кронштейна (хлебница) для секции магистрального шинопровода 2500-3200А  (одновременно 2 шт), на гибочном прессе L = 4000 мм.</t>
  </si>
  <si>
    <t>Гибка кронштейна (хлебница) для секции магистрального шинопровода 2500-3200А  (одновременно 2 шт), на гибочном прессе L = 1000 мм.</t>
  </si>
  <si>
    <t>Гибка кронштейна (хлебница) для секции магистрального шинопровода 4000-6300А (изготовление отдельной детали)</t>
  </si>
  <si>
    <t>Гибка пластины РЕ для секции магистрального 800-3200А, распределительного шинопровода  100-630А  (одновременно 2 шт)</t>
  </si>
  <si>
    <t>Гибка пластины РЕ для секции магистрального шинопровода 4000-6300А на прессе  (изготовление отдельной детали)</t>
  </si>
  <si>
    <t xml:space="preserve">            Прямые секции распределительного шинопровода:</t>
  </si>
  <si>
    <t>Гибка крышки и полукорпуса для секции распределительного шинопровода длиной до 999мм (S1), 100-630А</t>
  </si>
  <si>
    <t>Гибка крышки и полукорпуса для секции распределительного шинопровода длиной 1000мм-1999мм (S2), 100-630А</t>
  </si>
  <si>
    <t>Гибка крышки и полукорпуса для секции распределительного шинопровода длиной 2000мм-3000мм (S3), 100-630А</t>
  </si>
  <si>
    <t>Гибка кронштейна (хлебница) для секций распределительного шинопровода 100-630А  (одновременно 2 шт)</t>
  </si>
  <si>
    <t xml:space="preserve">            Ящики отбора мощности:</t>
  </si>
  <si>
    <t>Гибка пластины зацепления запоров ящиков отбора мощности стыка (4гиб) (одновременно 2 шт)</t>
  </si>
  <si>
    <t>Гибка уголков крепления: кожуха ящика отбора мощности, изоляционной решетки для горизонтального угла, изоляторов шин терминальной секции (1 гиб) (одновременно 2 шт)</t>
  </si>
  <si>
    <t>Гибка заготовок для ящика отбора мощности, концевого питающего модуля, ящика FLX</t>
  </si>
  <si>
    <t>Гибка контактных групп ящиков отбора мощности (за комплект: 8 шт.)</t>
  </si>
  <si>
    <t xml:space="preserve">            Шины для угловых секций, терминальной фланцевых, ЯОМ на гибочном прессе:</t>
  </si>
  <si>
    <t>Гибка алюминиевых шин для контактных групп ящиков отбора мощности (за комплект: 8 шин)</t>
  </si>
  <si>
    <t>Гибка медных шин для контактных групп ящиков отбора мощности (за комплект: 4 шины), 3 гиба</t>
  </si>
  <si>
    <t>Гибка медных шин для контактных групп ящиков отбора мощности (за комплект: 4 шины), 2 гиба</t>
  </si>
  <si>
    <t xml:space="preserve">            Шины для прямых секций магистрального шинопровода на гибочном прессе:</t>
  </si>
  <si>
    <t>Гибка шин для прямых секций магистрального шинопровода длиной  2000мм-3000мм.:  200х10</t>
  </si>
  <si>
    <t>Наладка и перенастройка оборудования (смена инструмента) на гибочном станке Scierli Pieger</t>
  </si>
  <si>
    <t xml:space="preserve">            Медная ошиновка:</t>
  </si>
  <si>
    <t xml:space="preserve">            Стандартная и нестандартная терминальная фланцевая секция тип "С" магистрального шинопровода:</t>
  </si>
  <si>
    <t>Гибка фланца для стандартной и нестандартной терминальной фланцевой секции тип "С" магистрального шинопровода 800-3200А (2 гиба)</t>
  </si>
  <si>
    <t>Гибка фланца для стандартной и нестандартной терминальной фланцевой секции тип "С" магистрального шинопровода 4000-6300А (2 гиба)</t>
  </si>
  <si>
    <t>Гибка стенки верх-низ для стандартной и нестандартной терминальной фланцевой секции тип "С" магистрального шинопровода 800-3200А (4 гиба)</t>
  </si>
  <si>
    <t>Гибка стенки верх-низ для стандартной и нестандартной терминальной фланцевой секции тип "С" магистрального шинопровода 4000-6300А (4 гиба)</t>
  </si>
  <si>
    <t>Гибка боковой стенки для стандартной и нестандартной терминальной фланцевой секции тип "С" магистрального шинопровода 800-3200А (5 гибов)</t>
  </si>
  <si>
    <t>Гибка боковой стенки для стандартной и нестандартной терминальной фланцевой секции тип "С" магистрального шинопровода 4000-6300А (5 гибов)</t>
  </si>
  <si>
    <t xml:space="preserve">            Кронштейны для крепления шинопровода:</t>
  </si>
  <si>
    <t xml:space="preserve">Гибка кронштейна настенного L=500 мм. для крепления шинопровода (4 гиба) </t>
  </si>
  <si>
    <t xml:space="preserve">Гибка кронштейна потолочного (2 гиба) </t>
  </si>
  <si>
    <t xml:space="preserve">            Комплект для огнестойеой проходки шинопровода (фаер барьер):</t>
  </si>
  <si>
    <t>Гибка заготовок комплекта для огнестойкой проходки шинопровода 100-630 А (4 гиба), за комплет - 2 штуки</t>
  </si>
  <si>
    <t>Гибка заготовок комплекта для огнестойкой проходки шинопровода 800-2500 А (4 гиба), за комплет - 2 штуки</t>
  </si>
  <si>
    <t>Гибка заготовок комплекта для огнестойкой проходки шинопровода 3200-6300 А (4 гиба), за комплет - 2 штуки</t>
  </si>
  <si>
    <t xml:space="preserve">            Замена инструмента на гибочном прессе  </t>
  </si>
  <si>
    <t xml:space="preserve">Замена инструмента Станок - 3м. </t>
  </si>
  <si>
    <t>Замена инструмента Станок - 4м.</t>
  </si>
  <si>
    <t xml:space="preserve">            Гибка лотков</t>
  </si>
  <si>
    <t>Гибка  3м перфорированных и неперфорированных лотков (папа-мама, 8 гибов) 100х50х0,7, наклеивание этикеток.</t>
  </si>
  <si>
    <t xml:space="preserve">Гибка 3м  перфорированных и неперфорированных лотков (папа-мама, 8 гибов)  200х50х0,7, наклеивание этикеток. Со сменой деятельности </t>
  </si>
  <si>
    <t xml:space="preserve">Гибка 3м  перфорированных и неперфорированных лотков (папа-мама, 8 гибов)  300х50х0,7, наклеивание этикеток. Со сменой деятельности </t>
  </si>
  <si>
    <t xml:space="preserve">Гибка 3м  перфорированных и неперфорированных лотков (папа-мама, 8 гибов)  400х50х0,7, наклеивание этикеток. Со сменой деятельности </t>
  </si>
  <si>
    <t>Гибка крышек лотков 100х0,75</t>
  </si>
  <si>
    <t>Гибка крышек лотков 200х0,75</t>
  </si>
  <si>
    <t>Гибка крышек лотков 300х0,75.  Со сменой деятельности в течение смены.</t>
  </si>
  <si>
    <t>Гибка STRUT-профиля 41х21х2,5</t>
  </si>
  <si>
    <t>Гибка STRUT-профиля 41х41х2,5</t>
  </si>
  <si>
    <t>Гибка боковой стенки лестничного (LST) лотка - 3000мм</t>
  </si>
  <si>
    <t>Гибка ступеней лестничного лотка 100-300 мм</t>
  </si>
  <si>
    <t>Гибка ступеней лестничного лотка 400-600 мм</t>
  </si>
  <si>
    <t>Гибка редукции (JRVC) 400-500 мм</t>
  </si>
  <si>
    <t>Гибка редукции (JRVC) 600-700 мм</t>
  </si>
  <si>
    <t>Гибка П-образног профиля  KLM-E PLP</t>
  </si>
  <si>
    <t>Гибка U-образного профиля KLM-E PLU</t>
  </si>
  <si>
    <t>Гибка. Крепление стеновое напольное. KLM-E-FWF  100 мм</t>
  </si>
  <si>
    <t>Гибка. Крепление стеновое напольное. KLM-E-FWF  200 мм</t>
  </si>
  <si>
    <t>Гибка. Крепление стеновое напольное. KLM-E-FWF  300 мм</t>
  </si>
  <si>
    <t>Гибка. Кронштейн V-образный (крепление  потолку и профнастилу).</t>
  </si>
  <si>
    <t>Гибка лотков. Угол вертикальный внутренный 90. KLM-E IVB 90.</t>
  </si>
  <si>
    <t>Гибка лотков. Т-секция KLM-E TВ 100-200 мм.</t>
  </si>
  <si>
    <t>Гибка лотков. Т-секция KLM-E TВ 300 мм.</t>
  </si>
  <si>
    <t>Гибка лотков. Т-секция KLM-E TВ 400-500 мм.</t>
  </si>
  <si>
    <t>Пробивка 2-х отверстий в шинах стыка (конструктив V3) на комбинированных пресс ножницах (Геке).</t>
  </si>
  <si>
    <t>Пробивка 3-х отверстий в шинах стыка  (конструктив V3) на комбинированных пресс ножницах (Геке).</t>
  </si>
  <si>
    <t>Пробивка 4-х отверстий в шинах стыка  (конструктив V3) на комбинированных пресс ножницах (Геке).</t>
  </si>
  <si>
    <t>Пробивка 5-ти отверстий в шинах стыка  (конструктив V3) на комбинированных пресс ножницах (Геке).</t>
  </si>
  <si>
    <t>Пробивка 6-тиотверстий в шинах стыка  (конструктив V3) на комбинированных пресс ножницах (Геке).</t>
  </si>
  <si>
    <t>Пробивка 7-ми отверстий в шинах стыка  (конструктив V3) на комбинированных пресс ножницах (Геке).</t>
  </si>
  <si>
    <t>Пробивка 8-ми отверстий в шинах стыка  (конструктив V3) на комбинированных пресс ножницах (Геке).</t>
  </si>
  <si>
    <t>Пробивка 9-ти отверстий в шинах стыка  (конструктив V3) на комбинированных пресс ножницах (Геке).</t>
  </si>
  <si>
    <t xml:space="preserve">Зенковка 2-х отверстий в шинах стыка (конструктив V3) </t>
  </si>
  <si>
    <t xml:space="preserve">Зенковка 3-х отверстий в шинах стыка  (конструктив V3) </t>
  </si>
  <si>
    <t xml:space="preserve">Зенковка 4-х отверстий в шинах стыка  (конструктив V3) </t>
  </si>
  <si>
    <t>Зенковка 5-ти отверстий в шинах стыка  (конструктив V3)</t>
  </si>
  <si>
    <t xml:space="preserve">Зенковка 6-тиотверстий в шинах стыка  (конструктив V3) </t>
  </si>
  <si>
    <t xml:space="preserve">Зенковка 7-ми отверстий в шинах стыка  (конструктив V3) </t>
  </si>
  <si>
    <t xml:space="preserve">Зенковка 8-ми отверстий в шинах стыка  (конструктив V3) </t>
  </si>
  <si>
    <t xml:space="preserve">Зенковка 9-ти отверстий в шинах стыка  (конструктив V3) </t>
  </si>
  <si>
    <t>Зенковка 1-го отверстия в шинах стыка (конструктив V3)</t>
  </si>
  <si>
    <t>Пробивка 1-го отверстия в шинах стыка (конструктив V3)  на комбинированных пресс ножницах (Геке).</t>
  </si>
  <si>
    <r>
      <t xml:space="preserve"> Правка шины с </t>
    </r>
    <r>
      <rPr>
        <b/>
        <sz val="12"/>
        <color theme="1"/>
        <rFont val="Times New Roman"/>
        <family val="1"/>
        <charset val="204"/>
      </rPr>
      <t>8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</si>
  <si>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 Правка шины с </t>
    </r>
    <r>
      <rPr>
        <b/>
        <sz val="14"/>
        <color theme="1"/>
        <rFont val="Times New Roman"/>
        <family val="1"/>
        <charset val="204"/>
      </rPr>
      <t>9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</si>
  <si>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 Правка шины с </t>
    </r>
    <r>
      <rPr>
        <b/>
        <sz val="14"/>
        <color theme="1"/>
        <rFont val="Times New Roman"/>
        <family val="1"/>
        <charset val="204"/>
      </rPr>
      <t>7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</si>
  <si>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 Правка шины с </t>
    </r>
    <r>
      <rPr>
        <b/>
        <sz val="14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 xml:space="preserve"> отверстием. Конструктив V3</t>
    </r>
  </si>
  <si>
    <r>
      <t xml:space="preserve"> Правка шины с </t>
    </r>
    <r>
      <rPr>
        <b/>
        <sz val="14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</si>
  <si>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 Правка шины с </t>
    </r>
    <r>
      <rPr>
        <b/>
        <sz val="14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</si>
  <si>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 Правка шины с </t>
    </r>
    <r>
      <rPr>
        <b/>
        <sz val="14"/>
        <color theme="1"/>
        <rFont val="Times New Roman"/>
        <family val="1"/>
        <charset val="204"/>
      </rPr>
      <t>4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</si>
  <si>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 Правка шины с </t>
    </r>
    <r>
      <rPr>
        <b/>
        <sz val="14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</si>
  <si>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 Правка шины с </t>
    </r>
    <r>
      <rPr>
        <b/>
        <sz val="14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</si>
  <si>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t>Изотовление шин для стыков. Конструктив V3.</t>
  </si>
  <si>
    <t>Пробивка 1-го отверстия в шинах стыка на комбинированных пресс ножницах (Геке).Старый конструктив (в ОЦ корпусе).</t>
  </si>
  <si>
    <t>Пробивка 2-х отверстий в шинах стыка на комбинированных пресс ножницах (Геке).Старый конструктив (в ОЦ корпусе).</t>
  </si>
  <si>
    <t>Пробивка 3-х отверстий в шинах стыка на комбинированных пресс ножницах (Геке).Старый конструктив (в ОЦ корпусе).</t>
  </si>
  <si>
    <t>Пробивка 4-х отверстий в шинах стыка на комбинированных пресс ножницах (Геке).Старый конструктив (в ОЦ корпусе).</t>
  </si>
  <si>
    <t>Пробивка 5-ти отверстий в шинах стыка на комбинированных пресс ножницах (Геке).Старый конструктив (в ОЦ корпусе).</t>
  </si>
  <si>
    <t>Пробивка 6-тиотверстий в шинах стыка на комбинированных пресс ножницах (Геке).Старый конструктив  (в ОЦ корпусе).</t>
  </si>
  <si>
    <t>Пробивка 7-ми отверстий в шинах стыка на комбинированных пресс ножницах (Геке).Старый конструктив (в ОЦ корпусе).</t>
  </si>
  <si>
    <t>Зенкование 1-го отверстия в шинах стыка.Старый конструктив (в ОЦ корпусе).</t>
  </si>
  <si>
    <t>Зенкование 2-х отверстий в шинах стыка.Старый конструктив (в ОЦ корпусе).</t>
  </si>
  <si>
    <t>Зенкование 3-х отверстий в шинах стыка.Старый конструктив (в ОЦ корпусе).</t>
  </si>
  <si>
    <t>Зенкование 4-х отверстий в шинах стыка.Старый конструктив (в ОЦ корпусе).</t>
  </si>
  <si>
    <t>Зенкование 5-ти отверстий в шинах стыка.Старый конструктив (в ОЦ корпусе).</t>
  </si>
  <si>
    <t>Зенкование 6-тиотверстий в шинах стыка.Старый конструктив (в ОЦ корпусе).</t>
  </si>
  <si>
    <t>Зенкование 7-ми отверстий в шинах стыка.Старый конструктив (в ОЦ корпусе).</t>
  </si>
  <si>
    <t xml:space="preserve">            Изготовление шин для стыков </t>
  </si>
  <si>
    <t>Сборка  секции из профиля типа Е3, длиной 2000-3000 мм; 3200-4000 А. Шины Аl.</t>
  </si>
  <si>
    <t>Сборка  секции из профиля типа Е3, длиной до 999 мм; 3200-4000 А. Шины Аl.</t>
  </si>
  <si>
    <t>Сборка  секции из профиля типа Е3, длиной 1000-1999 мм; 3200-4000 А. Шины Аl.</t>
  </si>
  <si>
    <t>Сборка  НЕстанд. СP  (длина плеча до 1100 мм) из профиля типа Е3;  3200-4000 А. Шины Аl.</t>
  </si>
  <si>
    <t>Сборка  станд. СP  из профиля типа Е3; 3200-4000 А. Шины Аl.</t>
  </si>
  <si>
    <t>Сборка  станд. СD  из профиля типа Е3; 3200-4000 А. Шины Аl.</t>
  </si>
  <si>
    <t>Сборка  НЕстанд. СD  (длина плеча до 1100 мм) из профиля типа Е3;  3200-4000 А. Шины Аl.</t>
  </si>
  <si>
    <t>Сборка  5-ти проводной  секции длиной 2000-3000 мм.: 1600 – 2500А  (без учета оклейки пластин РЕ) (шины Аl)</t>
  </si>
  <si>
    <t>Сборка  5-ти проводной  секции  длиной 2000-3000 мм.: 1600 – 2500А  (без учета оклейки пластин РЕ) (шины Cu)</t>
  </si>
  <si>
    <t>Сборка  5-ти проводной  секции  длиной 2000-3000 мм.: 800 – 1250А  (без учета оклейки пластин РЕ) (шины Cu)</t>
  </si>
  <si>
    <t>Сборка и 5-ти проводной секции  длиной 2000-3000 мм.: 3200 – 4000А  (без учета оклейки пластин РЕ) (шины Аl)</t>
  </si>
  <si>
    <t>Сборка и 5-ти проводной секции  длиной 2000-3000 мм.: 3200 – 4000А  (без учета оклейки пластин РЕ) (шины Cu)</t>
  </si>
  <si>
    <t>Сборка  и 5-ти проводной секции  длиной 1000мм - 1999мм (S2): 800 – 2500А (без учета оклейки пластин РЕ) (шины Аl)</t>
  </si>
  <si>
    <t>Сборка  и 5-ти проводной секции  длиной 1000мм - 1999мм (S2): 800 – 2500А (без учета оклейки пластин РЕ) (шины Cu)</t>
  </si>
  <si>
    <t>Сборка  и 5-ти проводной секции  длиной 1000мм - 1999мм (S2):  3200 – 4000А  (без учета оклейки пластин РЕ) (шины Аl)</t>
  </si>
  <si>
    <t>Сборка  и 5-ти проводной секции  длиной до 999мм (S1): 800 – 2500А (без учета оклейки пластин РЕ) (шины Cu)</t>
  </si>
  <si>
    <t>Сборка  и 5-ти проводной секции  длиной 1000мм - 1999мм (S2):  3200 – 4000А  (без учета оклейки пластин РЕ) (шины Cu)</t>
  </si>
  <si>
    <t>Сборка 4-х  проводной секции  длиной 1000мм - 1999мм (S2):  5000 А (без учета оклейки пластин РЕ) (шины Аl)</t>
  </si>
  <si>
    <t>Сборка  и 5-ти проводной секции  длиной 1000мм - 1999мм (S2):  5000А ( без учета оклейки пластин РЕ ) (шины Cu)</t>
  </si>
  <si>
    <t>Сборка 4-х  проводной секции  длиной 1000мм - 1999мм (S2):  5000 А (без учета оклейки пластин РЕ)(шины Cu)</t>
  </si>
  <si>
    <t>Сборка  и 5-ти проводной секции  длиной 1000мм - 1999мм (S2):  5000А ( без учета оклейки пластин РЕ ) (шины Аl)</t>
  </si>
  <si>
    <t>Сборка  и 5-ти проводной секции  длиной до 999мм (S1): 800 – 2500А (без учета оклейки пластин РЕ) (шины Аl)</t>
  </si>
  <si>
    <t>Сборка  и 5-ти проводной секции  длиной до 999мм (S1):  3200 – 4000А (без учета оклейки пластин РЕ ) (шины Аl)</t>
  </si>
  <si>
    <t>Сборка  и 5-ти проводной секции  длиной до 999мм (S1):  3200 – 4000А (без учета оклейки пластин РЕ ) (шины Cu)</t>
  </si>
  <si>
    <t>Сборка секций конструктивов E3. (SC)</t>
  </si>
  <si>
    <t>Покраска изделий простого профиля. Типоразмер M  (max L = 60 мм)</t>
  </si>
  <si>
    <t>Покраска изделий простого профиля. Типоразмер 1 (max L = 120 мм)</t>
  </si>
  <si>
    <t>Покраска изделий сложного профиля Типоразмер M</t>
  </si>
  <si>
    <t xml:space="preserve">Очистка шайб от масла (промывка) </t>
  </si>
  <si>
    <t>П2Г. Резка (Т-образных) РЕ из Al профиля  1600 А зачистка торцов от заусенцев.</t>
  </si>
  <si>
    <t>Гибка 3м перфорированных и неперфорированных лотков (папа-мама, 8 гибов)  500х50х1, наклеивание этикеток. Со сменой деятельности</t>
  </si>
  <si>
    <t xml:space="preserve">Гибка 3м перфорированных и неперфорированных лотков (папа-мама, 8 гибов)  500х100х1, наклеивание этикеток. Со сменой деятельности </t>
  </si>
  <si>
    <t>фл.</t>
  </si>
  <si>
    <t>Сборка бокового корпуса стыка  KLM-S-G-800-1600А, обезжирить, оклеить крышки и закрепить между собой (изолировщик).</t>
  </si>
  <si>
    <t>Сборка бокового корпуса стыка  KLM-S-G-2000-3200А, обезжирить, оклеить крышки и закрепить между собой. (изолировщик).</t>
  </si>
  <si>
    <t>Сборка бокового корпуса стыка KLM-S-G-4000А, обезжирить, оклеить крышки и закрепить между собой. (изолировщик).</t>
  </si>
  <si>
    <t>Сборка бокового корпуса стыка  KLM-S-G-5000А, обезжирить, оклеить крышки и закрепить между собой. (изолировщик).</t>
  </si>
  <si>
    <t>Сборка бокового корпуса стыка  KLM-S-G-6300А, обезжирить, оклеить крышки и закрепить между собой. (изолировщик).</t>
  </si>
  <si>
    <t>Ежемесячное ТО, (чистка гармошек и полостей под ними, очистка зубчатых реек, удаление пыли и налипаний с корпуса и головы)</t>
  </si>
  <si>
    <r>
      <t>Замена инструмента при двойной плоскости гиба. (</t>
    </r>
    <r>
      <rPr>
        <u/>
        <sz val="12"/>
        <rFont val="Times New Roman"/>
        <family val="1"/>
        <charset val="204"/>
      </rPr>
      <t>Применяется только на гибочном прессе L = 1000 мм.)</t>
    </r>
  </si>
  <si>
    <t>Повременные работы</t>
  </si>
  <si>
    <t>час</t>
  </si>
  <si>
    <t xml:space="preserve">Галтовка шайб </t>
  </si>
  <si>
    <t>Повременные работы. Заливка ЛШП, Гаскетинг</t>
  </si>
  <si>
    <t>Повременные работы. Работа на лазере</t>
  </si>
  <si>
    <t>Повременные работы. Сварка.</t>
  </si>
  <si>
    <t>Повременные работы. Сборка</t>
  </si>
  <si>
    <t>Повременные работы. Заготовительные операции.</t>
  </si>
  <si>
    <t>Соединение двумя  торцевыми скобами  двух корпусов в гориз. плоск. (2 скобы по 6 болтов)</t>
  </si>
  <si>
    <t>Соединение двумя скобами (верх-низ) двух корпусов в гориз. плоскости (2 скобы по 8 болтов) для прямых секций</t>
  </si>
  <si>
    <t xml:space="preserve">Покраска тарельчатых шайб диаметром 50-80 мм порошковой краской </t>
  </si>
  <si>
    <t>Нарезка резбы во вставках (28х15х172)  4 отверстия. Продувка. Периодическая проверка качества резьбы.</t>
  </si>
  <si>
    <t>Сверление  4-х  отверстий во вставках 28х15х172.  Шаблон на 4 гнезда. Зенковка всех отверстий.</t>
  </si>
  <si>
    <t>Термообработка шайб диаметром 50 мм  (закалка, отпуск, отжиг).</t>
  </si>
  <si>
    <t>Термообработка шайб диаметром 60 мм  (закалка, отпуск, отжиг).</t>
  </si>
  <si>
    <t>Термообработка шайб диаметром 70 мм  (закалка, отпуск, отжиг).</t>
  </si>
  <si>
    <t>Простой, ожидание не по вине работника</t>
  </si>
  <si>
    <t>мин.</t>
  </si>
  <si>
    <t>Зачистка заусенцев на ушах РЕ (до 199 мм), периметр с одной стороны + перемычки с двух сторон. (посредством ленточной шлиф. маш.)</t>
  </si>
  <si>
    <t>Зачистка заусенцев на ушах РЕ (200-399 мм), периметр с одной стороны + перемычки с двух сторон. (посредством ленточной шлиф. маш.)</t>
  </si>
  <si>
    <t>Зачистка заусенцев на ушах РЕ (400-599 мм), периметр с одной стороны + перемычки с двух сторон. (посредством ленточной шлиф. маш.)</t>
  </si>
  <si>
    <t>Зачистка заусенцев на ушах РЕ (от 600 мм), периметр с одной стороны + перемычки с двух сторон. (посредством ленточной шлиф. маш.)</t>
  </si>
  <si>
    <t>Группа I.Сборка некрашеного корпуса под покраску: монтаж заклепками крышек верх-низ.</t>
  </si>
  <si>
    <t>Группа II.Сборка некрашеного корпуса под покраску: монтаж заклепками крышек верх-низ.</t>
  </si>
  <si>
    <t>Группа III.Сборка некрашеного корпуса под покраску: монтаж заклепками крышек верх-низ.</t>
  </si>
  <si>
    <t>М. Сборка и монтаж двери ЯОМ не выше 500 мм (замки, петли, ручка двери)</t>
  </si>
  <si>
    <t>Б. Сборка и монтаж двери ЯОМ более 500 мм (замки, петли, ручка двери)</t>
  </si>
  <si>
    <t>Сложность и несерийность сборки ЯОМ, в том числе - суммарная номенклатура длин и сечений гибкой ошиновки в ящике = 10 и более. Применяется к 1 собранной КОМ.</t>
  </si>
  <si>
    <t>Группа I-II. Монтаж модульного автомата в коробку отбора мощности, соединение контактной группы с модулем проводом.
 (Количество модулей согласно КД на изделие)</t>
  </si>
  <si>
    <t>Зачистка шин стандартных контактных групп ЯОМ по периметру с одной стороны (посредством ленточной шлиф. маш.)</t>
  </si>
  <si>
    <t>Заострение с 2 сторон сопрягаемых контактов (по 2 на шине) на шинах станд. Контактных групп ЯОМ</t>
  </si>
  <si>
    <t>JPSK  Написнаие программы, проколка и резка шин для ATSC 4-8 отв, обработка, правка, зенковка.</t>
  </si>
  <si>
    <t>Резка на лентоной пиле</t>
  </si>
  <si>
    <t>рез</t>
  </si>
  <si>
    <t>Замена полотна</t>
  </si>
  <si>
    <t>конверт</t>
  </si>
  <si>
    <t>Транспортировка установка и резка пленки в размер на ленточной пиле. Уборка.</t>
  </si>
  <si>
    <t>Пусконаладочные работы</t>
  </si>
  <si>
    <t>Замена рулона (на рулон той же ширины)</t>
  </si>
  <si>
    <t>Переход на другой размер</t>
  </si>
  <si>
    <t>HF. Резка и сверление отверстий в  боковинах 50-200 мм под заклеп.  торцевание. зенковка отверстий, зачистка по образцу. Длиной до 1,5 м.</t>
  </si>
  <si>
    <t>HF. Резка и сверление отверстий в  боковинах 50-200 мм под заклеп.  торцевание. зенковка отверстий, зачистка по образцу. Длиной 1,5-2 м.</t>
  </si>
  <si>
    <t>HF. Резка и сверление отверстий в  боковинах 50-200 мм под заклеп.  торцевание. зенковка отверстий, зачистка по образцу. Длиной 2-2,5 м.</t>
  </si>
  <si>
    <t>HF. Резка и сверление отверстий в  боковинах 50-200 мм под заклеп.  торцевание. зенковка отверстий, зачистка по образцу. Длиной 2,5-3 м.</t>
  </si>
  <si>
    <t>HF. Резка и сверление отверстий в  боковинах 50-200 мм под заклеп.  торцевание. зенковка отверстий, зачистка по образцу. Длиной до 1 м.</t>
  </si>
  <si>
    <t>HF. Резка и сверление отверстий в  боковинах 50-200 мм под предв. стяжку, торцевание. зенковка отверстий, зачистка по образцу. Длиной  2,5-3 м.</t>
  </si>
  <si>
    <t>HF. Резка и сверление отверстий в  боковинах 50-200 мм под предв. стяжку, торцевание. зенковка отверстий, зачистка по образцу. Длиной  2-2,5 м.</t>
  </si>
  <si>
    <t>HF. Резка и сверление отверстий в  боковинах 50-200 мм под предв. стяжку, торцевание. зенковка отверстий, зачистка по образцу. Длиной  1,5-2 м.</t>
  </si>
  <si>
    <t>HF. Резка и сверление отверстий в  боковинах 50-200 мм под предв. стяжку, торцевание. зенковка отверстий, зачистка по образцу. Длиной  1-1,5 м.</t>
  </si>
  <si>
    <t>HF. Резка и сверление отверстий в  боковинах 50-200 мм под предв. стяжку, торцевание. зенковка отверстий, зачистка по образцу. Длиной  до 1 м.</t>
  </si>
  <si>
    <t>куб</t>
  </si>
  <si>
    <t>Сбор картона по цеху, транспортировка к прессу, сортировка, удаление посторонних материалов, прессование куба, перемещение в место хранения.</t>
  </si>
  <si>
    <t xml:space="preserve">Запуск уст. нанесения гаскетинга после длительного простоя (промывка разборка-сборка, очистка) </t>
  </si>
  <si>
    <t>Написание программы (если нет в базе)</t>
  </si>
  <si>
    <t>Корректировка программы из базы</t>
  </si>
  <si>
    <t>Сборка ответвительного разъёма "мышей" ОШП</t>
  </si>
  <si>
    <t>заготовка</t>
  </si>
  <si>
    <t>Обработки периметра и пазов заготовки прямоугольной формы с max длиной стороны ДО 500 мм. (Зачистной станок + напильник)</t>
  </si>
  <si>
    <t>Обработки периметра и пазов заготовки прямоугольной формы с max длиной стороны ОТ 500 мм. (Зачистной станок + напильник)</t>
  </si>
  <si>
    <t>Обработки периметра заготовки для СТАНДАРТНОГО угла  (Зачистной станок + напильник).</t>
  </si>
  <si>
    <t>Обработки периметра заготовки для НЕ СТАНДАРТНОГО угла  (Зачистной станок + напильник).</t>
  </si>
  <si>
    <t>Сверление  отверстий под заглушки в  крышках</t>
  </si>
  <si>
    <t>Нанесение гаскетинга на крышки и двери, категория М (max сторона 250 мм)</t>
  </si>
  <si>
    <t>Нанесение гаскетинга на крышки и двери категория С (max сторона 251-450 мм)</t>
  </si>
  <si>
    <t>Нанесение гаскетинга на крышки и двери категория Б ( есть тороны более 450 мм)</t>
  </si>
  <si>
    <t>Нанесение гаскетинга на крышки и двери категория Х (сложной конфигурации, напр. крест)</t>
  </si>
  <si>
    <t>Установка нанесения гаскетинга, заложено время на  входную проверку и идентификацию крышек</t>
  </si>
  <si>
    <t xml:space="preserve">Полная сборка секции с 2-мя окнами отбора  KLM-S-Pi-V3, Al длиной 2000-3000 мм.: 800 – 1250А. Китайские окна.  </t>
  </si>
  <si>
    <t>Нанесение гаскетинга на БОКОВЫЕ крышки длиной ДО 350 мм</t>
  </si>
  <si>
    <t>Нанесение гаскетинга на БОКОВЫЕ крышки ОТ 350 мм</t>
  </si>
  <si>
    <t>Замена картона на полу участка</t>
  </si>
  <si>
    <t>Установка струбцины на торец секции (фиксация положения шин)</t>
  </si>
  <si>
    <t>Смена заливочных столов на участке</t>
  </si>
  <si>
    <t>Повременные работы по упаковке и укладке.</t>
  </si>
  <si>
    <t>Переделка брака по вине сотрудников других отделов/участков</t>
  </si>
  <si>
    <t>Заливка 1 м элемента ШП 3200-40000 А в одной плоскости (два пакета шин). Категория Д</t>
  </si>
  <si>
    <t>Описание</t>
  </si>
  <si>
    <t>Оклейка уплотнителем, забонивание, монтаж заглушки.  14-18 винтов</t>
  </si>
  <si>
    <t>Оклейка уплотнителем, забонивание, монтаж заглушки.  4-6 винтов</t>
  </si>
  <si>
    <t>Оклейка уплотнителем, забонивание, монтаж заглушки.  8-12 винтов</t>
  </si>
  <si>
    <t>КОД</t>
  </si>
  <si>
    <t>Гибка комплектующих для стыка</t>
  </si>
  <si>
    <t>Дополнительные работы</t>
  </si>
  <si>
    <t>Код</t>
  </si>
  <si>
    <t>Участок гибки</t>
  </si>
  <si>
    <t>Участок сборки стыков</t>
  </si>
  <si>
    <t>Участок напыления</t>
  </si>
  <si>
    <t xml:space="preserve">Участок обработки </t>
  </si>
  <si>
    <t>Участок сборки секций</t>
  </si>
  <si>
    <t>Участок покраски</t>
  </si>
  <si>
    <t>Участок сборки ЯОМ</t>
  </si>
  <si>
    <t>Участок сварки</t>
  </si>
  <si>
    <t>Участок станков с ПУ</t>
  </si>
  <si>
    <t>Участок изолировки</t>
  </si>
  <si>
    <t>Шины для прямых секций магистрального шинопровода на гибочном станке Scierli Pieger:</t>
  </si>
  <si>
    <t>Участок обработки</t>
  </si>
  <si>
    <t>Изготовление комплектующих для конструктива V3</t>
  </si>
  <si>
    <t>Работа на фрезерном станке BIGZEE</t>
  </si>
  <si>
    <t>СБОРКА</t>
  </si>
  <si>
    <t>Упаковка ГП</t>
  </si>
  <si>
    <t>СПРАВОЧНИК</t>
  </si>
  <si>
    <t>Кол-во исп.</t>
  </si>
  <si>
    <t>Участок Гибки</t>
  </si>
  <si>
    <t>Гибка Al шин для прямых секций магистрального шинопровода длиной  2000мм-3000мм.:  шириной 60-100 мм</t>
  </si>
  <si>
    <t>Гибка Cu шин для прямых секций магистрального шинопровода длиной  2000мм-3000мм.:  шириной 60-100 мм</t>
  </si>
  <si>
    <t>Гибка Al шин для прямых секций магистрального шинопровода длиной  2000мм-3000мм.:  140-160 мм</t>
  </si>
  <si>
    <t>Гибка Cu шин для прямых секций магистрального шинопровода длиной  2000мм-3000мм.:   140-160 мм</t>
  </si>
  <si>
    <t>Гибка Al шин для прямых секций магистрального шинопровода длиной  2000мм-3000мм.:  200 мм</t>
  </si>
  <si>
    <t>Гибка Cu шин для прямых секций магистрального шинопровода длиной  2000мм-3000мм.:  200 мм</t>
  </si>
  <si>
    <t>Гибка Al шин для прямых секций магистрального шинопровода длиной  1000мм-1999мм.: 60-200 мм</t>
  </si>
  <si>
    <t>Гибка Cu шин для прямых секций магистрального шинопровода длиной  1000мм-1999мм.:  60-200 мм</t>
  </si>
  <si>
    <t>Гибка Al шин для прямых секций магистрального шинопровода длиной до 999мм:  60-200 мм</t>
  </si>
  <si>
    <t>Гибка Cu шин для прямых секций магистрального шинопровода длиной до 999мм:  60-200 мм</t>
  </si>
  <si>
    <t>Гибка шин для стандартной терминальной фланцевой секции магистральногои распределительного шинопровода</t>
  </si>
  <si>
    <t>Гибка шин для терминальной фланцевой секции с горизонтальным и вертикальным углом магистрального шинопровода</t>
  </si>
  <si>
    <t>Гибка шин для терминальной фланцевой секции с горизонтальным и вертикальным углом распределительного шинопровода</t>
  </si>
  <si>
    <t>кр.</t>
  </si>
  <si>
    <t>Сборка КОМ</t>
  </si>
  <si>
    <t>Участок сборки секций ЛШП</t>
  </si>
  <si>
    <t>Участок заливки</t>
  </si>
  <si>
    <t>Устаревшие нормы</t>
  </si>
  <si>
    <t xml:space="preserve">Сборка секций </t>
  </si>
  <si>
    <t>Сборка концевой заглушки.</t>
  </si>
  <si>
    <t>хл.</t>
  </si>
  <si>
    <t>Монтаж хлебницы на боковину РШП (2 заклепки), перед покраской.</t>
  </si>
  <si>
    <t xml:space="preserve">Полная сборка секции ОШП </t>
  </si>
  <si>
    <t xml:space="preserve">Сварка </t>
  </si>
  <si>
    <t>Подготовка комплектующих для стыка (V)</t>
  </si>
  <si>
    <t>Сборка крышек стыка (V)</t>
  </si>
  <si>
    <t>Работа на линии по изготовлению конвертов из пленки</t>
  </si>
  <si>
    <t xml:space="preserve">            Изготовление переходных пластин для терминальных фланцевых секций на ГЕКЕ</t>
  </si>
  <si>
    <t>Зенковка отверстий в переходных пластинах для терминальных фланцевых секций 3200-4000 А</t>
  </si>
  <si>
    <t xml:space="preserve">Приваривание Al "флажков"  на Al шину. </t>
  </si>
  <si>
    <t>Сборка  терминальной  трансформаторной  секции (ATT)</t>
  </si>
  <si>
    <t xml:space="preserve">Приваривание Al "флажков" 30 мм на Al шину. </t>
  </si>
  <si>
    <t xml:space="preserve">Приваривание Al "флажков" 60 мм на Al шину. </t>
  </si>
  <si>
    <t>Общий список</t>
  </si>
  <si>
    <t>Соединение двумя скобами (верх-низ) двух корпусов в гориз. плоскости (2 скобы по 8 болтов) для НЕ прямых секций</t>
  </si>
  <si>
    <t xml:space="preserve"> Торцевание шины с 1 отверстием. Старый конструктив (в ОЦ корпусе).</t>
  </si>
  <si>
    <t xml:space="preserve"> Торцевание шины с 2 отверстиями. Старый конструктив (в ОЦ корпусе).</t>
  </si>
  <si>
    <t xml:space="preserve">  Торцевание шины с 3 отверстиями. Старый конструктив (в ОЦ корпусе).</t>
  </si>
  <si>
    <t xml:space="preserve">   Торцевание шины с 4 отверстиями.Старый конструктив (в ОЦ корпусе).</t>
  </si>
  <si>
    <t xml:space="preserve">   Торцевание шины с 5 отверстиями. Старый конструктив (в ОЦ корпусе).</t>
  </si>
  <si>
    <t xml:space="preserve">  Торцевание шины с 6 отверстиями. Старый конструктив (в ОЦ корпусе).</t>
  </si>
  <si>
    <t xml:space="preserve">  Торцевание шины с 7 отверстиями. Старый конструктив (в ОЦ корпусе).</t>
  </si>
  <si>
    <t xml:space="preserve"> Правка шины с 1 отверстием. Старый конструктив (в ОЦ корпусе).</t>
  </si>
  <si>
    <t xml:space="preserve"> Правка шины с 2 отверстиями. Старый конструктив (в ОЦ корпусе).</t>
  </si>
  <si>
    <t xml:space="preserve"> Правка шины с 3 отверстиями. Старый конструктив (в ОЦ корпусе).</t>
  </si>
  <si>
    <t xml:space="preserve"> Правка шины с 4 отверстиями. Старый конструктив (в ОЦ корпусе).</t>
  </si>
  <si>
    <t xml:space="preserve"> Правка шины с 5 отверстиями. Старый конструктив (в ОЦ корпусе).</t>
  </si>
  <si>
    <t xml:space="preserve"> Правка шины с 6 отверстиями. Старый конструктив (в ОЦ корпусе).</t>
  </si>
  <si>
    <t xml:space="preserve"> Правка шины с 7 отверстиями. Старый конструктив (в ОЦ корпусе).</t>
  </si>
  <si>
    <t>усил.</t>
  </si>
  <si>
    <t>Сборка секций осветительного шинопровода (Pi):</t>
  </si>
  <si>
    <t xml:space="preserve">Пробивка отверстий в переходных пластинах для терминальных фланцевых секций 3200-4000А  на комбинированных пресс ножницах (Геке), правка </t>
  </si>
  <si>
    <t>Сборка секций распределительного ШП</t>
  </si>
  <si>
    <r>
      <t xml:space="preserve">HF. Резка и сверление отверстий в направляющих стыка. Зенковка </t>
    </r>
    <r>
      <rPr>
        <b/>
        <sz val="12"/>
        <rFont val="Times New Roman"/>
        <family val="1"/>
        <charset val="204"/>
      </rPr>
      <t xml:space="preserve">4 </t>
    </r>
    <r>
      <rPr>
        <sz val="12"/>
        <rFont val="Times New Roman"/>
        <family val="1"/>
        <charset val="204"/>
      </rPr>
      <t>отверстий (7 шт на профиле). Торцевание.</t>
    </r>
  </si>
  <si>
    <r>
      <t xml:space="preserve">HF. Резка и сверление отверстий в направляющих стыка. Зенковка </t>
    </r>
    <r>
      <rPr>
        <b/>
        <sz val="12"/>
        <rFont val="Times New Roman"/>
        <family val="1"/>
        <charset val="204"/>
      </rPr>
      <t xml:space="preserve">6 </t>
    </r>
    <r>
      <rPr>
        <sz val="12"/>
        <rFont val="Times New Roman"/>
        <family val="1"/>
        <charset val="204"/>
      </rPr>
      <t>отверстий (4 шт. на профиле). Торцевание.</t>
    </r>
  </si>
  <si>
    <r>
      <t xml:space="preserve">HF. Резка и сверление отверстий в направляющих стыка. Зенковка </t>
    </r>
    <r>
      <rPr>
        <b/>
        <sz val="12"/>
        <rFont val="Times New Roman"/>
        <family val="1"/>
        <charset val="204"/>
      </rPr>
      <t xml:space="preserve">8 </t>
    </r>
    <r>
      <rPr>
        <sz val="12"/>
        <rFont val="Times New Roman"/>
        <family val="1"/>
        <charset val="204"/>
      </rPr>
      <t>отверстий (3 шт. на профиле). Торцевание.</t>
    </r>
  </si>
  <si>
    <t>шайба</t>
  </si>
  <si>
    <t xml:space="preserve">Изготовление торцевых заглушек </t>
  </si>
  <si>
    <t>Сборка контактных групп (пинцетов)</t>
  </si>
  <si>
    <t>Модернизация (разборка- сборка)  контактных групп"пинцетов"</t>
  </si>
  <si>
    <t>Гибка концевых заглушек (за комплект: 2 боковые, 2 верх/низ, 1 торцевая)</t>
  </si>
  <si>
    <t>Гибка шин для нестандартной терминальной фланцевой секции магистрального шинопровода</t>
  </si>
  <si>
    <t>Гибка шин для нестандартной терминальной фланцевой секции распределительного шинопровода</t>
  </si>
  <si>
    <t>Гибка шин для прямых секций магистрального шинопровода длиной  2000мм-3000мм.:  140х10, 160х10</t>
  </si>
  <si>
    <t>Гибка шин для прямых секций магистрального шинопровода длиной  1000мм-1999мм.:  60х10, 80х10, 100х10, 140х10, 160х10, 200х10</t>
  </si>
  <si>
    <t>Гибка шин для прямых секций магистрального шинопровода длиной до 999мм:  60х10, 80х10, 100х10, 140х10, 160х10, 200х10</t>
  </si>
  <si>
    <t>Гибка шин для прямых секций магистрального шинопровода длиной  2000мм-3000мм.:  60х10, 80х10, 100х10</t>
  </si>
  <si>
    <t>Гибка медной ошиновки Cu 1,0 мм (гибка каждой шины толщиной 1 мм производится по индивидуальному чертежу)</t>
  </si>
  <si>
    <t>Заготовительные операции</t>
  </si>
  <si>
    <t>Сборочные операции</t>
  </si>
  <si>
    <t>Сборка усилителей стыка для ОШП, в том числе: оклейка, забонивание (4 бонки), монтаж 4-винтовыми соединениями, упаковка в стрейч пленку по 5 шт.</t>
  </si>
  <si>
    <t>отв.</t>
  </si>
  <si>
    <t>HF. Резка и сверление отверстий в заготовках направляющих стыка (под распил на пиле) . Зенковка.</t>
  </si>
  <si>
    <t>Разборка контактных групп (пинцетов): высверливание 2 заклепок</t>
  </si>
  <si>
    <t xml:space="preserve">            Сборка  магистральных секций Pi конструктив  V3</t>
  </si>
  <si>
    <t>Сварка КША, оборудование "CEBORA". Ширина пакета: 100 мм</t>
  </si>
  <si>
    <t>Сварка КША, оборудование "CEBORA". Ширина пакета: 140 мм</t>
  </si>
  <si>
    <t>Сварка КША, оборудование "CEBORA". Ширина пакета: 160 мм</t>
  </si>
  <si>
    <t>Сварка КША, оборудование "CEBORA". Ширина пакета: 200 мм</t>
  </si>
  <si>
    <r>
      <t>HF. Резка и сверление отверстий профиле 147 мм под корпус стыка. Зенковка 4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отверстий. Торцевание. Комплект - 2 шт.</t>
    </r>
  </si>
  <si>
    <t xml:space="preserve">Сборка корпусов из профиля (ПФЛ-1), </t>
  </si>
  <si>
    <t>Участок напыления (кту 1,2)</t>
  </si>
  <si>
    <t>Значение "Общее время резки" в отчете за смену,  в минутах.</t>
  </si>
  <si>
    <t>Предварительная сборка под покраску корпуса РШП из профиля (оклейка, соединение, монтаж подвесов), длиной от 1501 мм.</t>
  </si>
  <si>
    <t>Предварительная сборка под покраску корпуса РШП из профиля (оклейка, соединение, монтаж подвесов), длиной до 1500 мм.</t>
  </si>
  <si>
    <t>Разборка после покраски корпуса РШП из профиля (снятие скотча, размыкание замков, снятие подвесов), длиной до 1500 мм.</t>
  </si>
  <si>
    <t>Разборка после покраски корпуса РШП из профиля (снятие скотча, размыкание замков, снятие подвесов), длиной от 1501 мм.</t>
  </si>
  <si>
    <t>Клинчинг, клепание, ривсет.</t>
  </si>
  <si>
    <t xml:space="preserve">Клинчинг секции П конструктива (1 крышка) на автоматической линии: транспортировка на линию и обратно, установка и снятие, 2-ух рядная пуклевка. Шаг пуклевки 110-130 мм. (секция 3000 = 3 м пуклевки). </t>
  </si>
  <si>
    <t xml:space="preserve">Клинчинг секции П конструктива (1 крышка) на автоматической линии: транспортировка на линию и обратно, установка и снятие, 2-ух рядная пуклевка. Шаг пуклевки 200-260 мм. (секция 3000 = 3 м пуклевки). </t>
  </si>
  <si>
    <t>Подвесной клинчинг. Пуклевка прямых секций лестничного лотка 3000 мм, 9 ступеней. Ширина 100 мм</t>
  </si>
  <si>
    <t>Подвесной клинчинг. Пуклевка прямых секций лестничного лотка 3000 мм, 9 ступеней. Ширина 200 мм</t>
  </si>
  <si>
    <t>Подвесной клинчинг. Пуклевка прямых секций лестничного лотка 3000 мм, 9 ступеней. Ширина 300 мм</t>
  </si>
  <si>
    <t>Подвесной клинчинг. Пуклевка прямых секций лестничного лотка 3000 мм, 9 ступеней. Ширина 600 мм</t>
  </si>
  <si>
    <t>Подвесной клинчинг: пуклевка непрямых секций и ATSC.</t>
  </si>
  <si>
    <t>Пуклевка большим ручным клинчингом, углы лотков</t>
  </si>
  <si>
    <t>Пуклевка большим ручным клинчингом,  крышки секций</t>
  </si>
  <si>
    <t>Комбинированный клинчинг, сборных 3м лотков, фиксация малых лотков ручным клинчингом, затем клинчинг подвесным по шаблону.</t>
  </si>
  <si>
    <t>Фиксация малым ручным клинчингом, углы лотков</t>
  </si>
  <si>
    <t>Фиксация малым ручным клинчинг,  крышки секций</t>
  </si>
  <si>
    <t>Монтаж окон отбора мощности в РШП из профиля</t>
  </si>
  <si>
    <t>окно</t>
  </si>
  <si>
    <t>Точечная сварка. Приваривание Шпильки PE на КОМ 1 габаритной группы (L max до 500 мм). Смазка и протирка места контакта.</t>
  </si>
  <si>
    <t>Точечная сварка. Приваривание Шпильки PE на КОМ 2 габаритной группы (L max от 500 мм). Смазка и протирка места контакта.</t>
  </si>
  <si>
    <t>Точечная сварка. Приваривание Шпильки PE на двери. Установка местоположения по шаблону. Смазка и протирка места контакта.</t>
  </si>
  <si>
    <t>Снятие фаски по срезам. ПОСЛЕ ЛАЗЕРА, посредством УШМ и абразивного бруска.</t>
  </si>
  <si>
    <t>Оформление радиуса на шинах ПОСЛЕ ЛАЗЕРА, посредством УШМ и абразивного бруска, дополнительная обработка торцов.</t>
  </si>
  <si>
    <t>пластина</t>
  </si>
  <si>
    <t>Доработка контактов типа "пинцет",  до симметрии зажимов (плоскогубцами).</t>
  </si>
  <si>
    <t>Двойное забонивание шин для контактных груп ЯОМ</t>
  </si>
  <si>
    <t>Работа на лазерном станке Bodor и вспомогательном оборудовании (зачистка). С учетом уборки 1 поста в конце смены.</t>
  </si>
  <si>
    <t>Работа на лазерном станке OREE и вспомогательном оборудовании (зачистка). С учетом уборки 1 поста в конце смены.</t>
  </si>
  <si>
    <t>TIG сварка</t>
  </si>
  <si>
    <t xml:space="preserve">BZ. Установка и снятие изделий. Сверление отверстий в крышках секций из профиля (180х3000 мм), ПОД ПУКЛЕВКУ. </t>
  </si>
  <si>
    <t xml:space="preserve">BZ. Установка или снятие шаблона "Крышки" </t>
  </si>
  <si>
    <t>BZ. Установка шаблона "Боковины" на станок</t>
  </si>
  <si>
    <t>BZ. Снятие шаблона "Боковины" со станка</t>
  </si>
  <si>
    <t>BZ. Установка и снятие изделий. Сверление отверстий в крышках корпусов и  углов под заклепку, длиной до  500 мм</t>
  </si>
  <si>
    <t>BZ. Установка и снятие изделий. Сверление отверстий в крышках корпусов и  углов под заклепку, длиной 501-1000 мм.</t>
  </si>
  <si>
    <t>BZ. Установка и снятие изделий. Сверление отверстий в крышках корпусов и  углов под заклепку, длиной 1001-2000 мм</t>
  </si>
  <si>
    <t xml:space="preserve">BZ. Установка и снятие изделий.Сверление отверстий в крышках секций из профиля, длиной 2001-2999 мм. </t>
  </si>
  <si>
    <t>BZ. Установка и снятие изделий.Сверление отверстий в крышках секций из профиля, длиной 3000 мм, ПОД ЗАКЛЕПКУ. УП на 8 шт.</t>
  </si>
  <si>
    <t>BZ. Установка и снятие изделий. Сверление отверстий в боковинах под заклепку. Длина до 500 мм. УП на 2 шт.</t>
  </si>
  <si>
    <t>BZ. Установка и снятие изделий. Сверление отверстий в боковинах под заклепку. Длина  501-1000 мм. УП на 2 шт.</t>
  </si>
  <si>
    <t>BZ. Установка и снятие изделий. Сверление отверстий в боковинах под заклепку. Длина  501-1000 мм. УП на 18 шт.</t>
  </si>
  <si>
    <t>BZ. Установка и снятие изделий. Сверление отверстий в боковинах под заклепку. Длина  1001-2000 мм. УП на 2 шт.</t>
  </si>
  <si>
    <t>BZ. Установка и снятие изделий. Сверление отверстий в боковинах под заклепку. Длина  2001-2999 мм. УП на 2 шт.</t>
  </si>
  <si>
    <t>BZ. Установка и снятие изделий.Сверление отверстий в боковинах 3000 мм  (68-133 мм). УП на 18 шт. ПОД ПУКЛЕВКУ</t>
  </si>
  <si>
    <t>BZ. Установка и снятие изделий.Сверление отверстий в боковинах 3000 мм  (50-78 мм). УП на 18 шт. ПОД ЗАКЛЕПКУ</t>
  </si>
  <si>
    <t>BZ. Установка и снятие изделий.Сверление отверстий в боковинах 3000 мм  (103-133 мм). УП на 18 шт. ПОД ЗАКЛЕПКУ</t>
  </si>
  <si>
    <t>BZ. Установка и снятие шаблона и  изделий. Сверление отверстий в крышках стыка (8 отв). УП на 6 шт.</t>
  </si>
  <si>
    <t>BZ. Изготовление изоляторов 1391.002.003 для ЯОМ. Отпиливание, фиксация-снятие листа, Выкусывание изоляторов.(4 фреза)</t>
  </si>
  <si>
    <t>BZ. Изготовление изоляторов 183.000.002 для ЯОМ. Отпиливание, фиксация-снятие листа, Выкусывание изоляторов.(4 фреза)</t>
  </si>
  <si>
    <t>BZ. Изготовление изоляторов 9442.002.201  для Pi . Отпиливание, фиксация-снятие листа, Выкусывание изоляторов.(4 фреза)</t>
  </si>
  <si>
    <t>BZ. Изготовление изоляторов  для ЯОМ РШП  (белые решетки для конт. гр.). Фиксация-снятие листа,  Выкусывание (кусачки), зачистка заусенцев.</t>
  </si>
  <si>
    <t xml:space="preserve">BZ. Изготовление изоляторов 5507.003.003 для МШП, Pi секций. Перемещение и фиксация листа. Контроль заточки фрезы. </t>
  </si>
  <si>
    <t>9264</t>
  </si>
  <si>
    <t>9265</t>
  </si>
  <si>
    <t>TIG. Сварка углов из Al профиля (140 мм), на шаблоне. Подготовка: снятие фасок для шва - при необходимости.</t>
  </si>
  <si>
    <r>
      <t xml:space="preserve">Торцевание шины с </t>
    </r>
    <r>
      <rPr>
        <b/>
        <sz val="14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 xml:space="preserve"> отверстием. Конструктив V3</t>
    </r>
  </si>
  <si>
    <r>
      <t xml:space="preserve">Торцевание шины с </t>
    </r>
    <r>
      <rPr>
        <b/>
        <sz val="14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</si>
  <si>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Торцевание шины с </t>
    </r>
    <r>
      <rPr>
        <b/>
        <sz val="14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</si>
  <si>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Торцевание шины с </t>
    </r>
    <r>
      <rPr>
        <b/>
        <sz val="14"/>
        <color theme="1"/>
        <rFont val="Times New Roman"/>
        <family val="1"/>
        <charset val="204"/>
      </rPr>
      <t>4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</si>
  <si>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Торцевание шины с </t>
    </r>
    <r>
      <rPr>
        <b/>
        <sz val="14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</si>
  <si>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Торцевание шины с </t>
    </r>
    <r>
      <rPr>
        <b/>
        <sz val="14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</si>
  <si>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Торцевание шины с </t>
    </r>
    <r>
      <rPr>
        <b/>
        <sz val="14"/>
        <color theme="1"/>
        <rFont val="Times New Roman"/>
        <family val="1"/>
        <charset val="204"/>
      </rPr>
      <t>7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</si>
  <si>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Торцевание шины с </t>
    </r>
    <r>
      <rPr>
        <b/>
        <sz val="12"/>
        <color theme="1"/>
        <rFont val="Times New Roman"/>
        <family val="1"/>
        <charset val="204"/>
      </rPr>
      <t>8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</si>
  <si>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Торцевание шины с </t>
    </r>
    <r>
      <rPr>
        <b/>
        <sz val="14"/>
        <color theme="1"/>
        <rFont val="Times New Roman"/>
        <family val="1"/>
        <charset val="204"/>
      </rPr>
      <t>9</t>
    </r>
    <r>
      <rPr>
        <sz val="12"/>
        <color theme="1"/>
        <rFont val="Times New Roman"/>
        <family val="1"/>
        <charset val="204"/>
      </rPr>
      <t xml:space="preserve"> отверстиями. Конструктив V3</t>
    </r>
  </si>
  <si>
    <r>
      <t xml:space="preserve">Подготовка пластин стыка: двусторонняя очистка, обезжиривание,  наклейка  дв. ск. (поперечными отпрезками). </t>
    </r>
    <r>
      <rPr>
        <b/>
        <sz val="14"/>
        <rFont val="Times New Roman"/>
        <family val="1"/>
        <charset val="204"/>
      </rPr>
      <t>2 отрезка.</t>
    </r>
  </si>
  <si>
    <r>
      <t xml:space="preserve">Подготовка пластин стыка: двусторонняя очистка, обезжиривание,  наклейка  дв. ск. (поперечными отпрезками). </t>
    </r>
    <r>
      <rPr>
        <b/>
        <sz val="14"/>
        <rFont val="Times New Roman"/>
        <family val="1"/>
        <charset val="204"/>
      </rPr>
      <t>4 отрезка.</t>
    </r>
  </si>
  <si>
    <r>
      <t xml:space="preserve">Подготовка пластин стыка: двусторонняя очистка, обезжиривание,  наклейка  дв. ск. (поперечными отпрезками). </t>
    </r>
    <r>
      <rPr>
        <b/>
        <sz val="14"/>
        <rFont val="Times New Roman"/>
        <family val="1"/>
        <charset val="204"/>
      </rPr>
      <t>3 отрезка.</t>
    </r>
  </si>
  <si>
    <r>
      <t>Подготовка пластин стыка: двусторонняя очистка, обезжиривание,  наклейка  дв. ск. (поперечными отпрезками).</t>
    </r>
    <r>
      <rPr>
        <b/>
        <sz val="14"/>
        <rFont val="Times New Roman"/>
        <family val="1"/>
        <charset val="204"/>
      </rPr>
      <t xml:space="preserve"> 5 отрезков.</t>
    </r>
  </si>
  <si>
    <t>шина ст.</t>
  </si>
  <si>
    <t xml:space="preserve">Сборка стыков V конструктива (5 изоляторов), без учета подготовки комплектующих. </t>
  </si>
  <si>
    <r>
      <rPr>
        <b/>
        <sz val="14"/>
        <rFont val="Times New Roman"/>
        <family val="1"/>
        <charset val="204"/>
      </rPr>
      <t>Б. ТРУБОЧКИ (6-ти гранные, пластик)</t>
    </r>
    <r>
      <rPr>
        <sz val="14"/>
        <rFont val="Times New Roman"/>
        <family val="1"/>
        <charset val="204"/>
      </rPr>
      <t>. Резка изоляторов на болты в размер, очистка заусенцев на срезе.</t>
    </r>
  </si>
  <si>
    <r>
      <rPr>
        <b/>
        <sz val="14"/>
        <rFont val="Times New Roman"/>
        <family val="1"/>
        <charset val="204"/>
      </rPr>
      <t>Б. ТРУБОЧКИ (круглые, стекло)</t>
    </r>
    <r>
      <rPr>
        <sz val="14"/>
        <rFont val="Times New Roman"/>
        <family val="1"/>
        <charset val="204"/>
      </rPr>
      <t xml:space="preserve">. Резка изоляторов на болтыв размер, на циркулярной пиле. </t>
    </r>
  </si>
  <si>
    <r>
      <rPr>
        <b/>
        <sz val="14"/>
        <rFont val="Times New Roman"/>
        <family val="1"/>
        <charset val="204"/>
      </rPr>
      <t>Ч/З. ТРУБОЧКИ (квадрат, пластик)</t>
    </r>
    <r>
      <rPr>
        <sz val="14"/>
        <rFont val="Times New Roman"/>
        <family val="1"/>
        <charset val="204"/>
      </rPr>
      <t xml:space="preserve">. Резка изоляторов на болты в размер,  ножовкой вручную. </t>
    </r>
  </si>
  <si>
    <r>
      <rPr>
        <b/>
        <sz val="16"/>
        <rFont val="Times New Roman"/>
        <family val="1"/>
        <charset val="204"/>
      </rPr>
      <t>ШАЙБЫ</t>
    </r>
    <r>
      <rPr>
        <sz val="16"/>
        <rFont val="Times New Roman"/>
        <family val="1"/>
        <charset val="204"/>
      </rPr>
      <t>. Распаковка шайб из индивидуальной упаковки</t>
    </r>
  </si>
  <si>
    <t>под. пл.</t>
  </si>
  <si>
    <t xml:space="preserve">Сборка шин стыка на скотч (подг. пл. - изолятор - подг. пл.), 2 отрезка. Очистка,обезжиривание и позиционирование поверхностей. </t>
  </si>
  <si>
    <t xml:space="preserve">Сборка шин стыка на скотч (подг. пл. - изолятор - подг. пл.), 5 отрезков. Очистка,обезжиривание и позиционирование поверхностей. </t>
  </si>
  <si>
    <t xml:space="preserve">Сборка шин стыка на скотч (подг. пл. - изолятор - подг. пл.), 4 отрезка. Очистка,обезжиривание и позиционирование поверхностей. </t>
  </si>
  <si>
    <t xml:space="preserve">Сборка шин стыка на скотч (подг. пл. - изолятор - подг. пл.), 3 отрезка. Очистка,обезжиривание и позиционирование поверхностей. </t>
  </si>
  <si>
    <t>Измеритель</t>
  </si>
  <si>
    <t>Обработка КША после сварки. Шины равны по ширине пакету. (2 шва на 1 КША).</t>
  </si>
  <si>
    <t>Обработка КША после сварки. Шины не равны по ширине пакету. (2 шва на 1 КША).</t>
  </si>
  <si>
    <t>Точечная сварка. Качественное приваривание шпильки PE, идентификация своих шпилек.</t>
  </si>
  <si>
    <t>BZ. Изготовление изоляторов  для  G-GF от 4000 А. Фиксация-снятие листа,  Выкусывание и зачистка изоляторов (кусачки, зачистной станок)</t>
  </si>
  <si>
    <t>BZ. Изготовление изоляторов  для  G-GF  1600-3200 A. Фиксация-снятие листа,  Выкусывание и зачистка изоляторов (кусачки, зачистной станок)</t>
  </si>
  <si>
    <t>BZ. Изготовление изоляторов  для  G до 315;  GF 100-160 А. Фиксация-снятие листа,  Выкусывание и зачистка изоляторов (кусачки, зачистной станок)</t>
  </si>
  <si>
    <t>BZ. Изготовление изоляторов  для  GF  400А; G-GF  630-1250 A. Фиксация-снятие листа,  Выкусывание и зачистка изоляторов (кусачки, зачистной станок)</t>
  </si>
  <si>
    <t>9266</t>
  </si>
  <si>
    <t>вид</t>
  </si>
  <si>
    <t>Многономенклатурность: количество видов стыков - разные проекты, конструктивы. 1 Вид - не применяется. 4 вида - пишем 4.</t>
  </si>
  <si>
    <t>GV1. Сборка стыка тип V на 1 болт. (шайбы-направляющие-шины стыка-болт-трубочка-гайка).  Стяжка хомутам индивидуально и попарно.</t>
  </si>
  <si>
    <t>GV2. Сборка стыка тип V на 2 болта. (шайбы-направляющие-шины стыка-болты-трубочки-гайки). Стяжка хомутам индивидуально и попарно.</t>
  </si>
  <si>
    <t>GV3. Сборка стыка тип V на 3 болта. (шайбы-направляющие-шины стыка-болты-трубочки-гайки). Стяжка хомутам индивидуально и попарно.</t>
  </si>
  <si>
    <t>GV4. Сборка стыка тип V на 4 болта. (шайбы-направляющие-шины стыка-болты-трубочки-гайки). Стяжка хомутам индивидуально и попарно.</t>
  </si>
  <si>
    <t>GV5. Сборка стыка тип V на 5 болт. (шайбы-направляющие-шины стыка-болты-трубочки-гайки). Стяжка хомутам индивидуально и попарно.</t>
  </si>
  <si>
    <t>GV6. Сборка стыка тип V на 6 болт. (шайбы-направляющие-шины стыка-болты-трубочки-гайки). Стяжка хомутам индивидуально и попарно.</t>
  </si>
  <si>
    <t>GV7. Сборка стыка тип V на 7 болт. (шайбы-направляющие-шины стыка-болты-трубочки-гайки). Стяжка хомутам индивидуально и попарно.</t>
  </si>
  <si>
    <r>
      <t xml:space="preserve">Сборка шины стыка </t>
    </r>
    <r>
      <rPr>
        <b/>
        <sz val="14"/>
        <rFont val="Times New Roman"/>
        <family val="1"/>
        <charset val="204"/>
      </rPr>
      <t xml:space="preserve">НА КЛЕЙ </t>
    </r>
    <r>
      <rPr>
        <sz val="14"/>
        <rFont val="Times New Roman"/>
        <family val="1"/>
        <charset val="204"/>
      </rPr>
      <t>(пл.-клей-изолятор-клей-пл.). Очистка и обезжиривание пов-ей, нанесение 8 капли клея, выдержка.</t>
    </r>
  </si>
  <si>
    <t>Оклейка прямоуглольных (маленьких) окошек отбора мощности секции РШП KLM-R-Pi 100-630А</t>
  </si>
  <si>
    <t>Оклейка квадратных (больших) окошек отбора мощности секции РШП KLM-R-Pi 100-630А</t>
  </si>
  <si>
    <t>Дата обновления ведомости:</t>
  </si>
  <si>
    <t>из. кубик</t>
  </si>
  <si>
    <t xml:space="preserve">Изолирование гибкой ошиновки термоусаживаемой трубкой (надевание).  Длина термоусадки до 300 мм. </t>
  </si>
  <si>
    <t>Изолирование гибкой ошиновки термоусаживаемой трубкой (надевание).  Длина термоусадки: от 401 мм.</t>
  </si>
  <si>
    <t xml:space="preserve">Изолирование КША термоусаживаемой трубкой (надевание).  Длина термоусадки до 300 мм. </t>
  </si>
  <si>
    <t>Изолирование КША термоусаживаемой трубкой (надевание).  Длина термоусадки: 301 мм. - 400 мм.</t>
  </si>
  <si>
    <t>Изолирование КША термоусаживаемой трубкой (надевание).  Длина термоусадки: от 401 мм.</t>
  </si>
  <si>
    <t>Термовоздушная обработка феном надетой термоусадочной трубки толщиной на 3 кВ.</t>
  </si>
  <si>
    <t>Термовоздушная обработка феном надетой термоусадочной трубки толщиной на 10 кВ.</t>
  </si>
  <si>
    <t>Термовоздушная обработка феном надетой термоусадочной трубки толщиной на 35 кВ.</t>
  </si>
  <si>
    <t>Гибка соединителей из 2 сопрягаемых частей (за комплект, 4 гиба, 2 сечения). Сборка комплекта.</t>
  </si>
  <si>
    <t>соединитель</t>
  </si>
  <si>
    <t>Гибка шин для стандартных шин CD, CP, ATSC  шириной 60-160 мм</t>
  </si>
  <si>
    <r>
      <t xml:space="preserve">Гибка шин для </t>
    </r>
    <r>
      <rPr>
        <b/>
        <sz val="14"/>
        <rFont val="Times New Roman"/>
        <family val="1"/>
        <charset val="204"/>
      </rPr>
      <t>НЕ</t>
    </r>
    <r>
      <rPr>
        <sz val="14"/>
        <rFont val="Times New Roman"/>
        <family val="1"/>
        <charset val="204"/>
      </rPr>
      <t>стандартных шин CD, CP, ATSC шириной 60-160 мм</t>
    </r>
  </si>
  <si>
    <t>Гибка шин для стандартных шин CD, CP, ATSC шириной 200 мм</t>
  </si>
  <si>
    <r>
      <t xml:space="preserve">Гибка шин для </t>
    </r>
    <r>
      <rPr>
        <b/>
        <sz val="14"/>
        <rFont val="Times New Roman"/>
        <family val="1"/>
        <charset val="204"/>
      </rPr>
      <t>НЕ</t>
    </r>
    <r>
      <rPr>
        <sz val="14"/>
        <rFont val="Times New Roman"/>
        <family val="1"/>
        <charset val="204"/>
      </rPr>
      <t>стандартных шин CD, CP, ATSC шириной 200 мм</t>
    </r>
  </si>
  <si>
    <t xml:space="preserve">Воздушный конструктив, 1 гиб. Гибка шин для стандартного горизонтального угла магистрального и распределительного шинопровода. </t>
  </si>
  <si>
    <t>Воздушный конструктив, 1 гиб. Гибка шин для нестандартного горизонтального угла магистрального и распределительного шинопровода</t>
  </si>
  <si>
    <t>Изолирование термоусадочной трубкой (ТТ) "кубика" для КГ. (обработка ребер наждаком-закладывание в ТТ-фен(3 кв.)-разрезать ТТ и вырезать отв.)</t>
  </si>
  <si>
    <t>Специализированные изделия</t>
  </si>
  <si>
    <t>Гибкая шина плетеная</t>
  </si>
  <si>
    <t>Изготовление гибкой шины плетеной KLM-C, подготовительные операции.</t>
  </si>
  <si>
    <t>ГШП 1.1. Перемотка стренги медной, на намоточном станке, с рулона на катушки.</t>
  </si>
  <si>
    <t>катушка</t>
  </si>
  <si>
    <t>ГШП 1.2. Плетение рукава из стренги на плетельной машине</t>
  </si>
  <si>
    <t>ГШП 1.3.1 М Рубка рукава в размер, на гильотине. Длина до 800 мм</t>
  </si>
  <si>
    <t>ГШП 1.3.2 Б Рубка рукава в размер, на гильотине. Длина более 801 мм</t>
  </si>
  <si>
    <t>ГШП 1.4. Рубка медных листов на гильотине в размер, изготовление пластин для контактных площадок</t>
  </si>
  <si>
    <t>ГШП 1.5. Отжиг медных пластин для контактных площадок</t>
  </si>
  <si>
    <t>ГШП 1.6. Зачистка (черновая) пластин после отжига (УШМ, шлифовальный станок)</t>
  </si>
  <si>
    <t xml:space="preserve">ГШП 1.7. Предварительная гибка пластин на гибочном приспособлении, придание трубчатой формы </t>
  </si>
  <si>
    <t>ГШП 1.8. Формирование заготовки для контактной площадки на гидравлическом прессе</t>
  </si>
  <si>
    <t>ГШП 1.9.1.М Сварка малой (h до 100 мм) контактной площадки - продольный шов.</t>
  </si>
  <si>
    <t>ГШП 1.9.2.Б Сварка большой (h от 101 мм) контактной площадки - продольный шов.</t>
  </si>
  <si>
    <t>Изготовление гибкой шины плетеной KLM-C (косички), сборка и заключительные операции</t>
  </si>
  <si>
    <r>
      <t xml:space="preserve">ГШП 2.1.2 Сборка </t>
    </r>
    <r>
      <rPr>
        <b/>
        <sz val="20"/>
        <rFont val="Times New Roman"/>
        <family val="1"/>
        <charset val="204"/>
      </rPr>
      <t>2-ух</t>
    </r>
    <r>
      <rPr>
        <sz val="16"/>
        <rFont val="Times New Roman"/>
        <family val="1"/>
        <charset val="204"/>
      </rPr>
      <t xml:space="preserve"> рукавных медных жил</t>
    </r>
  </si>
  <si>
    <r>
      <t xml:space="preserve">ГШП 2.1.3 Сборка </t>
    </r>
    <r>
      <rPr>
        <b/>
        <sz val="20"/>
        <rFont val="Times New Roman"/>
        <family val="1"/>
        <charset val="204"/>
      </rPr>
      <t>3-ух</t>
    </r>
    <r>
      <rPr>
        <sz val="16"/>
        <rFont val="Times New Roman"/>
        <family val="1"/>
        <charset val="204"/>
      </rPr>
      <t xml:space="preserve"> рукавных медных жил</t>
    </r>
  </si>
  <si>
    <t>ГШП 2.2.1. Формирование пакета из жил (вертикально) и надевание 2-ух луженых контактных площадкок. С запасом по сечению наконечника.</t>
  </si>
  <si>
    <t>коса</t>
  </si>
  <si>
    <t>ГШП 2.2.2. Формирование пакета из жил (вертикально) и надевание 2-ух луженых контактных площадкок. Без запаса по сечению, трудоемкая сборка.</t>
  </si>
  <si>
    <t>ГШП 2.3.  Опрессовка косы на гидравлическом прессе, с контролем размера между наконечниками, уборка поста.</t>
  </si>
  <si>
    <t>ГШП 2.4.1. Торцовка контактных площадок в соответствии с эскизом на 1Г дисковой пиле (до 100 мм)</t>
  </si>
  <si>
    <t>ГШП 2.4.2. Торцовка контактных площадок в соответствии с эскизом на 1Г дисковой пиле (от 101 мм)</t>
  </si>
  <si>
    <t>ГШП 2.5.1. Лужение контактных площадок на косичке (ГШП), сечением до 1000 кв. мм.</t>
  </si>
  <si>
    <t>ГШП 2.6. Подпрессовка косичек на гидравлическом прессе после лужения</t>
  </si>
  <si>
    <t>ГШП 2.7. Кернение по шаблону и сверление отверстий (2 сверла) в соответствии с эскизом Зенковка всех отв. с 2 сторон.</t>
  </si>
  <si>
    <r>
      <t xml:space="preserve">ГШП 1.10.2.Б </t>
    </r>
    <r>
      <rPr>
        <b/>
        <sz val="16"/>
        <rFont val="Times New Roman"/>
        <family val="1"/>
        <charset val="204"/>
      </rPr>
      <t>Полная</t>
    </r>
    <r>
      <rPr>
        <sz val="16"/>
        <rFont val="Times New Roman"/>
        <family val="1"/>
        <charset val="204"/>
      </rPr>
      <t xml:space="preserve"> зачистка (в т.ч. внутри) большой (h от 101 мм) контактной площадки после сварки: съём шва до плоской поверхности, притупление острых кромок. Оборудование: УШМ, электрический напильник.</t>
    </r>
  </si>
  <si>
    <r>
      <t xml:space="preserve">ГШП 1.10.1.М </t>
    </r>
    <r>
      <rPr>
        <b/>
        <sz val="16"/>
        <rFont val="Times New Roman"/>
        <family val="1"/>
        <charset val="204"/>
      </rPr>
      <t>Полная</t>
    </r>
    <r>
      <rPr>
        <sz val="16"/>
        <rFont val="Times New Roman"/>
        <family val="1"/>
        <charset val="204"/>
      </rPr>
      <t xml:space="preserve"> зачистка (в т.ч. внутри) малой (h до 100 мм) контактной площадки после сварки: съём шва до плоской поверхности, притупление острых кромок. Оборудование: УШМ, электрический напильник.</t>
    </r>
  </si>
  <si>
    <t>Подвесной клинчинг. Прямые секции. 2-ух рядная пуклевка с шагом 200-260 по единому шаблону. (секция 3000 мм = 6 м пуклевки).</t>
  </si>
  <si>
    <t>Подвесной клинчинг. Прямые секции. и 2-ух рядная пуклевка с шагом 200-260 ммсекции без единого шаблона. (секция 3000м = 6 м пуклевки).</t>
  </si>
  <si>
    <t>Подвесной клинчинг. Прямые секции. и 2-ух рядная пуклевка с шагом 110-130 мм по единому шаблону. (секция 3000 мм = 6 м пуклевки).</t>
  </si>
  <si>
    <t>Подвесной клинчинг. Прямые секции. и 2-ух рядная пуклевка с шагом 110-130 мм секции без единого шаблона. (секция 3000м = 6 м пуклевки).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</si>
  <si>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</si>
  <si>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</si>
  <si>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</si>
  <si>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</si>
  <si>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</si>
  <si>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</si>
  <si>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</si>
  <si>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</si>
  <si>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</si>
  <si>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</si>
  <si>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r>
      <t xml:space="preserve">Клинчинг </t>
    </r>
    <r>
      <rPr>
        <b/>
        <sz val="12"/>
        <rFont val="Times New Roman"/>
        <family val="1"/>
        <charset val="204"/>
      </rPr>
      <t>ПРЯМЫХ</t>
    </r>
    <r>
      <rPr>
        <sz val="12"/>
        <rFont val="Times New Roman"/>
        <family val="1"/>
        <charset val="204"/>
      </rPr>
      <t xml:space="preserve">  секций на рабочем месте, вручную, без подвесов, и транспортировки секции.  2-ух рядная пуклевка с шагом 200-260 по единому шаблону, (секция 3000 мм = 6 м пуклевки).</t>
    </r>
  </si>
  <si>
    <r>
      <t xml:space="preserve">Клинчинг </t>
    </r>
    <r>
      <rPr>
        <b/>
        <sz val="12"/>
        <rFont val="Times New Roman"/>
        <family val="1"/>
        <charset val="204"/>
      </rPr>
      <t>НЕ ПРЯМЫХ и ATSC</t>
    </r>
    <r>
      <rPr>
        <sz val="12"/>
        <rFont val="Times New Roman"/>
        <family val="1"/>
        <charset val="204"/>
      </rPr>
      <t xml:space="preserve"> секций на рабочем месте, вручную, без подвесов, и транспортировки секции.  2-ух рядная пуклевка с шагом 200-260  (плечо, фланец = 1 м, АTSC = 2, с одной стороны.  СD угол = 4м, Z секции = 6 метров).</t>
    </r>
  </si>
  <si>
    <t xml:space="preserve">BZ. Изготовление изоляторов  для FE для шин 20-60 мм  (черные решётки ABC). Фиксация-снятие листа,  Выкусывание (кусачки), зачистка заусенцев. </t>
  </si>
  <si>
    <t xml:space="preserve">BZ. Изготовление изоляторов  для FE для шин 109-140 мм  (черные решётки ABC). Фиксация-снятие листа,  Выкусывание (кусачки), зачистка заусенцев. </t>
  </si>
  <si>
    <t>Заливка заглушки категории М (форма из пеноплэкса): отмерить компоненты, перемешать, залить.</t>
  </si>
  <si>
    <t>Заливка заглушки категории Б (форма из пеноплэкса): отмерить компоненты, перемешать, залить.</t>
  </si>
  <si>
    <t>Заливка заглушки категории С (форма из пеноплэкса): отмерить компоненты, перемешать, залить.</t>
  </si>
  <si>
    <t>Извлечение заглушки категории М: разборка формы из пеноплэкса, читска заглушки (и пазов), протирка растворителем.</t>
  </si>
  <si>
    <t>Извлечение заглушки категории С: разборка формы из пеноплэкса, читска заглушки (и пазов), протирка растворителем.</t>
  </si>
  <si>
    <t>Извлечение заглушки категории Б: разборка формы из пеноплэкса, читска заглушки (и пазов), протирка растворителем.</t>
  </si>
  <si>
    <t>Замена ёмкости с компонентом А</t>
  </si>
  <si>
    <t>Замена ёмкости с компонентом B</t>
  </si>
  <si>
    <t>GV8. Сборка стыка тип V на 8 болтов. (шайбы-направляющие-шины стыка-болты-труб.-гайки). Стяжка хомутам индивидуально и попарно.</t>
  </si>
  <si>
    <t>GV9. Сборка стыка тип V на 9 болтов. (шайбы-направляющие-шины стыка-болты-труб.-гайки). Стяжка хомутам индивидуально и попарно.</t>
  </si>
  <si>
    <t>Сборка 4P проводной секции с окошками отбора мощности РШП KLM-R-Pi, Al  длиной 2000мм – 3000мм: (1-6 окон)</t>
  </si>
  <si>
    <t>Сборка 4P проводной секции  распределительного шинопровода KLM-R-FE, Al  длиной 2000мм – 3000мм: 100-630А     (без окон)</t>
  </si>
  <si>
    <t>Сборка 4P проводной секции с окошками отбора мощности РШП KLM-R-Pi, Al  длиной 1000мм – 1999мм: 100-630А</t>
  </si>
  <si>
    <t>Сборка 4P проводной секции с окошками отбора мощности РШП KLM-R-Pi, Al  длиной до 999мм: 100-630А</t>
  </si>
  <si>
    <t>Сборка 4P проводной секции с окошками отбора мощности РШП KLM-R-Pi, Al  длиной 2000мм – 3000мм: (10 окон)</t>
  </si>
  <si>
    <t>Сборка 5P проводной секции с окошками отбора мощности РШП KLM-R-Pi, Al  длиной 2000мм – 3000мм: (1-6 окон)</t>
  </si>
  <si>
    <t>Сборка 5P проводной секции с окошками отбора мощности РШП KLM-R-Pi, Al  длиной 1000мм – 1999мм: 100-630А</t>
  </si>
  <si>
    <t>Сборка 5P проводной секции с окошками отбора мощности РШП KLM-R-Pi, Al  длиной до 999мм: 100-630А</t>
  </si>
  <si>
    <t>Сборка 5P проводной секции с окошками отбора мощности РШП KLM-R-Pi, Al  длиной 2000мм – 3000мм: (10 окон)</t>
  </si>
  <si>
    <t>Заливка 1 м элемента ШП в одной плоскости, сжатый пакет. ШИНА 131-200 мм. Категория Б</t>
  </si>
  <si>
    <t>Заливка 1 м элемента ШП в одной плоскости, сжатый пакет. ШИНА до 80 мм. Категория М</t>
  </si>
  <si>
    <t>Заливка 1 м элемента ШП в одной плоскости, сжатый пакет. ШИНА 81-130 мм. Категория С. Либо не сжатый пакет шин (до 140 мм).</t>
  </si>
  <si>
    <t>Заливка 1 м (или плеча) ATSC. Высота корпуса до 200 мм.</t>
  </si>
  <si>
    <t>Заливка 1 м (или плеча) ATSC. Высота корпуса 201-400 мм.</t>
  </si>
  <si>
    <t>Заливка 1 м (или плеча) ATSC. Высота корпуса 401-600 мм.</t>
  </si>
  <si>
    <t>Заливка 1 м (или плеча) ATSC. Высота корпуса от 601 мм.</t>
  </si>
  <si>
    <t>Проекты МТС</t>
  </si>
  <si>
    <t>Монтаж расширителя и розетки к ЯОМ. Нарезка кабеля в размер, зачистка жил, опрессовка наконечников (10 на кабель), монтаж жил в розетку, автомат и ограничитель, идентификация наклейками.</t>
  </si>
  <si>
    <t>Монтаж DIN-рейки на площадку ЯОМ (откусить в размер, закрепить на 2 самореза)</t>
  </si>
  <si>
    <t>Монтаж DIN-рейки на скобу в корпус ЯОМ (откусить в размер, закрепить на 2 самореза, и скобу на 4 заклепки)</t>
  </si>
  <si>
    <t>ЯОМ</t>
  </si>
  <si>
    <t>Расключение ЯОМ МТС Хабаровск (черные) по образцу.</t>
  </si>
  <si>
    <t>Изготовление комплекта розеток с проводами по образцу (2 розетки, 2 провода, зачистка экранов, лужение, пайка розеток, термоусадка), проверка мультиметром.</t>
  </si>
  <si>
    <t>Штучно-калькуляционное время, мин</t>
  </si>
  <si>
    <t>Оперативное время в смене, мин.:</t>
  </si>
  <si>
    <t>Доступное время (11 ч), мин.</t>
  </si>
  <si>
    <t xml:space="preserve">HF. Резка и сверление отверстий в П-профиле (115, 140,180)мм под болты. До 1 м. Торцевание. </t>
  </si>
  <si>
    <t xml:space="preserve">HF. Резка и сверление отверстий в П-профиле (115, 140,180)мм под болты. До 1-1,5 м. Торцевание. </t>
  </si>
  <si>
    <t>HF. Резка и сверление отверстий в П-профиле (115, 140,180)мм под болты. До 1,5-2 м. Торцевание.</t>
  </si>
  <si>
    <t xml:space="preserve">HF. Резка и сверление отверстий в П-профиле (115, 140,180)мм под болты. До 2-2,5 м. Торцевание. </t>
  </si>
  <si>
    <t xml:space="preserve">HF. Резка и сверление отверстий в П-профиле (115, 140,180)мм под болты. До 2,5-3 м. Торцевание. </t>
  </si>
  <si>
    <t>Крышки и боковины без овальных отверстий для крепления (старый конструктив)</t>
  </si>
  <si>
    <t>Крышки и боковины с овальными отверстиями для крепления (новый конструктив)</t>
  </si>
  <si>
    <t>HF. Резка и сверление отв (+овалы для креп.) в  боковинах 50-200 мм под заклеп.  торцевание. зенковка отв., зачистка по образцу. Длиной до 1 м.</t>
  </si>
  <si>
    <t>HF. Резка и сверление отв (+овалы для креп.) в  боковинах 50-200 мм под заклеп.  торцевание. зенковка отв., зачистка по образцу. Длиной до 1,5 м.</t>
  </si>
  <si>
    <t>HF. Резка и сверление отв (+овалы для креп.) в  боковинах 50-200 мм под заклеп.  торцевание. зенковка отв., зачистка по образцу. Длиной 1,5-2 м.</t>
  </si>
  <si>
    <t>HF. Резка и сверление отв (+овалы для креп.) в  боковинах 50-200 мм под заклеп.  торцевание. зенковка отв., зачистка по образцу. Длиной 2-2,5 м.</t>
  </si>
  <si>
    <t>HF. Резка и сверление отв (+овалы для креп.) в  боковинах 50-200 мм под заклеп.  торцевание. зенковка отв., зачистка по образцу. Длиной 2,5-3 м.</t>
  </si>
  <si>
    <t>HF. Резка и сверление отв (+овалы для креп.) в  боковинах 50-200 мм под предв. стяжку, торцевание. зенковка отв., зачистка по образцу. Длиной  до 1 м.</t>
  </si>
  <si>
    <t>HF. Резка и сверление отв (+овалы для креп.) в  боковинах 50-200 мм под предв. стяжку, торцевание. зенковка отв., зачистка по образцу. Длиной  1-1,5 м.</t>
  </si>
  <si>
    <t>HF. Резка и сверление отв (+овалы для креп.) в  боковинах 50-200 мм под предв. стяжку, торцевание. зенковка отв., зачистка по образцу. Длиной  1,5-2 м.</t>
  </si>
  <si>
    <t>HF. Резка и сверление отв (+овалы для креп.) в  боковинах 50-200 мм под предв. стяжку, торцевание. зенковка отв., зачистка по образцу. Длиной  2-2,5 м.</t>
  </si>
  <si>
    <t>HF. Резка и сверление отв (+овалы для креп.) в  боковинах 50-200 мм под предв. стяжку, торцевание. зенковка отв., зачистка по образцу. Длиной  2,5-3 м.</t>
  </si>
  <si>
    <t>К=1
+Tпз+Том+Тлн</t>
  </si>
  <si>
    <t>Повременные работы и хоз.работы</t>
  </si>
  <si>
    <t>Сборка концевой заглушки (V3) распределительного  шинопровода  KLM-R-EC 100-630А</t>
  </si>
  <si>
    <t>Сборка концевой заглушки (V3) магистрального  шинопровода  KLM-S-EC 800-2000А</t>
  </si>
  <si>
    <t>Сборка концевой заглушки (V3) магистрального  шинопровода  KLM-S-EC 2500-5000А</t>
  </si>
  <si>
    <t>Упаковка и комплектовка</t>
  </si>
  <si>
    <t>Изготовление поддона 1200х800</t>
  </si>
  <si>
    <t>Изготовление поддона 3000х800</t>
  </si>
  <si>
    <t>Изготовление поддона 3000х1200</t>
  </si>
  <si>
    <t xml:space="preserve">Многономенклатурность - больше 20 чертежей (видов крышек/изоляторов). </t>
  </si>
  <si>
    <t>Нанесение гаскетинга на изоляторы для Pi, очистка щеткой, протирка спиртом</t>
  </si>
  <si>
    <t>Норма в час 
(н. в см./11)</t>
  </si>
  <si>
    <t>Запуск и ежедневное тех. обслуживание заливочной установки в течение смены, взвешивание навески.</t>
  </si>
  <si>
    <t>Изменения относительно предыдущей версии</t>
  </si>
  <si>
    <t>Упаковка и комплектовка: секции с медными шинами.</t>
  </si>
  <si>
    <t>Упаковка и комплектовка поддонов с литым шинопроводом (ЛШП)</t>
  </si>
  <si>
    <t xml:space="preserve">            Z,P-модуль магистрального шинопровода:</t>
  </si>
  <si>
    <t xml:space="preserve">Заливочная установка </t>
  </si>
  <si>
    <t>Заливка непрямых секций (4 стадии заливки секции по 0,25% каждая: пролив-до середины шин-до верха заглушки-долив. Контроль за горизонтальностью изделий.</t>
  </si>
  <si>
    <t>Заливка прямых секций (3 стадии заливки секции (0,5+0,25+0,25% каждая): заливка до середины шин-до верха заглушки-долив. Контроль за горизонтальностью изделий.</t>
  </si>
  <si>
    <t>Заливка 1 м прям. секц. ШП в одной плоскости, сжатый пакет. ШИНА до 80 мм. Категория М</t>
  </si>
  <si>
    <t>Заливка 1 м прям. секц. ШП в одной плоскости, сжатый пакет. ШИНА 81-130 мм. Категория С. Либо не сжатый пакет шин (до 140 мм).</t>
  </si>
  <si>
    <t>Заливка 1 м прям. секц. ШП в одной плоскости, сжатый пакет. ШИНА 131-200 мм. Категория Б</t>
  </si>
  <si>
    <t>Заливка 1 м прям. секц. ШП 3200-40000 А в одной плоскости (два пакета шин). Категория Д</t>
  </si>
  <si>
    <t>Комплектовка и упаковка стандартных  секций на поддон (Медь)</t>
  </si>
  <si>
    <t>Комплектовка и упаковка на поддон прямых секций нестандартной длины (L&lt;3000 мм) (Медь)</t>
  </si>
  <si>
    <t>Комплектовка и упаковка на поддон  не прямых секций  различных типов, номиналов и габаритных размеров, 2-3 вида Медь)</t>
  </si>
  <si>
    <t>Комплектовка и упаковка на поддон  непрямых секций различных типов, номиналов и габаритных размеров, 3-5 видов (Медь).</t>
  </si>
  <si>
    <t>Гибка шин для Z,P-модуля магистрального и распределительного шинопровода</t>
  </si>
  <si>
    <t>Комплектовка и упаковка на поддон  непрямых секций  различных типов, номиналов и габаритных размеров, 6 и более видов (Медь).</t>
  </si>
  <si>
    <t>Комплектовка и упаковка стандартных секций на поддон (ЛШП).</t>
  </si>
  <si>
    <t>Комплектовка и упаковка на поддон прямых секций нестандартной длины (L&lt;3000 мм) (ЛШП)</t>
  </si>
  <si>
    <t>Комплектовка и упаковка на поддон  не прямых секций  различных типов, номиналов и габаритных размеров, 2-3 вида (ЛШП).</t>
  </si>
  <si>
    <t>Комплектовка и упаковка на поддон  непрямых секций различных типов, номиналов и габаритных размеров, 3-5 видов (ЛШП).</t>
  </si>
  <si>
    <t>Комплектовка и упаковка на поддон  непрямых секций  различных типов, номиналов и габаритных размеров, 6 и более видов (ЛШП).</t>
  </si>
  <si>
    <t>Написание/корректировка программы для пробивки</t>
  </si>
  <si>
    <t>Запуск и ежедневное тех.обслуживание установки для нанесения гаскетинга</t>
  </si>
  <si>
    <t>OR. Сумарное значение "Рабочего времени" в отчете за смену,  в минутах.</t>
  </si>
  <si>
    <t>OR. Ежедневные тех. осмотр и тех. обслуживание OREE</t>
  </si>
  <si>
    <t>OR. Еженедельная генеральная уборка, чистка и обдув рабочей камеры и подвижных частей.</t>
  </si>
  <si>
    <t>HF. Еженедельная генеральная уборка (с 18.40)</t>
  </si>
  <si>
    <t>Подготовительно-заключительные работы на партию одинаковых изделий, замеры, позиционирование заготовок:  выставление ограничителей ишаблонов на сварочном столе при необходимости.</t>
  </si>
  <si>
    <t>Монтаж воронки на крышку стыка( для ЛШП)</t>
  </si>
  <si>
    <t>изделие</t>
  </si>
  <si>
    <t>Ручная сварка шин AL, п/а сваркой</t>
  </si>
  <si>
    <t xml:space="preserve">Ручная сварка шин Cu, п/а сваркой, с учетом подготовки. </t>
  </si>
  <si>
    <t>Монтаж и расключение счетчика с 3 трансформаторами в ЯОМ МШП (на жесткую ошиновку)</t>
  </si>
  <si>
    <t>Простой, ожидание ввиду отсутствия комплектующих</t>
  </si>
  <si>
    <t xml:space="preserve">BZ. Изготовление торцевых изоляторов  на ATSC РШП, для шин 109-140 мм  (черные решётки ABC). Фиксация-снятие листа,  Выкусывание (кусачки), зачистка заусенцев. </t>
  </si>
  <si>
    <t xml:space="preserve">BZ. Изготовление изоляторов: решеток для контактной группы BB (КОМ МШП) - брусок из бел. пластика. Фиксация-снятие листа,  Выкусывание (кусачки), зачистка заусенцев. </t>
  </si>
  <si>
    <r>
      <t xml:space="preserve">Работа на фрезерном станке Haffner. Скорость 100. </t>
    </r>
    <r>
      <rPr>
        <b/>
        <sz val="14"/>
        <rFont val="Times New Roman"/>
        <family val="1"/>
        <charset val="204"/>
      </rPr>
      <t>(в том числе очистку изделий от стружки и СОЖ, уборку станка в конце смены).</t>
    </r>
  </si>
  <si>
    <t>Простой, ожидание по вине КО</t>
  </si>
  <si>
    <t>Простой, ожидание по вине склада</t>
  </si>
  <si>
    <t xml:space="preserve">Покраска. С учётом уборки  в конце смены </t>
  </si>
  <si>
    <t>Вспомогательные операции</t>
  </si>
  <si>
    <t>Отжиг и отбивка мелкогабаритных вспомогательных подвесов (крючков)</t>
  </si>
  <si>
    <t>Очистка от слоя краски крупногабаритных подвесов и направляющих (напильник)</t>
  </si>
  <si>
    <t>пер.цв.</t>
  </si>
  <si>
    <t>Неполный завес направляющей (другой цвет)</t>
  </si>
  <si>
    <t>напр.</t>
  </si>
  <si>
    <t>Покраска крышек прямых секций с обеих сторон</t>
  </si>
  <si>
    <r>
      <t xml:space="preserve">Покраска крышек секций (шириной 137-140 мм), длиной </t>
    </r>
    <r>
      <rPr>
        <b/>
        <sz val="18"/>
        <color theme="1"/>
        <rFont val="Times New Roman"/>
        <family val="1"/>
        <charset val="204"/>
      </rPr>
      <t>БОЛЕЕ</t>
    </r>
    <r>
      <rPr>
        <sz val="18"/>
        <color theme="1"/>
        <rFont val="Times New Roman"/>
        <family val="1"/>
        <charset val="204"/>
      </rPr>
      <t xml:space="preserve"> 1400 мм.</t>
    </r>
  </si>
  <si>
    <t>Покраска крышек секций (шириной 137-140 мм), длиной ДО 1400 мм.</t>
  </si>
  <si>
    <r>
      <t xml:space="preserve">Покраска крышек секций (шириной 125 мм), длиной </t>
    </r>
    <r>
      <rPr>
        <b/>
        <sz val="18"/>
        <color theme="1"/>
        <rFont val="Times New Roman"/>
        <family val="1"/>
        <charset val="204"/>
      </rPr>
      <t>БОЛЕЕ</t>
    </r>
    <r>
      <rPr>
        <sz val="18"/>
        <color theme="1"/>
        <rFont val="Times New Roman"/>
        <family val="1"/>
        <charset val="204"/>
      </rPr>
      <t xml:space="preserve"> 1400 мм.</t>
    </r>
  </si>
  <si>
    <t>Покраска крышек секций (шириной 125 мм), длиной ДО 1400 мм.</t>
  </si>
  <si>
    <t>бок.</t>
  </si>
  <si>
    <t>Покраска Al боковин прямых секций в обойме</t>
  </si>
  <si>
    <t>Покраска  Al боковин  высотой 33 мм в обойме</t>
  </si>
  <si>
    <t>Покраска  Al боковин  высотой 43 мм в обойме</t>
  </si>
  <si>
    <t>Покраска  Al боковин  высотой 53 мм в обойме</t>
  </si>
  <si>
    <t>Покраска  Al боковин  высотой 68 мм в обойме</t>
  </si>
  <si>
    <t>Покраска  Al боковин  высотой 78 мм в обойме</t>
  </si>
  <si>
    <t>Покраска  Al боковин  высотой 103 мм в обойме</t>
  </si>
  <si>
    <t>Покраска  Al боковин  высотой 133 мм в обойме</t>
  </si>
  <si>
    <t>Покраска  Al боковин  высотой163 мм в обойме</t>
  </si>
  <si>
    <t>Покраска  Al боковин высотой 203 мм в обойме</t>
  </si>
  <si>
    <t>Покраска St  боковин c хлебницами  обойме</t>
  </si>
  <si>
    <t>Покраска  St  боковин  высотой 71 мм в обойме  (с 2 хлебн.)</t>
  </si>
  <si>
    <t>Покраска  St  боковин  высотой 120 мм в обойме  (с 2 хлебн.)</t>
  </si>
  <si>
    <t>Покраска  St  боковин  высотой 151 мм в обойме  (с 2 хлебн.)</t>
  </si>
  <si>
    <t>Покраска корпусов ЯОМ в сборе</t>
  </si>
  <si>
    <t>Покраска корпусов ЯОМ 1 размерной группы (Тип "Пахра, МТС")</t>
  </si>
  <si>
    <t>корп.</t>
  </si>
  <si>
    <t>Покраска корпусов ЯОМ 2 размерной группы (max L = 310-700 мм)</t>
  </si>
  <si>
    <t>Покраска корпусов ЯОМ 4 размерной группы (max L = 701-1200 мм)</t>
  </si>
  <si>
    <t>Покраска корпусов ЯОМ 5 размерной группы (max L &gt; 1201 мм)</t>
  </si>
  <si>
    <t>Покраска прочих изделий, различных типоразмеров</t>
  </si>
  <si>
    <t>Покраска изделий простого профиля. Типоразмер 2 (max L= 121-350 мм)</t>
  </si>
  <si>
    <t>Покраска изделий простого профиля. Типоразмер 3 (max L = 351-700 мм)</t>
  </si>
  <si>
    <t>Покраска изделий сложного профиля. Типоразмер 3</t>
  </si>
  <si>
    <t>Покраска изделий простого профиля. Типоразмер 4 (max L = 701-1200 мм)</t>
  </si>
  <si>
    <t xml:space="preserve">Покраска изделий сложного профиля. Типоразмер 4. </t>
  </si>
  <si>
    <t>Покраска изделий простого профиля. Типоразмер 5 (max L &gt; 1201 мм)</t>
  </si>
  <si>
    <t>Покраска изделий сложного профиля. Типоразмер 5</t>
  </si>
  <si>
    <t>Покраска  объемных изделий занимающи рабочее пространоство соседних подвесов. Типоразмер 3 (max L = 351-700 мм).</t>
  </si>
  <si>
    <t>Покраска  объемных изделий занимающи рабочее пространоство соседних подвесов. Типоразмер 4 (max L = 701-1200 мм).</t>
  </si>
  <si>
    <t>Покраска  объемных изделий занимающи рабочее пространоство соседних подвесов. Типоразмер 5 (max L &gt; 1201 мм).</t>
  </si>
  <si>
    <t>Покраска  St  боковин  высотой 41-51 мм в обойме (с 2 хлебн.)</t>
  </si>
  <si>
    <t>Межсменная окраска (разделение)</t>
  </si>
  <si>
    <r>
      <t xml:space="preserve">Покраска крышек секций (шириной 137-140 мм), длиной </t>
    </r>
    <r>
      <rPr>
        <b/>
        <sz val="18"/>
        <color theme="1"/>
        <rFont val="Times New Roman"/>
        <family val="1"/>
        <charset val="204"/>
      </rPr>
      <t>БОЛЕЕ</t>
    </r>
    <r>
      <rPr>
        <sz val="18"/>
        <color theme="1"/>
        <rFont val="Times New Roman"/>
        <family val="1"/>
        <charset val="204"/>
      </rPr>
      <t xml:space="preserve"> 1400 мм. Завес и оклейка.</t>
    </r>
  </si>
  <si>
    <r>
      <t xml:space="preserve">Покраска крышек секций (шириной 137-140 мм), длиной </t>
    </r>
    <r>
      <rPr>
        <b/>
        <sz val="18"/>
        <color theme="1"/>
        <rFont val="Times New Roman"/>
        <family val="1"/>
        <charset val="204"/>
      </rPr>
      <t>БОЛЕЕ</t>
    </r>
    <r>
      <rPr>
        <sz val="18"/>
        <color theme="1"/>
        <rFont val="Times New Roman"/>
        <family val="1"/>
        <charset val="204"/>
      </rPr>
      <t xml:space="preserve"> 1400 мм. Нанесение, полимеризация, съем.</t>
    </r>
  </si>
  <si>
    <t>Покраска крышек секций (шириной 137-140 мм), длиной ДО 1400 мм. Завес и оклейка.</t>
  </si>
  <si>
    <t>Покраска крышек секций (шириной 137-140 мм), длиной ДО 1400 мм. Нанесение, полимеризация, съем.</t>
  </si>
  <si>
    <r>
      <t xml:space="preserve">Покраска крышек секций (шириной 125 мм), длиной </t>
    </r>
    <r>
      <rPr>
        <b/>
        <sz val="18"/>
        <color theme="1"/>
        <rFont val="Times New Roman"/>
        <family val="1"/>
        <charset val="204"/>
      </rPr>
      <t>БОЛЕЕ</t>
    </r>
    <r>
      <rPr>
        <sz val="18"/>
        <color theme="1"/>
        <rFont val="Times New Roman"/>
        <family val="1"/>
        <charset val="204"/>
      </rPr>
      <t xml:space="preserve"> 1400 мм. Завес и оклейка.</t>
    </r>
  </si>
  <si>
    <r>
      <t xml:space="preserve">Покраска крышек секций (шириной 125 мм), длиной </t>
    </r>
    <r>
      <rPr>
        <b/>
        <sz val="18"/>
        <color theme="1"/>
        <rFont val="Times New Roman"/>
        <family val="1"/>
        <charset val="204"/>
      </rPr>
      <t>БОЛЕЕ</t>
    </r>
    <r>
      <rPr>
        <sz val="18"/>
        <color theme="1"/>
        <rFont val="Times New Roman"/>
        <family val="1"/>
        <charset val="204"/>
      </rPr>
      <t xml:space="preserve"> 1400 мм. Нанесение, полимеризация, съем.</t>
    </r>
  </si>
  <si>
    <t>Покраска крышек секций (шириной 125 мм), длиной ДО 1400 мм. Завес и оклейка.</t>
  </si>
  <si>
    <t>Покраска крышек секций (шириной 125 мм), длиной ДО 1400 мм. Нанесение, полимеризация, съем.</t>
  </si>
  <si>
    <t>Покраска  Al боковин  высотой 33 мм в обойме. Завес.</t>
  </si>
  <si>
    <t>Покраска  Al боковин  высотой 33 мм в обойме. Нанесение, полимеризация, съем.</t>
  </si>
  <si>
    <t>Покраска  Al боковин  высотой 43 мм в обойме. Завес.</t>
  </si>
  <si>
    <t>Покраска  Al боковин  высотой 43 мм в обойме. Нанесение, полимеризация, съем.</t>
  </si>
  <si>
    <t>Покраска  Al боковин  высотой 53 мм в обойме. Завес.</t>
  </si>
  <si>
    <t>Покраска  Al боковин  высотой 53 мм в обойме. Нанесение, полимеризация, съем.</t>
  </si>
  <si>
    <t>Покраска  Al боковин  высотой 68 мм в обойме. Завес.</t>
  </si>
  <si>
    <t>Покраска  Al боковин  высотой 68 мм в обойме. Нанесение, полимеризация, съем.</t>
  </si>
  <si>
    <t>Покраска  Al боковин  высотой 78 мм в обойме. Завес.</t>
  </si>
  <si>
    <t>Покраска  Al боковин  высотой 78 мм в обойме. Нанесение, полимеризация, съем.</t>
  </si>
  <si>
    <t>Покраска  Al боковин  высотой 103 мм в обойме. Завес.</t>
  </si>
  <si>
    <t>Покраска  Al боковин  высотой 103 мм в обойме. Нанесение, полимеризация, съем.</t>
  </si>
  <si>
    <t>Покраска  Al боковин  высотой 133 мм в обойме. Завес.</t>
  </si>
  <si>
    <t>Покраска  Al боковин  высотой 133 мм в обойме. Нанесение, полимеризация, съем.</t>
  </si>
  <si>
    <t>Покраска  Al боковин  высотой163 мм в обойме. Завес.</t>
  </si>
  <si>
    <t>Покраска  Al боковин  высотой163 мм в обойме. Нанесение, полимеризация, съем.</t>
  </si>
  <si>
    <t>Покраска  Al боковин высотой 203 мм в обойме. Завес.</t>
  </si>
  <si>
    <t>Покраска  Al боковин высотой 203 мм в обойме. Нанесение, полимеризация, съем.</t>
  </si>
  <si>
    <t>Покраска  St  боковин  высотой 41-51 мм в обойме (с 2 хлебн.). Завес.</t>
  </si>
  <si>
    <t>Покраска  St  боковин  высотой 41-51 мм в обойме (с 2 хлебн.). Нанесение, полимеризация, съем.</t>
  </si>
  <si>
    <t>Покраска  St  боковин  высотой 71 мм в обойме  (с 2 хлебн.). Завес.</t>
  </si>
  <si>
    <t>Покраска  St  боковин  высотой 71 мм в обойме  (с 2 хлебн.). Нанесение, полимеризация, съем.</t>
  </si>
  <si>
    <t>Покраска  St  боковин  высотой 120 мм в обойме  (с 2 хлебн.). Завес.</t>
  </si>
  <si>
    <t>Покраска  St  боковин  высотой 120 мм в обойме  (с 2 хлебн.). Нанесение, полимеризация, съем.</t>
  </si>
  <si>
    <t>Покраска  St  боковин  высотой 151 мм в обойме  (с 2 хлебн.). Завес.</t>
  </si>
  <si>
    <t>Покраска  St  боковин  высотой 151 мм в обойме  (с 2 хлебн.). Нанесение, полимеризация, съем.</t>
  </si>
  <si>
    <t>Покраска корпусов ЯОМ 1 размерной группы (Тип "Пахра, МТС"). Завес и оклейка.</t>
  </si>
  <si>
    <t>Покраска корпусов ЯОМ 1 размерной группы (Тип "Пахра, МТС"). Нанесение, полимеризация, съем.</t>
  </si>
  <si>
    <t>Покраска корпусов ЯОМ 2 размерной группы (max L = 310-700 мм). Завес и оклейка.</t>
  </si>
  <si>
    <t>Покраска корпусов ЯОМ 2 размерной группы (max L = 310-700 мм). Нанесение, полимеризация, съем.</t>
  </si>
  <si>
    <t>Покраска корпусов ЯОМ 4 размерной группы (max L = 701-1200 мм). Завес и оклейка.</t>
  </si>
  <si>
    <t>Покраска корпусов ЯОМ 4 размерной группы (max L = 701-1200 мм). Нанесение, полимеризация, съем.</t>
  </si>
  <si>
    <t>Покраска корпусов ЯОМ 5 размерной группы (max L &gt; 1201 мм). Завес и оклейка.</t>
  </si>
  <si>
    <t>Покраска корпусов ЯОМ 5 размерной группы (max L &gt; 1201 мм). Нанесение, полимеризация, съем.</t>
  </si>
  <si>
    <t>Покраска тарельчатых шайб диаметром 50-80 мм порошковой краской. Завес.</t>
  </si>
  <si>
    <t>Покраска тарельчатых шайб диаметром 50-80 мм порошковой краской. Нанесение, полимеризация, съем.</t>
  </si>
  <si>
    <t>Покраска изделий простого профиля. Типоразмер M  (max L = 60 мм). Завес и оклейка.</t>
  </si>
  <si>
    <t>Покраска изделий простого профиля. Типоразмер M  (max L = 60 мм). Нанесение, полимеризация, съем.</t>
  </si>
  <si>
    <t>Покраска изделий сложного профиля Типоразмер M. Завес и оклейка.</t>
  </si>
  <si>
    <t>Покраска изделий сложного профиля Типоразмер M. Нанесение, полимеризация, съем.</t>
  </si>
  <si>
    <t>Покраска изделий простого профиля. Типоразмер 1 (max L = 120 мм). Завес и оклейка.</t>
  </si>
  <si>
    <t>Покраска изделий простого профиля. Типоразмер 1 (max L = 120 мм). Нанесение, полимеризация, съем.</t>
  </si>
  <si>
    <t>Покраска изделий сложного профиля Типоразмер 1. Завес и оклейка.</t>
  </si>
  <si>
    <t>Покраска изделий сложного профиля Типоразмер 1. Нанесение, полимеризация, съем.</t>
  </si>
  <si>
    <t>Покраска изделий простого профиля. Типоразмер 2 (max L= 121-350 мм). Завес и оклейка.</t>
  </si>
  <si>
    <t>Покраска изделий простого профиля. Типоразмер 2 (max L= 121-350 мм). Нанесение, полимеризация, съем.</t>
  </si>
  <si>
    <t>Покраска изделий сложного профиля Типоразмер 2. Завес и оклейка.</t>
  </si>
  <si>
    <t>Покраска изделий сложного профиля Типоразмер 2. Нанесение, полимеризация, съем.</t>
  </si>
  <si>
    <t>Покраска изделий простого профиля. Типоразмер 3 (max L = 351-700 мм). Завес и оклейка.</t>
  </si>
  <si>
    <t>Покраска изделий простого профиля. Типоразмер 3 (max L = 351-700 мм). Нанесение, полимеризация, съем.</t>
  </si>
  <si>
    <t>Покраска изделий сложного профиля. Типоразмер 3. Завес и оклейка.</t>
  </si>
  <si>
    <t>Покраска изделий сложного профиля. Типоразмер 3. Нанесение, полимеризация, съем.</t>
  </si>
  <si>
    <t>Покраска изделий простого профиля. Типоразмер 4 (max L = 701-1200 мм). Завес и оклейка.</t>
  </si>
  <si>
    <t>Покраска изделий простого профиля. Типоразмер 4 (max L = 701-1200 мм). Нанесение, полимеризация, съем.</t>
  </si>
  <si>
    <t>Покраска изделий сложного профиля. Типоразмер 4. . Завес и оклейка.</t>
  </si>
  <si>
    <t>Покраска изделий сложного профиля. Типоразмер 4. Нанесение, полимеризация, съем.</t>
  </si>
  <si>
    <t>Покраска изделий простого профиля. Типоразмер 5 (max L &gt; 1201 мм). Завес и оклейка.</t>
  </si>
  <si>
    <t>Покраска изделий простого профиля. Типоразмер 5 (max L &gt; 1201 мм). Нанесение, полимеризация, съем.</t>
  </si>
  <si>
    <t>Покраска изделий сложного профиля. Типоразмер 5. Завес и оклейка.</t>
  </si>
  <si>
    <t>Покраска изделий сложного профиля. Типоразмер 5. Нанесение, полимеризация, съем.</t>
  </si>
  <si>
    <t>Покраска  объемных изделий занимающи рабочее пространоство соседних подвесов. Типоразмер 3 (max L = 351-700 мм). Завес и оклейка.</t>
  </si>
  <si>
    <t>Покраска  объемных изделий занимающи рабочее пространоство соседних подвесов. Типоразмер 3 (max L = 351-700 мм). Нанесение, полимеризация, съем.</t>
  </si>
  <si>
    <t>Покраска  объемных изделий занимающи рабочее пространоство соседних подвесов. Типоразмер 4 (max L = 701-1200 мм). Завес и оклейка.</t>
  </si>
  <si>
    <t>Покраска  объемных изделий занимающи рабочее пространоство соседних подвесов. Типоразмер 4 (max L = 701-1200 мм). Нанесение, полимеризация, съем.</t>
  </si>
  <si>
    <t>Покраска  объемных изделий занимающи рабочее пространоство соседних подвесов. Типоразмер 5 (max L &gt; 1201 мм). Завес и оклейка.</t>
  </si>
  <si>
    <t>Покраска  объемных изделий занимающи рабочее пространоство соседних подвесов. Типоразмер 5 (max L &gt; 1201 мм). Нанесение, полимеризация, съем.</t>
  </si>
  <si>
    <t>15751</t>
  </si>
  <si>
    <t>15752</t>
  </si>
  <si>
    <t>15101</t>
  </si>
  <si>
    <t>15102</t>
  </si>
  <si>
    <t>15111</t>
  </si>
  <si>
    <t>15112</t>
  </si>
  <si>
    <t>15131</t>
  </si>
  <si>
    <t>15132</t>
  </si>
  <si>
    <t>15601</t>
  </si>
  <si>
    <t>15612</t>
  </si>
  <si>
    <t>15602</t>
  </si>
  <si>
    <t>15611</t>
  </si>
  <si>
    <t>15621</t>
  </si>
  <si>
    <t>15622</t>
  </si>
  <si>
    <t>15631</t>
  </si>
  <si>
    <t>15632</t>
  </si>
  <si>
    <t>15641</t>
  </si>
  <si>
    <t>15642</t>
  </si>
  <si>
    <t>15651</t>
  </si>
  <si>
    <t>15652</t>
  </si>
  <si>
    <t>15661</t>
  </si>
  <si>
    <t>15662</t>
  </si>
  <si>
    <t>15671</t>
  </si>
  <si>
    <t>15672</t>
  </si>
  <si>
    <t>15681</t>
  </si>
  <si>
    <t>15682</t>
  </si>
  <si>
    <t>15691</t>
  </si>
  <si>
    <t>15692</t>
  </si>
  <si>
    <t>15701</t>
  </si>
  <si>
    <t>15702</t>
  </si>
  <si>
    <t>15742</t>
  </si>
  <si>
    <t>15741</t>
  </si>
  <si>
    <t>15711</t>
  </si>
  <si>
    <t>15712</t>
  </si>
  <si>
    <t>15721</t>
  </si>
  <si>
    <t>15722</t>
  </si>
  <si>
    <t>15731</t>
  </si>
  <si>
    <t>15732</t>
  </si>
  <si>
    <t>15501</t>
  </si>
  <si>
    <t>15502</t>
  </si>
  <si>
    <t>15511</t>
  </si>
  <si>
    <t>15512</t>
  </si>
  <si>
    <t>15521</t>
  </si>
  <si>
    <t>15522</t>
  </si>
  <si>
    <t>15531</t>
  </si>
  <si>
    <t>15532</t>
  </si>
  <si>
    <t>15381</t>
  </si>
  <si>
    <t>15382</t>
  </si>
  <si>
    <t>15391</t>
  </si>
  <si>
    <t>15392</t>
  </si>
  <si>
    <t>15401</t>
  </si>
  <si>
    <t>15402</t>
  </si>
  <si>
    <t>15411</t>
  </si>
  <si>
    <t>15412</t>
  </si>
  <si>
    <t>15121</t>
  </si>
  <si>
    <t>15122</t>
  </si>
  <si>
    <t>15291</t>
  </si>
  <si>
    <t>15292</t>
  </si>
  <si>
    <t>15301</t>
  </si>
  <si>
    <t>15302</t>
  </si>
  <si>
    <t>15311</t>
  </si>
  <si>
    <t>15312</t>
  </si>
  <si>
    <t>15321</t>
  </si>
  <si>
    <t>15322</t>
  </si>
  <si>
    <t>15331</t>
  </si>
  <si>
    <t>15332</t>
  </si>
  <si>
    <t>15341</t>
  </si>
  <si>
    <t>15342</t>
  </si>
  <si>
    <t>15351</t>
  </si>
  <si>
    <t>15352</t>
  </si>
  <si>
    <t>15361</t>
  </si>
  <si>
    <t>15362</t>
  </si>
  <si>
    <t>15371</t>
  </si>
  <si>
    <t>15372</t>
  </si>
  <si>
    <t>BZ. Замена фрезы.</t>
  </si>
  <si>
    <t>Сборка корпуса для секции ЛШП длиной 2000-3000 мм, соединение боковин пуклевкой,  монтаж 4 хлебниц и  2 ушей PE конструктив П-профиль.</t>
  </si>
  <si>
    <t>Сборка секций под заливку, установка шин в корпус, монтаж временной оснастки (ПФЛ-2)</t>
  </si>
  <si>
    <t xml:space="preserve">Сборка секций литого шинопровода (IP68).   </t>
  </si>
  <si>
    <r>
      <rPr>
        <b/>
        <sz val="14"/>
        <rFont val="Times New Roman"/>
        <family val="1"/>
        <charset val="204"/>
      </rPr>
      <t>ПФЛ-2. FE-S1. 100-800 А.</t>
    </r>
    <r>
      <rPr>
        <sz val="12"/>
        <rFont val="Times New Roman"/>
        <family val="1"/>
        <charset val="204"/>
      </rPr>
      <t xml:space="preserve"> Сборка прямой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</si>
  <si>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4"/>
        <rFont val="Times New Roman"/>
        <family val="1"/>
        <charset val="204"/>
      </rPr>
      <t>ПФЛ-2. FE-S2. 100-800 А.</t>
    </r>
    <r>
      <rPr>
        <sz val="12"/>
        <rFont val="Times New Roman"/>
        <family val="1"/>
        <charset val="204"/>
      </rPr>
      <t xml:space="preserve"> Сборка прямой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</si>
  <si>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4"/>
        <rFont val="Times New Roman"/>
        <family val="1"/>
        <charset val="204"/>
      </rPr>
      <t>ПФЛ-2. FE-S3. 100-800 А.</t>
    </r>
    <r>
      <rPr>
        <sz val="12"/>
        <rFont val="Times New Roman"/>
        <family val="1"/>
        <charset val="204"/>
      </rPr>
      <t xml:space="preserve"> Сборка прямой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</si>
  <si>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4"/>
        <rFont val="Times New Roman"/>
        <family val="1"/>
        <charset val="204"/>
      </rPr>
      <t>ПФЛ-2. CD. 100-800 А.</t>
    </r>
    <r>
      <rPr>
        <sz val="12"/>
        <rFont val="Times New Roman"/>
        <family val="1"/>
        <charset val="204"/>
      </rPr>
      <t xml:space="preserve"> Сборка секции ЛШП, сборка пакета шин, выравнивание, установка в корпус, монтаж комплекта временной оснастки (стяжки, изоляторы, заглушки). </t>
    </r>
  </si>
  <si>
    <t>Установка компекта из 4 ушей PE на корпус секции</t>
  </si>
  <si>
    <t>Полная сборка 5P секций РШП из профиля без окон (с учетом клинчинга с шагом  200-260 мм на рабочем месте). Длина S2.</t>
  </si>
  <si>
    <t>Полная сборка 5P секций РШП из профиля без окон (с учетом клинчинга с шагом  200-260 мм на рабочем месте). Длина S1.</t>
  </si>
  <si>
    <t>Полная сборка 4P секций РШП из профиля без окон (с учетом клинчинга с шагом  200-260 мм на рабочем месте). Длина S1.</t>
  </si>
  <si>
    <t>Полная сборка 5P секций РШП из профиля без окон (с учетом клинчинга с шагом  200-260 мм на рабочем месте). Длина S3.</t>
  </si>
  <si>
    <t>Полная сборка 4P секций РШП из профиля без окон (с учетом клинчинга с шагом  200-260 мм на рабочем месте). Длина S2.</t>
  </si>
  <si>
    <t>Полная сборка 4P секций РШП из профиля без окон (с учетом клинчинга с шагом  200-260 мм на рабочем месте). Длина S3.</t>
  </si>
  <si>
    <t>Сборка секции ЛШП (после заливки).</t>
  </si>
  <si>
    <t>Снятие  оснастки и стяжек с ПФЛ-3 (после заливки)</t>
  </si>
  <si>
    <t>Снятие малой торцевой заглушки с ПФЛ-3 100-800А</t>
  </si>
  <si>
    <t>Снятие большой торцевой заглушки с ПФЛ-3 1000-2000А</t>
  </si>
  <si>
    <r>
      <rPr>
        <b/>
        <sz val="14"/>
        <rFont val="Times New Roman"/>
        <family val="1"/>
        <charset val="204"/>
      </rPr>
      <t>ПФЛ-2. FE-S3. 1000-2000 А.</t>
    </r>
    <r>
      <rPr>
        <sz val="12"/>
        <rFont val="Times New Roman"/>
        <family val="1"/>
        <charset val="204"/>
      </rPr>
      <t xml:space="preserve"> Сборка прямой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</si>
  <si>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4"/>
        <rFont val="Times New Roman"/>
        <family val="1"/>
        <charset val="204"/>
      </rPr>
      <t>ПФЛ-2. FE-S2. 1000-2000 А.</t>
    </r>
    <r>
      <rPr>
        <sz val="12"/>
        <rFont val="Times New Roman"/>
        <family val="1"/>
        <charset val="204"/>
      </rPr>
      <t xml:space="preserve"> Сборка прямой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</si>
  <si>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4"/>
        <rFont val="Times New Roman"/>
        <family val="1"/>
        <charset val="204"/>
      </rPr>
      <t>ПФЛ-2.FE-S1. 1000-2000 А.</t>
    </r>
    <r>
      <rPr>
        <sz val="12"/>
        <rFont val="Times New Roman"/>
        <family val="1"/>
        <charset val="204"/>
      </rPr>
      <t xml:space="preserve"> Сборка прямой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</si>
  <si>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6"/>
        <rFont val="Times New Roman"/>
        <family val="1"/>
        <charset val="204"/>
      </rPr>
      <t>ПФЛ3 → ГП. FE-S1. 100-800А.</t>
    </r>
    <r>
      <rPr>
        <sz val="16"/>
        <rFont val="Times New Roman"/>
        <family val="1"/>
        <charset val="204"/>
      </rPr>
      <t xml:space="preserve"> Сборка пакета прямой секции ЛШП. Снятие комплекта стяжек.</t>
    </r>
  </si>
  <si>
    <r>
      <t xml:space="preserve">Сборка </t>
    </r>
    <r>
      <rPr>
        <b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пакетов </t>
    </r>
    <r>
      <rPr>
        <b/>
        <sz val="14"/>
        <rFont val="Times New Roman"/>
        <family val="1"/>
        <charset val="204"/>
      </rPr>
      <t>ЛШП</t>
    </r>
    <r>
      <rPr>
        <sz val="14"/>
        <rFont val="Times New Roman"/>
        <family val="1"/>
        <charset val="204"/>
      </rPr>
      <t xml:space="preserve"> посредством сединительного профиля. Установка стыковочных профилей и ушей PE. Шины Аl.</t>
    </r>
  </si>
  <si>
    <r>
      <t xml:space="preserve">Сборка </t>
    </r>
    <r>
      <rPr>
        <b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пакетов </t>
    </r>
    <r>
      <rPr>
        <b/>
        <sz val="14"/>
        <rFont val="Times New Roman"/>
        <family val="1"/>
        <charset val="204"/>
      </rPr>
      <t>ЛШП</t>
    </r>
    <r>
      <rPr>
        <sz val="14"/>
        <rFont val="Times New Roman"/>
        <family val="1"/>
        <charset val="204"/>
      </rPr>
      <t xml:space="preserve"> посредством сединительного профиля. Установка стыковочных профилей и ушей PE. Шины Аl.</t>
    </r>
  </si>
  <si>
    <r>
      <t xml:space="preserve">Сборка </t>
    </r>
    <r>
      <rPr>
        <b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пакетов </t>
    </r>
    <r>
      <rPr>
        <b/>
        <sz val="14"/>
        <rFont val="Times New Roman"/>
        <family val="1"/>
        <charset val="204"/>
      </rPr>
      <t>ЛШП</t>
    </r>
    <r>
      <rPr>
        <sz val="14"/>
        <rFont val="Times New Roman"/>
        <family val="1"/>
        <charset val="204"/>
      </rPr>
      <t xml:space="preserve"> посредством сединительного профиля. Установка стыковочных профилей и ушей PE. Шины Cu.</t>
    </r>
  </si>
  <si>
    <r>
      <t xml:space="preserve">Сборка </t>
    </r>
    <r>
      <rPr>
        <b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пакетов </t>
    </r>
    <r>
      <rPr>
        <b/>
        <sz val="14"/>
        <rFont val="Times New Roman"/>
        <family val="1"/>
        <charset val="204"/>
      </rPr>
      <t>ЛШП</t>
    </r>
    <r>
      <rPr>
        <sz val="14"/>
        <rFont val="Times New Roman"/>
        <family val="1"/>
        <charset val="204"/>
      </rPr>
      <t xml:space="preserve"> посредством сединительного профиля. Установка стыковочных профилей и ушей PE. Шины Cu.</t>
    </r>
  </si>
  <si>
    <r>
      <t xml:space="preserve">Установка компекта из </t>
    </r>
    <r>
      <rPr>
        <b/>
        <sz val="16"/>
        <rFont val="Times New Roman"/>
        <family val="1"/>
        <charset val="204"/>
      </rPr>
      <t>4 ушей PE</t>
    </r>
    <r>
      <rPr>
        <sz val="16"/>
        <rFont val="Times New Roman"/>
        <family val="1"/>
        <charset val="204"/>
      </rPr>
      <t xml:space="preserve"> на корпус секции (если 1 пакет)</t>
    </r>
  </si>
  <si>
    <t>Сборка пакетов секции ЛШП (после заливки), из ПФЛ3 в ГП, снятие временной оснастки, монтаж верхней крышки, разведение шин, очистка от загрязнений, идентификация, проверка изоляции.</t>
  </si>
  <si>
    <r>
      <rPr>
        <b/>
        <sz val="16"/>
        <rFont val="Times New Roman"/>
        <family val="1"/>
        <charset val="204"/>
      </rPr>
      <t>ПФЛ3 → ГП. FE-S2. 100-800А.</t>
    </r>
    <r>
      <rPr>
        <sz val="16"/>
        <rFont val="Times New Roman"/>
        <family val="1"/>
        <charset val="204"/>
      </rPr>
      <t xml:space="preserve"> Сборка пакета прямой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</si>
  <si>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FE-S1. 1000-2000А.</t>
    </r>
    <r>
      <rPr>
        <sz val="16"/>
        <rFont val="Times New Roman"/>
        <family val="1"/>
        <charset val="204"/>
      </rPr>
      <t xml:space="preserve"> Сборка пакета прямой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</si>
  <si>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FE-S3. 100-800А.</t>
    </r>
    <r>
      <rPr>
        <sz val="16"/>
        <rFont val="Times New Roman"/>
        <family val="1"/>
        <charset val="204"/>
      </rPr>
      <t xml:space="preserve"> Сборка пакета прямой секции ЛШП. Снятие комплекта стяжек</t>
    </r>
  </si>
  <si>
    <r>
      <rPr>
        <b/>
        <sz val="16"/>
        <rFont val="Times New Roman"/>
        <family val="1"/>
        <charset val="204"/>
      </rPr>
      <t>ПФЛ3 → ГП. FE-S2. 1000-2000А.</t>
    </r>
    <r>
      <rPr>
        <sz val="16"/>
        <rFont val="Times New Roman"/>
        <family val="1"/>
        <charset val="204"/>
      </rPr>
      <t xml:space="preserve"> Сборка пакета прямой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</si>
  <si>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FE-S3. 1000-2000А.</t>
    </r>
    <r>
      <rPr>
        <sz val="16"/>
        <rFont val="Times New Roman"/>
        <family val="1"/>
        <charset val="204"/>
      </rPr>
      <t xml:space="preserve"> Сборка пакета прямой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</si>
  <si>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CD. 100-800А.</t>
    </r>
    <r>
      <rPr>
        <sz val="16"/>
        <rFont val="Times New Roman"/>
        <family val="1"/>
        <charset val="204"/>
      </rPr>
      <t xml:space="preserve"> Сборка пакета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</si>
  <si>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ZD. 100-800А.</t>
    </r>
    <r>
      <rPr>
        <sz val="16"/>
        <rFont val="Times New Roman"/>
        <family val="1"/>
        <charset val="204"/>
      </rPr>
      <t xml:space="preserve"> Сборка пакета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</si>
  <si>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CP. 100-800А.</t>
    </r>
    <r>
      <rPr>
        <sz val="16"/>
        <rFont val="Times New Roman"/>
        <family val="1"/>
        <charset val="204"/>
      </rPr>
      <t xml:space="preserve"> Сборка пакета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</si>
  <si>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ZP. 100-800А.</t>
    </r>
    <r>
      <rPr>
        <sz val="16"/>
        <rFont val="Times New Roman"/>
        <family val="1"/>
        <charset val="204"/>
      </rPr>
      <t xml:space="preserve"> Сборка пакета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</si>
  <si>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CD. 1000-2000А.</t>
    </r>
    <r>
      <rPr>
        <sz val="16"/>
        <rFont val="Times New Roman"/>
        <family val="1"/>
        <charset val="204"/>
      </rPr>
      <t xml:space="preserve"> Сборка пакета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</si>
  <si>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ZD. 1000-2000А.</t>
    </r>
    <r>
      <rPr>
        <sz val="16"/>
        <rFont val="Times New Roman"/>
        <family val="1"/>
        <charset val="204"/>
      </rPr>
      <t xml:space="preserve"> Сборка пакета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</si>
  <si>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CP. 1000-2000А.</t>
    </r>
    <r>
      <rPr>
        <sz val="16"/>
        <rFont val="Times New Roman"/>
        <family val="1"/>
        <charset val="204"/>
      </rPr>
      <t xml:space="preserve"> Сборка пакета секции ЛШП. Снятие комплекта стяжек.</t>
    </r>
  </si>
  <si>
    <r>
      <rPr>
        <b/>
        <sz val="16"/>
        <rFont val="Times New Roman"/>
        <family val="1"/>
        <charset val="204"/>
      </rPr>
      <t>ПФЛ3 → ГП. ZP. 1000-2000А.</t>
    </r>
    <r>
      <rPr>
        <sz val="16"/>
        <rFont val="Times New Roman"/>
        <family val="1"/>
        <charset val="204"/>
      </rPr>
      <t xml:space="preserve"> Сборка пакета секции ЛШП. Снятие комплекта стяжек.</t>
    </r>
  </si>
  <si>
    <t>Изолировка Cu шин для прямых секций, с учетом резки конвертов в размер.</t>
  </si>
  <si>
    <t>Термоусадка гибкой ошиновки, КША, комплектующих.</t>
  </si>
  <si>
    <r>
      <rPr>
        <b/>
        <sz val="16"/>
        <rFont val="Times New Roman"/>
        <family val="1"/>
        <charset val="204"/>
      </rPr>
      <t>ИЗ.Al. CD 101-160.</t>
    </r>
    <r>
      <rPr>
        <sz val="16"/>
        <rFont val="Times New Roman"/>
        <family val="1"/>
        <charset val="204"/>
      </rPr>
      <t xml:space="preserve"> Изолирование шин 101-160 мм для горизонтального угла </t>
    </r>
  </si>
  <si>
    <r>
      <rPr>
        <b/>
        <sz val="16"/>
        <rFont val="Times New Roman"/>
        <family val="1"/>
        <charset val="204"/>
      </rPr>
      <t>ИЗ.Al. CD 200.</t>
    </r>
    <r>
      <rPr>
        <sz val="16"/>
        <rFont val="Times New Roman"/>
        <family val="1"/>
        <charset val="204"/>
      </rPr>
      <t xml:space="preserve"> Изолирование шин 200 мм для горизонтального угла </t>
    </r>
  </si>
  <si>
    <r>
      <rPr>
        <b/>
        <sz val="16"/>
        <rFont val="Times New Roman"/>
        <family val="1"/>
        <charset val="204"/>
      </rPr>
      <t>ИЗ.Cu. CD 101-160.</t>
    </r>
    <r>
      <rPr>
        <sz val="16"/>
        <rFont val="Times New Roman"/>
        <family val="1"/>
        <charset val="204"/>
      </rPr>
      <t xml:space="preserve"> Изолирование шин 101-160 мм для горизонтального угла </t>
    </r>
  </si>
  <si>
    <r>
      <rPr>
        <b/>
        <sz val="16"/>
        <rFont val="Times New Roman"/>
        <family val="1"/>
        <charset val="204"/>
      </rPr>
      <t>ИЗ.Cu. CD 200.</t>
    </r>
    <r>
      <rPr>
        <sz val="16"/>
        <rFont val="Times New Roman"/>
        <family val="1"/>
        <charset val="204"/>
      </rPr>
      <t xml:space="preserve"> Изолирование шин 200 мм для горизонтального угла </t>
    </r>
  </si>
  <si>
    <r>
      <rPr>
        <b/>
        <sz val="16"/>
        <rFont val="Times New Roman"/>
        <family val="1"/>
        <charset val="204"/>
      </rPr>
      <t>ИЗ.Pi 2 фл.</t>
    </r>
    <r>
      <rPr>
        <sz val="16"/>
        <rFont val="Times New Roman"/>
        <family val="1"/>
        <charset val="204"/>
      </rPr>
      <t xml:space="preserve"> Изолирование шин для секций Pi,  корпус V3. С 2 наваренными "флажками".</t>
    </r>
  </si>
  <si>
    <r>
      <rPr>
        <b/>
        <sz val="16"/>
        <rFont val="Times New Roman"/>
        <family val="1"/>
        <charset val="204"/>
      </rPr>
      <t>ИЗ.Cu. FE-S1. 30-75.</t>
    </r>
    <r>
      <rPr>
        <sz val="16"/>
        <rFont val="Times New Roman"/>
        <family val="1"/>
        <charset val="204"/>
      </rPr>
      <t xml:space="preserve"> Конвертирование прямых подготовленных шин 30-75мм, длиной  до 999 мм. </t>
    </r>
  </si>
  <si>
    <r>
      <rPr>
        <b/>
        <sz val="16"/>
        <rFont val="Times New Roman"/>
        <family val="1"/>
        <charset val="204"/>
      </rPr>
      <t>ИЗ.Cu. FE-S3. 30-75.</t>
    </r>
    <r>
      <rPr>
        <sz val="16"/>
        <rFont val="Times New Roman"/>
        <family val="1"/>
        <charset val="204"/>
      </rPr>
      <t xml:space="preserve"> Конвертирование прямых подготовленных шин 30-75 мм, длиной  2000-3000 мм. </t>
    </r>
  </si>
  <si>
    <r>
      <rPr>
        <b/>
        <sz val="16"/>
        <rFont val="Times New Roman"/>
        <family val="1"/>
        <charset val="204"/>
      </rPr>
      <t xml:space="preserve">ИЗ.Cu. FE-S2. 30-75. </t>
    </r>
    <r>
      <rPr>
        <sz val="16"/>
        <rFont val="Times New Roman"/>
        <family val="1"/>
        <charset val="204"/>
      </rPr>
      <t xml:space="preserve">Конвертирование прямых подготовленных шин 30-75 мм, длиной  1000-1999 мм. </t>
    </r>
  </si>
  <si>
    <r>
      <rPr>
        <b/>
        <sz val="16"/>
        <rFont val="Times New Roman"/>
        <family val="1"/>
        <charset val="204"/>
      </rPr>
      <t>ИЗ.Cu. F1-S1. 100-130.</t>
    </r>
    <r>
      <rPr>
        <sz val="16"/>
        <rFont val="Times New Roman"/>
        <family val="1"/>
        <charset val="204"/>
      </rPr>
      <t xml:space="preserve"> Конвертирование прямых подготовленных шин 100-130 мм, длиной  до 999 мм. </t>
    </r>
  </si>
  <si>
    <r>
      <rPr>
        <b/>
        <sz val="16"/>
        <rFont val="Times New Roman"/>
        <family val="1"/>
        <charset val="204"/>
      </rPr>
      <t>ИЗ.Cu. FE-S2. 100-130.</t>
    </r>
    <r>
      <rPr>
        <sz val="16"/>
        <rFont val="Times New Roman"/>
        <family val="1"/>
        <charset val="204"/>
      </rPr>
      <t xml:space="preserve"> Конвертирование прямых подготовленных шин 100-130 мм, длиной  до 1000-1999 мм. </t>
    </r>
  </si>
  <si>
    <r>
      <rPr>
        <b/>
        <sz val="16"/>
        <rFont val="Times New Roman"/>
        <family val="1"/>
        <charset val="204"/>
      </rPr>
      <t>ИЗ.Cu. FE-S3. 100-130.</t>
    </r>
    <r>
      <rPr>
        <sz val="16"/>
        <rFont val="Times New Roman"/>
        <family val="1"/>
        <charset val="204"/>
      </rPr>
      <t xml:space="preserve"> Конвертирование прямых подготовленных шин 100-130 мм, длиной  2000-3000 мм. </t>
    </r>
  </si>
  <si>
    <r>
      <rPr>
        <b/>
        <sz val="16"/>
        <rFont val="Times New Roman"/>
        <family val="1"/>
        <charset val="204"/>
      </rPr>
      <t>ИЗ.Cu. FE-S1. 160-200.</t>
    </r>
    <r>
      <rPr>
        <sz val="16"/>
        <rFont val="Times New Roman"/>
        <family val="1"/>
        <charset val="204"/>
      </rPr>
      <t xml:space="preserve"> Конвертирование прямых подготовленных шин 160-200 мм, длиной  до 999 мм. </t>
    </r>
  </si>
  <si>
    <r>
      <rPr>
        <b/>
        <sz val="16"/>
        <rFont val="Times New Roman"/>
        <family val="1"/>
        <charset val="204"/>
      </rPr>
      <t>ИЗ.Cu. FE-S3. 160-200.</t>
    </r>
    <r>
      <rPr>
        <sz val="16"/>
        <rFont val="Times New Roman"/>
        <family val="1"/>
        <charset val="204"/>
      </rPr>
      <t xml:space="preserve"> Конвертирование прямых подготовленных шин 160-200 мм, длиной  2000-3000 мм. </t>
    </r>
  </si>
  <si>
    <r>
      <rPr>
        <b/>
        <sz val="16"/>
        <rFont val="Times New Roman"/>
        <family val="1"/>
        <charset val="204"/>
      </rPr>
      <t>ИЗ.Cu. FE-S2. 160-200.</t>
    </r>
    <r>
      <rPr>
        <sz val="16"/>
        <rFont val="Times New Roman"/>
        <family val="1"/>
        <charset val="204"/>
      </rPr>
      <t xml:space="preserve"> Конвертирование прямых подготовленных шин 160-200 мм, длиной  1000-1999 мм. </t>
    </r>
  </si>
  <si>
    <r>
      <rPr>
        <b/>
        <sz val="16"/>
        <rFont val="Times New Roman"/>
        <family val="1"/>
        <charset val="204"/>
      </rPr>
      <t>ИЗ.Al. FE-S1. до100.</t>
    </r>
    <r>
      <rPr>
        <sz val="16"/>
        <rFont val="Times New Roman"/>
        <family val="1"/>
        <charset val="204"/>
      </rPr>
      <t xml:space="preserve"> Конвертирование прямых подготовленных шин до100 мм, длиной  до 999 мм. </t>
    </r>
  </si>
  <si>
    <r>
      <rPr>
        <b/>
        <sz val="16"/>
        <rFont val="Times New Roman"/>
        <family val="1"/>
        <charset val="204"/>
      </rPr>
      <t>ИЗ.Al. FE-S2. до100.</t>
    </r>
    <r>
      <rPr>
        <sz val="16"/>
        <rFont val="Times New Roman"/>
        <family val="1"/>
        <charset val="204"/>
      </rPr>
      <t xml:space="preserve"> Конвертирование прямых подготовленных шин до 100 мм, длиной  1000-1999 мм. </t>
    </r>
  </si>
  <si>
    <r>
      <rPr>
        <b/>
        <sz val="16"/>
        <rFont val="Times New Roman"/>
        <family val="1"/>
        <charset val="204"/>
      </rPr>
      <t>ИЗ.Al. CD до100.</t>
    </r>
    <r>
      <rPr>
        <sz val="16"/>
        <rFont val="Times New Roman"/>
        <family val="1"/>
        <charset val="204"/>
      </rPr>
      <t xml:space="preserve"> Изолирование шин 60-100 мм для горизонтального угла </t>
    </r>
  </si>
  <si>
    <r>
      <rPr>
        <b/>
        <sz val="16"/>
        <rFont val="Times New Roman"/>
        <family val="1"/>
        <charset val="204"/>
      </rPr>
      <t>ИЗ.Al. CP до130.</t>
    </r>
    <r>
      <rPr>
        <sz val="16"/>
        <rFont val="Times New Roman"/>
        <family val="1"/>
        <charset val="204"/>
      </rPr>
      <t xml:space="preserve"> Изолирование шин 60-160 мм для вертикальных углов.</t>
    </r>
  </si>
  <si>
    <r>
      <rPr>
        <b/>
        <sz val="16"/>
        <rFont val="Times New Roman"/>
        <family val="1"/>
        <charset val="204"/>
      </rPr>
      <t>ИЗ.Al. ATSC до130.</t>
    </r>
    <r>
      <rPr>
        <sz val="16"/>
        <rFont val="Times New Roman"/>
        <family val="1"/>
        <charset val="204"/>
      </rPr>
      <t xml:space="preserve"> Изолирование шин до 130 мм для терминальных фланцевых секций</t>
    </r>
  </si>
  <si>
    <r>
      <rPr>
        <b/>
        <sz val="16"/>
        <rFont val="Times New Roman"/>
        <family val="1"/>
        <charset val="204"/>
      </rPr>
      <t>ИЗ.Al. ATSC 160-200.</t>
    </r>
    <r>
      <rPr>
        <sz val="16"/>
        <rFont val="Times New Roman"/>
        <family val="1"/>
        <charset val="204"/>
      </rPr>
      <t xml:space="preserve"> Изолирование шин 160-200 мм для терминальных фланцевых секций</t>
    </r>
  </si>
  <si>
    <r>
      <rPr>
        <b/>
        <sz val="16"/>
        <rFont val="Times New Roman"/>
        <family val="1"/>
        <charset val="204"/>
      </rPr>
      <t>ИЗ.Al. Z 160-200.</t>
    </r>
    <r>
      <rPr>
        <sz val="16"/>
        <rFont val="Times New Roman"/>
        <family val="1"/>
        <charset val="204"/>
      </rPr>
      <t xml:space="preserve"> Изолирование шин 160-200 мм для Z секций</t>
    </r>
  </si>
  <si>
    <r>
      <rPr>
        <b/>
        <sz val="16"/>
        <rFont val="Times New Roman"/>
        <family val="1"/>
        <charset val="204"/>
      </rPr>
      <t>ИЗ.Al. Z до130.</t>
    </r>
    <r>
      <rPr>
        <sz val="16"/>
        <rFont val="Times New Roman"/>
        <family val="1"/>
        <charset val="204"/>
      </rPr>
      <t xml:space="preserve"> Изолирование шин до 130 мм для Z секций</t>
    </r>
  </si>
  <si>
    <r>
      <rPr>
        <b/>
        <sz val="16"/>
        <rFont val="Times New Roman"/>
        <family val="1"/>
        <charset val="204"/>
      </rPr>
      <t>ИЗ.Al. CP  160-200.</t>
    </r>
    <r>
      <rPr>
        <sz val="16"/>
        <rFont val="Times New Roman"/>
        <family val="1"/>
        <charset val="204"/>
      </rPr>
      <t xml:space="preserve"> Изолирование шин 160-200 мм для вертикальных углов.</t>
    </r>
  </si>
  <si>
    <r>
      <rPr>
        <b/>
        <sz val="16"/>
        <rFont val="Times New Roman"/>
        <family val="1"/>
        <charset val="204"/>
      </rPr>
      <t>ИЗ.Al. ATSC-CD 160-200.</t>
    </r>
    <r>
      <rPr>
        <sz val="16"/>
        <rFont val="Times New Roman"/>
        <family val="1"/>
        <charset val="204"/>
      </rPr>
      <t xml:space="preserve"> Изолирование шин 160-200 мм для терминальных фланц. секций с гориз. углом </t>
    </r>
  </si>
  <si>
    <r>
      <rPr>
        <b/>
        <sz val="16"/>
        <rFont val="Times New Roman"/>
        <family val="1"/>
        <charset val="204"/>
      </rPr>
      <t>ИЗ.Al. ATSC-CD до130.</t>
    </r>
    <r>
      <rPr>
        <sz val="16"/>
        <rFont val="Times New Roman"/>
        <family val="1"/>
        <charset val="204"/>
      </rPr>
      <t xml:space="preserve"> Изолирование шин до 130 для терминальных фланцевых секций с гориз. углом </t>
    </r>
  </si>
  <si>
    <r>
      <rPr>
        <b/>
        <sz val="16"/>
        <rFont val="Times New Roman"/>
        <family val="1"/>
        <charset val="204"/>
      </rPr>
      <t>ИЗ.Cu. CD до100.</t>
    </r>
    <r>
      <rPr>
        <sz val="16"/>
        <rFont val="Times New Roman"/>
        <family val="1"/>
        <charset val="204"/>
      </rPr>
      <t xml:space="preserve"> Изолирование шин 60-100 мм для горизонтального угла </t>
    </r>
  </si>
  <si>
    <r>
      <rPr>
        <b/>
        <sz val="16"/>
        <rFont val="Times New Roman"/>
        <family val="1"/>
        <charset val="204"/>
      </rPr>
      <t>ИЗ.Cu. CP до130.</t>
    </r>
    <r>
      <rPr>
        <sz val="16"/>
        <rFont val="Times New Roman"/>
        <family val="1"/>
        <charset val="204"/>
      </rPr>
      <t xml:space="preserve"> Изолирование шин 60-160 мм для вертикальных углов.</t>
    </r>
  </si>
  <si>
    <r>
      <rPr>
        <b/>
        <sz val="16"/>
        <rFont val="Times New Roman"/>
        <family val="1"/>
        <charset val="204"/>
      </rPr>
      <t>ИЗ.Cu. CP  160-200.</t>
    </r>
    <r>
      <rPr>
        <sz val="16"/>
        <rFont val="Times New Roman"/>
        <family val="1"/>
        <charset val="204"/>
      </rPr>
      <t xml:space="preserve"> Изолирование шин 160-200 мм для вертикальных углов.</t>
    </r>
  </si>
  <si>
    <r>
      <rPr>
        <b/>
        <sz val="16"/>
        <rFont val="Times New Roman"/>
        <family val="1"/>
        <charset val="204"/>
      </rPr>
      <t>ИЗ.Cu. Z 160-200.</t>
    </r>
    <r>
      <rPr>
        <sz val="16"/>
        <rFont val="Times New Roman"/>
        <family val="1"/>
        <charset val="204"/>
      </rPr>
      <t xml:space="preserve"> Изолирование шин 160-200 мм для Z секций</t>
    </r>
  </si>
  <si>
    <r>
      <rPr>
        <b/>
        <sz val="16"/>
        <rFont val="Times New Roman"/>
        <family val="1"/>
        <charset val="204"/>
      </rPr>
      <t>ИЗ.Cu. Z до130.</t>
    </r>
    <r>
      <rPr>
        <sz val="16"/>
        <rFont val="Times New Roman"/>
        <family val="1"/>
        <charset val="204"/>
      </rPr>
      <t xml:space="preserve"> Изолирование шин до 130 мм для Z секций</t>
    </r>
  </si>
  <si>
    <r>
      <rPr>
        <b/>
        <sz val="16"/>
        <rFont val="Times New Roman"/>
        <family val="1"/>
        <charset val="204"/>
      </rPr>
      <t>ИЗ.Cu. ATSC до130.</t>
    </r>
    <r>
      <rPr>
        <sz val="16"/>
        <rFont val="Times New Roman"/>
        <family val="1"/>
        <charset val="204"/>
      </rPr>
      <t xml:space="preserve"> Изолирование шин до 130 мм для терминальных фланцевых секций</t>
    </r>
  </si>
  <si>
    <r>
      <rPr>
        <b/>
        <sz val="16"/>
        <rFont val="Times New Roman"/>
        <family val="1"/>
        <charset val="204"/>
      </rPr>
      <t>ИЗ.Cu. ATSC 160-200.</t>
    </r>
    <r>
      <rPr>
        <sz val="16"/>
        <rFont val="Times New Roman"/>
        <family val="1"/>
        <charset val="204"/>
      </rPr>
      <t xml:space="preserve"> Изолирование шин 160-200 мм для терминальных фланцевых секций</t>
    </r>
  </si>
  <si>
    <r>
      <rPr>
        <b/>
        <sz val="16"/>
        <rFont val="Times New Roman"/>
        <family val="1"/>
        <charset val="204"/>
      </rPr>
      <t>ИЗ.Cu. ATSC-CD до130.</t>
    </r>
    <r>
      <rPr>
        <sz val="16"/>
        <rFont val="Times New Roman"/>
        <family val="1"/>
        <charset val="204"/>
      </rPr>
      <t xml:space="preserve"> Изолирование шин до 130 для терминальных фланцевых секций с гориз. углом </t>
    </r>
  </si>
  <si>
    <r>
      <rPr>
        <b/>
        <sz val="16"/>
        <rFont val="Times New Roman"/>
        <family val="1"/>
        <charset val="204"/>
      </rPr>
      <t>ИЗ.Cu. ATSC-CD 160-200.</t>
    </r>
    <r>
      <rPr>
        <sz val="16"/>
        <rFont val="Times New Roman"/>
        <family val="1"/>
        <charset val="204"/>
      </rPr>
      <t xml:space="preserve"> Изолирование шин 160-200 мм для терминальных фланц. секций с гориз. углом </t>
    </r>
  </si>
  <si>
    <t>Изолирование гибкой ошин. термоусаживаемой трубкой (надевание).  Длина термоусадки: 301 мм. - 400 мм.</t>
  </si>
  <si>
    <r>
      <rPr>
        <b/>
        <sz val="16"/>
        <rFont val="Times New Roman"/>
        <family val="1"/>
        <charset val="204"/>
      </rPr>
      <t>ИЗ.Al. FE-S1. 130-160</t>
    </r>
    <r>
      <rPr>
        <sz val="16"/>
        <rFont val="Times New Roman"/>
        <family val="1"/>
        <charset val="204"/>
      </rPr>
      <t xml:space="preserve">. Конвертирование прямых подготовленных шин 130-160 мм, длиной  до 999 мм. </t>
    </r>
  </si>
  <si>
    <r>
      <rPr>
        <b/>
        <sz val="16"/>
        <rFont val="Times New Roman"/>
        <family val="1"/>
        <charset val="204"/>
      </rPr>
      <t>ИЗ.Al. FE-S1. 200.</t>
    </r>
    <r>
      <rPr>
        <sz val="16"/>
        <rFont val="Times New Roman"/>
        <family val="1"/>
        <charset val="204"/>
      </rPr>
      <t xml:space="preserve"> Конвертирование прямых подготовленных шин 200 мм, длиной  до 999 мм. </t>
    </r>
  </si>
  <si>
    <r>
      <rPr>
        <b/>
        <sz val="16"/>
        <rFont val="Times New Roman"/>
        <family val="1"/>
        <charset val="204"/>
      </rPr>
      <t>ИЗ.Al. FE-S2. 130-160.</t>
    </r>
    <r>
      <rPr>
        <sz val="16"/>
        <rFont val="Times New Roman"/>
        <family val="1"/>
        <charset val="204"/>
      </rPr>
      <t xml:space="preserve"> Конвертирование прямых подготовленных шин 130-160 мм, длиной  до 1000-1999 мм. </t>
    </r>
  </si>
  <si>
    <r>
      <rPr>
        <b/>
        <sz val="16"/>
        <rFont val="Times New Roman"/>
        <family val="1"/>
        <charset val="204"/>
      </rPr>
      <t>ИЗ.Al. FE-S3. 200.</t>
    </r>
    <r>
      <rPr>
        <sz val="16"/>
        <rFont val="Times New Roman"/>
        <family val="1"/>
        <charset val="204"/>
      </rPr>
      <t xml:space="preserve"> Конвертирование прямых подготовленных шин 200 мм, длиной  2000-3000 мм. </t>
    </r>
  </si>
  <si>
    <r>
      <rPr>
        <b/>
        <sz val="16"/>
        <rFont val="Times New Roman"/>
        <family val="1"/>
        <charset val="204"/>
      </rPr>
      <t>ИЗ.Al. FE-S3. 130-160.</t>
    </r>
    <r>
      <rPr>
        <sz val="16"/>
        <rFont val="Times New Roman"/>
        <family val="1"/>
        <charset val="204"/>
      </rPr>
      <t xml:space="preserve"> Конвертирование прямых подготовленных шин 130-160 мм, длиной  2000-3000 мм. </t>
    </r>
  </si>
  <si>
    <r>
      <rPr>
        <b/>
        <sz val="16"/>
        <rFont val="Times New Roman"/>
        <family val="1"/>
        <charset val="204"/>
      </rPr>
      <t>ИЗ.Al. FE-S3. до100.</t>
    </r>
    <r>
      <rPr>
        <sz val="16"/>
        <rFont val="Times New Roman"/>
        <family val="1"/>
        <charset val="204"/>
      </rPr>
      <t xml:space="preserve"> Конвертирование прямых подготовленных шин 100 мм, длиной  2000-3000 мм. </t>
    </r>
  </si>
  <si>
    <r>
      <rPr>
        <b/>
        <sz val="16"/>
        <rFont val="Times New Roman"/>
        <family val="1"/>
        <charset val="204"/>
      </rPr>
      <t>ИЗ.Al. FE-S2. 200.</t>
    </r>
    <r>
      <rPr>
        <sz val="16"/>
        <rFont val="Times New Roman"/>
        <family val="1"/>
        <charset val="204"/>
      </rPr>
      <t xml:space="preserve"> Конвертирование прямых подготовленных шин 200 мм, длиной  1000-1999 мм. </t>
    </r>
  </si>
  <si>
    <r>
      <rPr>
        <b/>
        <sz val="16"/>
        <rFont val="Times New Roman"/>
        <family val="1"/>
        <charset val="204"/>
      </rPr>
      <t>ИЗ.Al. ZDP до 130.</t>
    </r>
    <r>
      <rPr>
        <sz val="16"/>
        <rFont val="Times New Roman"/>
        <family val="1"/>
        <charset val="204"/>
      </rPr>
      <t xml:space="preserve"> Изолирование шин до мм для комбинированного угла.</t>
    </r>
  </si>
  <si>
    <r>
      <rPr>
        <b/>
        <sz val="16"/>
        <rFont val="Times New Roman"/>
        <family val="1"/>
        <charset val="204"/>
      </rPr>
      <t>ИЗ.Al. ZDP 160-200.</t>
    </r>
    <r>
      <rPr>
        <sz val="16"/>
        <rFont val="Times New Roman"/>
        <family val="1"/>
        <charset val="204"/>
      </rPr>
      <t xml:space="preserve"> Изолирование шин  160-200 мм для комбинированного угла.</t>
    </r>
  </si>
  <si>
    <t>JPSK  Проколка и резка шин для ATSC 4-8 отв, обработка, правка, зенковка. Серийность от 5 шт по един. прогр. (чертежу)</t>
  </si>
  <si>
    <t>Покраска  Al боковин высотой 233 мм в обойме</t>
  </si>
  <si>
    <t xml:space="preserve">         Гибка стандартного и нестандартного угла</t>
  </si>
  <si>
    <t xml:space="preserve">            Шины для  углов, трансформаторных и терминальных секций</t>
  </si>
  <si>
    <t>Гибка Al шин шириной до 200 мм для АТТ</t>
  </si>
  <si>
    <t>Гибка Al шин из листа шириной от 400  мм для АТТ</t>
  </si>
  <si>
    <t>Гибка Cu  шин шириной до 200 мм для АТТ</t>
  </si>
  <si>
    <t>Гибка Cu шин из листа шириной от 400  мм для АТТ</t>
  </si>
  <si>
    <t>Гибка Al шин из листа шириной  200-400  мм для АТТ</t>
  </si>
  <si>
    <t>Гибка Cu шин из листа шириной 200-400  мм для АТТ</t>
  </si>
  <si>
    <t>Выбивка фильтров в конце 2 дня (перед пересменкой).</t>
  </si>
  <si>
    <t>Замена сопла на ДИМЕТ</t>
  </si>
  <si>
    <t>НАП. Al шин 30 для FE S1.  (4 конт. зоны по 30 мм), длиной до 999 мм</t>
  </si>
  <si>
    <t>НАП. Al шин 50 для FE S1.  (4 конт. зоны по 30 мм), длиной до 999 мм</t>
  </si>
  <si>
    <t>НАП. Al шин 60 для FE S1.  (4 конт. зоны по 30 мм), длиной до 999 мм</t>
  </si>
  <si>
    <t>НАП. Al шин 65 для FE S1.  (4 конт. зоны по 30 мм), длиной до 999 мм</t>
  </si>
  <si>
    <t>НАП. Al шин 75 для FE S1.  (4 конт. зоны по 30 мм), длиной до 999 мм</t>
  </si>
  <si>
    <t>НАП. Al шин 100 для FE S1.  (4 конт. зоны по 30 мм), длиной до 999 мм</t>
  </si>
  <si>
    <t>НАП. Al шин 109 для FE S1.  (4 конт. зоны по 30 мм), длиной до 999 мм</t>
  </si>
  <si>
    <t>НАП. Al шин 130 для FE S1.  (4 конт. зоны по 30 мм), длиной до 999 мм</t>
  </si>
  <si>
    <t>НАП. Al шин 140 для FE S1.  (4 конт. зоны по 30 мм), длиной до 999 мм</t>
  </si>
  <si>
    <t>НАП. Al шин 160 для FE S1.  (4 конт. зоны по 30 мм), длиной до 999 мм</t>
  </si>
  <si>
    <t>НАП. Al шин 200 для FE S1.  (4 конт. зоны по 30 мм), длиной до 999 мм</t>
  </si>
  <si>
    <t>НАП. Al шин 30 для FE S2.  (4 конт. зоны по 30 мм), длиной 999-1999 мм</t>
  </si>
  <si>
    <t>НАП. Al шин 50 для FE S2.  (4 конт. зоны по 30 мм), длиной 999-1999 мм</t>
  </si>
  <si>
    <t>НАП. Al шин 60 для FE S2.  (4 конт. зоны по 30 мм), длиной 999-1999 мм</t>
  </si>
  <si>
    <t>НАП. Al шин 65 для FE S2.  (4 конт. зоны по 30 мм), длиной 999-1999 мм</t>
  </si>
  <si>
    <t>НАП. Al шин 75 для FE S2.  (4 конт. зоны по 30 мм), длиной 999-1999 мм</t>
  </si>
  <si>
    <t>НАП. Al шин 100 для FE S2.  (4 конт. зоны по 30 мм), длиной 999-1999 мм</t>
  </si>
  <si>
    <t>НАП. Al шин 109 для FE S2.  (4 конт. зоны по 30 мм), длиной 999-1999 мм</t>
  </si>
  <si>
    <t>НАП. Al шин 130 для FE S2.  (4 конт. зоны по 30 мм), длиной 999-1999 мм</t>
  </si>
  <si>
    <t>НАП. Al шин 140 для FE S2.  (4 конт. зоны по 30 мм), длиной 999-1999 мм</t>
  </si>
  <si>
    <t>НАП. Al шин 160 для FE S2.  (4 конт. зоны по 30 мм), длиной 999-1999 мм</t>
  </si>
  <si>
    <t>НАП. Al шин 200 для FE S2.  (4 конт. зоны по 30 мм), длиной 999-1999 мм</t>
  </si>
  <si>
    <t>НАП. Al шин 30 для FE S3.  (4 конт. зоны по 30 мм), длиной 2000-3000 мм</t>
  </si>
  <si>
    <t>НАП. Al шин 50 для FE S3.  (4 конт. зоны по 30 мм), длиной 2000-3000 мм</t>
  </si>
  <si>
    <t>НАП. Al шин 60 для FE S3.  (4 конт. зоны по 30 мм), длиной 2000-3000 мм</t>
  </si>
  <si>
    <t>НАП. Al шин 65 для FE S3.  (4 конт. зоны по 30 мм), длиной 2000-3000 мм</t>
  </si>
  <si>
    <t>НАП. Al шин 75 для FE S3.  (4 конт. зоны по 30 мм), длиной 2000-3000 мм</t>
  </si>
  <si>
    <t>НАП. Al шин 100 для FE S3.  (4 конт. зоны по 30 мм), длиной 2000-3000 мм</t>
  </si>
  <si>
    <t>НАП. Al шин 109 для FE S3.  (4 конт. зоны по 30 мм), длиной 2000-3000 мм</t>
  </si>
  <si>
    <t>НАП. Al шин 130 для FE S3.  (4 конт. зоны по 30 мм), длиной 2000-3000 мм</t>
  </si>
  <si>
    <t>НАП. Al шин 140 для FE S3.  (4 конт. зоны по 30 мм), длиной 2000-3000 мм</t>
  </si>
  <si>
    <t>НАП. Al шин 160 для FE S3.  (4 конт. зоны по 30 мм), длиной 2000-3000 мм</t>
  </si>
  <si>
    <t>НАП. Al шин 200 для FE S3.  (4 конт. зоны по 30 мм), длиной 2000-3000 мм</t>
  </si>
  <si>
    <t>НАП. Cu шин 30 для FE S1.  (4 конт. зоны по 30 мм), длиной до 999 мм</t>
  </si>
  <si>
    <t>НАП. Cu шин 40 для FE S1.  (4 конт. зоны по 30 мм), длиной до 999 мм</t>
  </si>
  <si>
    <t>НАП. Cu шин 50 для FE S1.  (4 конт. зоны по 30 мм), длиной до 999 мм</t>
  </si>
  <si>
    <t>НАП. Cu шин 60 для FE S1.  (4 конт. зоны по 30 мм), длиной до 999 мм</t>
  </si>
  <si>
    <t>НАП. Cu шин 65 для FE S1.  (4 конт. зоны по 30 мм), длиной до 999 мм</t>
  </si>
  <si>
    <t>НАП. Cu шин 75 для FE S1.  (4 конт. зоны по 30 мм), длиной до 999 мм</t>
  </si>
  <si>
    <t>НАП. Cu шин 100 для FE S1.  (4 конт. зоны по 30 мм), длиной до 999 мм</t>
  </si>
  <si>
    <t>НАП. Cu шин 130 для FE S1.  (4 конт. зоны по 30 мм), длиной до 999 мм</t>
  </si>
  <si>
    <t>НАП. Cu шин 140 для FE S1.  (4 конт. зоны по 30 мм), длиной до 999 мм</t>
  </si>
  <si>
    <t>НАП. Cu шин 160 для FE S1.  (4 конт. зоны по 30 мм), длиной до 999 мм</t>
  </si>
  <si>
    <t>НАП. Cu шин 200 для FE S1.  (4 конт. зоны по 30 мм), длиной до 999 мм</t>
  </si>
  <si>
    <t>НАП. Cu шин 30 для FE S2.  (4 конт. зоны по 30 мм), длиной 999-1999 мм</t>
  </si>
  <si>
    <t>НАП. Cu шин 40 для FE S2.  (4 конт. зоны по 30 мм), длиной 999-1999 мм</t>
  </si>
  <si>
    <t>НАП. Cu шин 50 для FE S2.  (4 конт. зоны по 30 мм), длиной 999-1999 мм</t>
  </si>
  <si>
    <t>НАП. Cu шин 60 для FE S2.  (4 конт. зоны по 30 мм), длиной 999-1999 мм</t>
  </si>
  <si>
    <t>НАП. Cu шин 65 для FE S2.  (4 конт. зоны по 30 мм), длиной 999-1999 мм</t>
  </si>
  <si>
    <t>НАП. Cu шин 75 для FE S2.  (4 конт. зоны по 30 мм), длиной 999-1999 мм</t>
  </si>
  <si>
    <t>НАП. Cu шин 100 для FE S2.  (4 конт. зоны по 30 мм), длиной 999-1999 мм</t>
  </si>
  <si>
    <t>НАП. Cu шин 130 для FE S2.  (4 конт. зоны по 30 мм), длиной 999-1999 мм</t>
  </si>
  <si>
    <t>НАП. Cu шин 140 для FE S2.  (4 конт. зоны по 30 мм), длиной 999-1999 мм</t>
  </si>
  <si>
    <t>НАП. Cu шин 160 для FE S2.  (4 конт. зоны по 30 мм), длиной 999-1999 мм</t>
  </si>
  <si>
    <t>НАП. Cu шин 200 для FE S2.  (4 конт. зоны по 30 мм), длиной 999-1999 мм</t>
  </si>
  <si>
    <t>НАП. Cu шин 30 для FE S3.  (4 конт. зоны по 30 мм), длиной 2000-3000 мм</t>
  </si>
  <si>
    <t>НАП. Cu шин 40 для FE S3.  (4 конт. зоны по 30 мм), длиной 2000-3000 мм</t>
  </si>
  <si>
    <t>НАП. Cu шин 50 для FE S3.  (4 конт. зоны по 30 мм), длиной 2000-3000 мм</t>
  </si>
  <si>
    <t>НАП. Cu шин 60 для FE S3.  (4 конт. зоны по 30 мм), длиной 2000-3000 мм</t>
  </si>
  <si>
    <t>НАП. Cu шин 65 для FE S3.  (4 конт. зоны по 30 мм), длиной 2000-3000 мм</t>
  </si>
  <si>
    <t>НАП. Cu шин 75 для FE S3.  (4 конт. зоны по 30 мм), длиной 2000-3000 мм</t>
  </si>
  <si>
    <t>НАП. Cu шин 100 для FE S3.  (4 конт. зоны по 30 мм), длиной 2000-3000 мм</t>
  </si>
  <si>
    <t>НАП. Cu шин 130 для FE S3.  (4 конт. зоны по 30 мм), длиной 2000-3000 мм</t>
  </si>
  <si>
    <t>НАП. Cu шин 140 для FE S3.  (4 конт. зоны по 30 мм), длиной 2000-3000 мм</t>
  </si>
  <si>
    <t>НАП. Cu шин 160 для FE S3.  (4 конт. зоны по 30 мм), длиной 2000-3000 мм</t>
  </si>
  <si>
    <t>НАП. Cu шин 200 для FE S3.  (4 конт. зоны по 30 мм), длиной 2000-3000 мм</t>
  </si>
  <si>
    <t>НАП. AL шин 30 для ATSC S1.  (4 конт. зоны:(30х2,100х2), длиной до 999 мм</t>
  </si>
  <si>
    <t>НАП. AL шин 50 для ATSC S1.  (4 конт. зоны:(30х2,100х2), длиной до 999 мм</t>
  </si>
  <si>
    <t>НАП. AL шин 60 для ATSC S1.  (4 конт. зоны:(30х2,100х2), длиной до 999 мм</t>
  </si>
  <si>
    <t>НАП. AL шин 65 для ATSC S1.  (4 конт. зоны:(30х2,100х2), длиной до 999 мм</t>
  </si>
  <si>
    <t>НАП. AL шин 75 для ATSC S1.  (4 конт. зоны:(30х2,100х2), длиной до 999 мм</t>
  </si>
  <si>
    <t>НАП. AL шин 100 для ATSC S1.  (4 конт. зоны:(30х2,100х2), длиной до 999 мм</t>
  </si>
  <si>
    <t>НАП. AL шин 109 для ATSC S1.  (4 конт. зоны:(30х2,100х2), длиной до 999 мм</t>
  </si>
  <si>
    <t>НАП. AL шин 130 для ATSC S1.  (4 конт. зоны:(30х2,100х2), длиной до 999 мм</t>
  </si>
  <si>
    <t>НАП. AL шин 140 для ATSC S1.  (4 конт. зоны:(30х2,100х2), длиной до 999 мм</t>
  </si>
  <si>
    <t>НАП. AL шин 160 для ATSC S1.  (4 конт. зоны:(30х2,100х2), длиной до 999 мм</t>
  </si>
  <si>
    <t>НАП. AL шин 200 для ATSC S1.  (4 конт. зоны:(30х2,100х2), длиной до 999 мм</t>
  </si>
  <si>
    <t>НАП. AL шин 30 для ATSC S2.  (4 конт. зоны:(30х2,100х2), длиной от 999 мм</t>
  </si>
  <si>
    <t>НАП. AL шин 50 для ATSC S2.  (4 конт. зоны:(30х2,100х2), длиной от 999 мм</t>
  </si>
  <si>
    <t>НАП. AL шин 60 для ATSC S2.  (4 конт. зоны:(30х2,100х2), длиной от 999 мм</t>
  </si>
  <si>
    <t>НАП. AL шин 65 для ATSC S2.  (4 конт. зоны:(30х2,100х2), длиной от 999 мм</t>
  </si>
  <si>
    <t>НАП. AL шин 75 для ATSC S2.  (4 конт. зоны:(30х2,100х2), длиной от 999 мм</t>
  </si>
  <si>
    <t>НАП. AL шин 100 для ATSC S2.  (4 конт. зоны:(30х2,100х2), длиной от 999 мм</t>
  </si>
  <si>
    <t>НАП. AL шин 109 для ATSC S2.  (4 конт. зоны:(30х2,100х2), длиной от 999 мм</t>
  </si>
  <si>
    <t>НАП. AL шин 130 для ATSC S2.  (4 конт. зоны:(30х2,100х2), длиной от 999 мм</t>
  </si>
  <si>
    <t>НАП. AL шин 140 для ATSC S2.  (4 конт. зоны:(30х2,100х2), длиной от 999 мм</t>
  </si>
  <si>
    <t>НАП. AL шин 160 для ATSC S2.  (4 конт. зоны:(30х2,100х2), длиной от 999 мм</t>
  </si>
  <si>
    <t>НАП. AL шин 200 для ATSC S2.  (4 конт. зоны:(30х2,100х2), длиной от 999 мм</t>
  </si>
  <si>
    <t>НАП. Cu шин 30 для ATSC S1.  (4 конт. зоны:(30х2,100х2), длиной до 999 мм</t>
  </si>
  <si>
    <t>НАП. Cu шин 40 для ATSC S1.  (4 конт. зоны:(30х2,100х2), длиной до 999 мм</t>
  </si>
  <si>
    <t>НАП. Cu шин 50 для ATSC S1.  (4 конт. зоны:(30х2,100х2), длиной до 999 мм</t>
  </si>
  <si>
    <t>НАП. Cu шин 60 для ATSC S1.  (4 конт. зоны:(30х2,100х2), длиной до 999 мм</t>
  </si>
  <si>
    <t>НАП. Cu шин 65 для ATSC S1.  (4 конт. зоны:(30х2,100х2), длиной до 999 мм</t>
  </si>
  <si>
    <t>НАП. Cu шин 75 для ATSC S1.  (4 конт. зоны:(30х2,100х2), длиной до 999 мм</t>
  </si>
  <si>
    <t>НАП. Cu шин 100 для ATSC S1.  (4 конт. зоны:(30х2,100х2), длиной до 999 мм</t>
  </si>
  <si>
    <t>НАП. Cu шин 130 для ATSC S1.  (4 конт. зоны:(30х2,100х2), длиной до 999 мм</t>
  </si>
  <si>
    <t>НАП. Cu шин 140 для ATSC S1.  (4 конт. зоны:(30х2,100х2), длиной до 999 мм</t>
  </si>
  <si>
    <t>НАП. Cu шин 160 для ATSC S1.  (4 конт. зоны:(30х2,100х2), длиной до 999 мм</t>
  </si>
  <si>
    <t>НАП. Cu шин 200 для ATSC S1.  (4 конт. зоны:(30х2,100х2), длиной до 999 мм</t>
  </si>
  <si>
    <t>НАП. Cu шин 30 для ATSC S2.  (4 конт. зоны:(30х2,100х2), длиной от 999 мм</t>
  </si>
  <si>
    <t>НАП. Cu шин 40 для ATSC S2.  (4 конт. зоны:(30х2,100х2), длиной до 999 мм</t>
  </si>
  <si>
    <t>НАП. Cu шин 50 для ATSC S2.  (4 конт. зоны:(30х2,100х2), длиной от 999 мм</t>
  </si>
  <si>
    <t>НАП. Cu шин 60 для ATSC S2.  (4 конт. зоны:(30х2,100х2), длиной от 999 мм</t>
  </si>
  <si>
    <t>НАП. Cu шин 65 для ATSC S2.  (4 конт. зоны:(30х2,100х2), длиной от 999 мм</t>
  </si>
  <si>
    <t>НАП. Cu шин 75 для ATSC S2.  (4 конт. зоны:(30х2,100х2), длиной от 999 мм</t>
  </si>
  <si>
    <t>НАП. Cu шин 100 для ATSC S2.  (4 конт. зоны:(30х2,100х2), длиной от 999 мм</t>
  </si>
  <si>
    <t>НАП. Cu шин 130 для ATSC S2.  (4 конт. зоны:(30х2,100х2), длиной от 999 мм</t>
  </si>
  <si>
    <t>НАП. Cu шин 140 для ATSC S2.  (4 конт. зоны:(30х2,100х2), длиной от 999 мм</t>
  </si>
  <si>
    <t>НАП. Cu шин 160 для ATSC S2.  (4 конт. зоны:(30х2,100х2), длиной от 999 мм</t>
  </si>
  <si>
    <t>НАП. Cu шин 200 для ATSC S2.  (4 конт. зоны:(30х2,100х2), длиной от 999 мм</t>
  </si>
  <si>
    <t xml:space="preserve">НАП.  Al шин до 200 мм для ATT </t>
  </si>
  <si>
    <t xml:space="preserve">НАП.  Al шин из листа шириной от 200 до 400 мм для ATT </t>
  </si>
  <si>
    <t xml:space="preserve">НАП.  Al шин из листа шириной от 401 мм для ATT </t>
  </si>
  <si>
    <t xml:space="preserve">НАП.  Cu шин шириной до 200 мм для ATT </t>
  </si>
  <si>
    <t xml:space="preserve">НАП.  Cu шин из листа шириной от 200 до 400 мм для ATT </t>
  </si>
  <si>
    <t xml:space="preserve">НАП.  Cu шин из листа шириной от 401 мм для ATT </t>
  </si>
  <si>
    <t>НАП. Al переходных пластин для ATSC 2500А, размером 309х100 мм (2 стороны)</t>
  </si>
  <si>
    <t>НАП. Al переходных пластин для ATSC 3200А, размером 369х100 мм (2 стороны)</t>
  </si>
  <si>
    <t>НАП. Al переходных пластин для ATSC 4000А, размером 449х100 мм (2 стороны)</t>
  </si>
  <si>
    <t>НАП. Al переходных пластин для ATSC 5000А, размером 667х100 мм (2 стороны)</t>
  </si>
  <si>
    <t>НАП. Al переходных пластин для ATSC 6300А, размером 787х100 мм (2 стороны)</t>
  </si>
  <si>
    <t>НАП. Cu переходных пластин для ATSC 3200А, размером 309х100 мм (2 стороны)</t>
  </si>
  <si>
    <t>НАП. Cu переходных пластин для ATSC 4000А, размером 369х100 мм (2 стороны)</t>
  </si>
  <si>
    <t>НАП. Cu переходных пластин для ATSC 5000А, размером 449х100 мм (2 стороны)</t>
  </si>
  <si>
    <t>НАП. Cu переходных пластин для ATSC 6300А, размером 698х100 мм (2 стороны)</t>
  </si>
  <si>
    <r>
      <rPr>
        <b/>
        <sz val="16"/>
        <rFont val="Times New Roman"/>
        <family val="1"/>
        <charset val="204"/>
      </rPr>
      <t>ИЗ.Al. ATT до 200.</t>
    </r>
    <r>
      <rPr>
        <sz val="16"/>
        <rFont val="Times New Roman"/>
        <family val="1"/>
        <charset val="204"/>
      </rPr>
      <t xml:space="preserve"> Изолирование шин до 200 мм для ATT </t>
    </r>
  </si>
  <si>
    <r>
      <rPr>
        <b/>
        <sz val="16"/>
        <rFont val="Times New Roman"/>
        <family val="1"/>
        <charset val="204"/>
      </rPr>
      <t>ИЗ.Al. ATT  200-400.</t>
    </r>
    <r>
      <rPr>
        <sz val="16"/>
        <rFont val="Times New Roman"/>
        <family val="1"/>
        <charset val="204"/>
      </rPr>
      <t xml:space="preserve"> Изолирование шин из листа шириной от 200 до 400 мм для ATT </t>
    </r>
  </si>
  <si>
    <r>
      <rPr>
        <b/>
        <sz val="16"/>
        <rFont val="Times New Roman"/>
        <family val="1"/>
        <charset val="204"/>
      </rPr>
      <t>ИЗ.Al. ATT от 401.</t>
    </r>
    <r>
      <rPr>
        <sz val="16"/>
        <rFont val="Times New Roman"/>
        <family val="1"/>
        <charset val="204"/>
      </rPr>
      <t xml:space="preserve">  Изолирование шин из листа шириной от 401 мм для ATT </t>
    </r>
  </si>
  <si>
    <r>
      <rPr>
        <b/>
        <sz val="16"/>
        <rFont val="Times New Roman"/>
        <family val="1"/>
        <charset val="204"/>
      </rPr>
      <t>ИЗ.Cu. ATT до 200.</t>
    </r>
    <r>
      <rPr>
        <sz val="16"/>
        <rFont val="Times New Roman"/>
        <family val="1"/>
        <charset val="204"/>
      </rPr>
      <t xml:space="preserve"> Изолирование шин до 200 мм для ATT </t>
    </r>
  </si>
  <si>
    <r>
      <rPr>
        <b/>
        <sz val="16"/>
        <rFont val="Times New Roman"/>
        <family val="1"/>
        <charset val="204"/>
      </rPr>
      <t>ИЗ.Cu. ATT  200-400.</t>
    </r>
    <r>
      <rPr>
        <sz val="16"/>
        <rFont val="Times New Roman"/>
        <family val="1"/>
        <charset val="204"/>
      </rPr>
      <t xml:space="preserve"> Изолирование шин из листа шириной от 200 до 400 мм для ATT </t>
    </r>
  </si>
  <si>
    <r>
      <rPr>
        <b/>
        <sz val="16"/>
        <rFont val="Times New Roman"/>
        <family val="1"/>
        <charset val="204"/>
      </rPr>
      <t>ИЗ.Cu. ATT от 401.</t>
    </r>
    <r>
      <rPr>
        <sz val="16"/>
        <rFont val="Times New Roman"/>
        <family val="1"/>
        <charset val="204"/>
      </rPr>
      <t xml:space="preserve">  Изолирование шин из листа шириной от 401 мм для ATT </t>
    </r>
  </si>
  <si>
    <r>
      <rPr>
        <b/>
        <sz val="16"/>
        <rFont val="Times New Roman"/>
        <family val="1"/>
        <charset val="204"/>
      </rPr>
      <t>ИЗ.Cu. ZDP до 130.</t>
    </r>
    <r>
      <rPr>
        <sz val="16"/>
        <rFont val="Times New Roman"/>
        <family val="1"/>
        <charset val="204"/>
      </rPr>
      <t xml:space="preserve"> Изолирование шин до мм для комбинированного угла.</t>
    </r>
  </si>
  <si>
    <r>
      <rPr>
        <b/>
        <sz val="16"/>
        <rFont val="Times New Roman"/>
        <family val="1"/>
        <charset val="204"/>
      </rPr>
      <t>ИЗ.Cu. ZDP 160-200.</t>
    </r>
    <r>
      <rPr>
        <sz val="16"/>
        <rFont val="Times New Roman"/>
        <family val="1"/>
        <charset val="204"/>
      </rPr>
      <t xml:space="preserve"> Изолирование шин  160-200 мм для комбинированного угла.</t>
    </r>
  </si>
  <si>
    <t xml:space="preserve">НАП. Шина 30. G до 400. </t>
  </si>
  <si>
    <t>НАП. Шина 65. G630.</t>
  </si>
  <si>
    <t xml:space="preserve">НАП. Шина 140. GF630. </t>
  </si>
  <si>
    <t xml:space="preserve">НАП. Шина 155. GF800.  </t>
  </si>
  <si>
    <t xml:space="preserve">НАП. Шина 100. G1000.  </t>
  </si>
  <si>
    <t xml:space="preserve">НАП. Шина 160. G1600.  </t>
  </si>
  <si>
    <t xml:space="preserve">НАП. Шина 370. G3200.  </t>
  </si>
  <si>
    <t xml:space="preserve">НАП. Шина 450. G4000.  </t>
  </si>
  <si>
    <t xml:space="preserve">НАП. Шина 670. G5000. </t>
  </si>
  <si>
    <t xml:space="preserve">НАП. Шина 760. GF5000.  </t>
  </si>
  <si>
    <t xml:space="preserve">НАП. Шина 790. G6300.  </t>
  </si>
  <si>
    <t xml:space="preserve">НАП. Шина 880. GF6300. </t>
  </si>
  <si>
    <t xml:space="preserve">НАП. Шина 80. G800. </t>
  </si>
  <si>
    <t xml:space="preserve">НАП. Шина 120. GF до 400. </t>
  </si>
  <si>
    <t xml:space="preserve">НАП. Шина 190. GF1000. </t>
  </si>
  <si>
    <t xml:space="preserve">НАП. Шина 200. G2000. </t>
  </si>
  <si>
    <t xml:space="preserve">НАП. Шина 220. GF1250. </t>
  </si>
  <si>
    <t xml:space="preserve">НАП. Шина 250. GF1600. </t>
  </si>
  <si>
    <t xml:space="preserve">НАП. Шина 290. GF2000. </t>
  </si>
  <si>
    <t xml:space="preserve">НАП. Шина 310. G2500. </t>
  </si>
  <si>
    <t xml:space="preserve">НАП. Шина 400. GF2500.  </t>
  </si>
  <si>
    <t xml:space="preserve">НАП. Шина 462. GF3200.  </t>
  </si>
  <si>
    <t>НАП. Шина 540. GF4000.</t>
  </si>
  <si>
    <t xml:space="preserve">НАП. Шина 130. G1250.  </t>
  </si>
  <si>
    <t>JPSK  Написание программы, проколка и резка переходных пластин 8-16 отв, обработка, правка, зенковка.</t>
  </si>
  <si>
    <t>Зачистка, опрессовка и маркировка трансорматоров тока (2 провода)</t>
  </si>
  <si>
    <r>
      <rPr>
        <b/>
        <sz val="14"/>
        <rFont val="Times New Roman"/>
        <family val="1"/>
        <charset val="204"/>
      </rPr>
      <t>ПФЛ-1,2. ATSC. 100-800 А.</t>
    </r>
    <r>
      <rPr>
        <sz val="12"/>
        <rFont val="Times New Roman"/>
        <family val="1"/>
        <charset val="204"/>
      </rPr>
      <t xml:space="preserve"> Сборка  секции ЛШП: сборка корпуса и пакета шин, выравнивание, установка шин в корпус, монтаж комплекта временной оснастки (стяжки, изоляторы, заглушки, перемычки). </t>
    </r>
  </si>
  <si>
    <r>
      <rPr>
        <b/>
        <sz val="12"/>
        <rFont val="Times New Roman"/>
        <family val="1"/>
        <charset val="204"/>
      </rPr>
      <t>ПФЛ-2. ZD.</t>
    </r>
    <r>
      <rPr>
        <sz val="12"/>
        <rFont val="Times New Roman"/>
        <family val="1"/>
        <charset val="204"/>
      </rPr>
      <t xml:space="preserve"> 100-800 А. Сборка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</si>
  <si>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2"/>
        <rFont val="Times New Roman"/>
        <family val="1"/>
        <charset val="204"/>
      </rPr>
      <t>ПФЛ-2. CP. 100-800 А.</t>
    </r>
    <r>
      <rPr>
        <sz val="12"/>
        <rFont val="Times New Roman"/>
        <family val="1"/>
        <charset val="204"/>
      </rPr>
      <t xml:space="preserve"> Сборка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</si>
  <si>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2"/>
        <rFont val="Times New Roman"/>
        <family val="1"/>
        <charset val="204"/>
      </rPr>
      <t>ПФЛ-2. ZP. 100-800 А.</t>
    </r>
    <r>
      <rPr>
        <sz val="12"/>
        <rFont val="Times New Roman"/>
        <family val="1"/>
        <charset val="204"/>
      </rPr>
      <t xml:space="preserve"> Сборка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</si>
  <si>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2"/>
        <rFont val="Times New Roman"/>
        <family val="1"/>
        <charset val="204"/>
      </rPr>
      <t>ПФЛ-2.CD. 1000-2000 А.</t>
    </r>
    <r>
      <rPr>
        <sz val="12"/>
        <rFont val="Times New Roman"/>
        <family val="1"/>
        <charset val="204"/>
      </rPr>
      <t xml:space="preserve"> Сборка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</si>
  <si>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2"/>
        <rFont val="Times New Roman"/>
        <family val="1"/>
        <charset val="204"/>
      </rPr>
      <t>ПФЛ-2. ZD. 1000-2000 А.</t>
    </r>
    <r>
      <rPr>
        <sz val="12"/>
        <rFont val="Times New Roman"/>
        <family val="1"/>
        <charset val="204"/>
      </rPr>
      <t xml:space="preserve"> Сборка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</si>
  <si>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2"/>
        <rFont val="Times New Roman"/>
        <family val="1"/>
        <charset val="204"/>
      </rPr>
      <t>ПФЛ-2. ZP. 1000-2000 А.</t>
    </r>
    <r>
      <rPr>
        <sz val="12"/>
        <rFont val="Times New Roman"/>
        <family val="1"/>
        <charset val="204"/>
      </rPr>
      <t xml:space="preserve"> Сборка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</si>
  <si>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2"/>
        <rFont val="Times New Roman"/>
        <family val="1"/>
        <charset val="204"/>
      </rPr>
      <t>ПФЛ-2.CP. 1000-2000 А.</t>
    </r>
    <r>
      <rPr>
        <sz val="12"/>
        <rFont val="Times New Roman"/>
        <family val="1"/>
        <charset val="204"/>
      </rPr>
      <t xml:space="preserve"> Сборка секции ЛШП, сборка пакета шин, выравнивание, установка в корпус, монтаж комплекта временной оснастки (стяжки, изоляторы, заглушки). </t>
    </r>
  </si>
  <si>
    <r>
      <rPr>
        <b/>
        <sz val="14"/>
        <rFont val="Times New Roman"/>
        <family val="1"/>
        <charset val="204"/>
      </rPr>
      <t>ПФЛ-1,2. ATSC. 1000-2000 А.</t>
    </r>
    <r>
      <rPr>
        <sz val="12"/>
        <rFont val="Times New Roman"/>
        <family val="1"/>
        <charset val="204"/>
      </rPr>
      <t xml:space="preserve"> Сборка  секции ЛШП: сборка корпуса и пакета шин, выравнивание, установка шин в корпус, монтаж комплекта временной оснастки (стяжки, изоляторы, заглушки, перемычки). </t>
    </r>
  </si>
  <si>
    <r>
      <rPr>
        <b/>
        <sz val="14"/>
        <rFont val="Times New Roman"/>
        <family val="1"/>
        <charset val="204"/>
      </rPr>
      <t>ПФЛ-1,2. ATSC. 2500-4000 А.</t>
    </r>
    <r>
      <rPr>
        <sz val="12"/>
        <rFont val="Times New Roman"/>
        <family val="1"/>
        <charset val="204"/>
      </rPr>
      <t xml:space="preserve"> Сборка  секции ЛШП: сборка корпуса и пакета шин, выравнивание, установка шин в корпус, монтаж комплекта временной оснастки (стяжки, изоляторы, заглушки, перемычки). </t>
    </r>
  </si>
  <si>
    <r>
      <rPr>
        <b/>
        <sz val="14"/>
        <rFont val="Times New Roman"/>
        <family val="1"/>
        <charset val="204"/>
      </rPr>
      <t>ПФЛ-1,2. ATSC. 5000-6300 А.</t>
    </r>
    <r>
      <rPr>
        <sz val="12"/>
        <rFont val="Times New Roman"/>
        <family val="1"/>
        <charset val="204"/>
      </rPr>
      <t xml:space="preserve"> Сборка  секции ЛШП: сборка корпуса и пакета шин, выравнивание, установка шин в корпус, монтаж комплекта временной оснастки (стяжки, изоляторы, заглушки, перемычки). </t>
    </r>
  </si>
  <si>
    <t>JPSK. Шина 30. G до 400. Проколка и резка шин для стыков длиной, зенковка, правка, торцевание. 1 отв.</t>
  </si>
  <si>
    <t>JPSK. Шина 65. G630.  Проколка и резка шин для стыков длиной, зенковка, правка, торцевание. 1 отв.</t>
  </si>
  <si>
    <t>JPSK. Шина 80. G800.  Проколка и резка шин для стыков длиной, зенковка, правка, торцевание. 1 отв.</t>
  </si>
  <si>
    <t>JPSK. Шина 100. G1000.  Проколка и резка шин для стыков длиной, зенковка, правка, торцевание. 1 отв.</t>
  </si>
  <si>
    <t>JPSK. Шина 120. GF до 400. Проколка и резка шин для стыков длиной, зенковка, правка, торцевание. 2 отв.</t>
  </si>
  <si>
    <t>JPSK. Шина 130. G1250. Проколка и резка шин для стыков длиной, зенковка, правка, торцевание. 2 отв.</t>
  </si>
  <si>
    <t>JPSK. Шина 140. GF630.  Проколка и резка шин для стыков длиной, зенковка, правка, торцевание. 2 отв.</t>
  </si>
  <si>
    <t>JPSK. Шина 155. GF800.  Проколка и резка шин для стыков длиной, зенковка, правка, торцевание. 2 отв.</t>
  </si>
  <si>
    <t>JPSK. Шина 160. G1600.  Проколка и резка шин для стыков длиной, зенковка, правка, торцевание. 2 отв.</t>
  </si>
  <si>
    <t>JPSK. Шина 190. GF1000.  Проколка и резка шин для стыков длиной, зенковка, правка, торцевание. 2 отв.</t>
  </si>
  <si>
    <t>JPSK. Шина 200. G2000.  Проколка и резка шин для стыков длиной, зенковка, правка, торцевание. 3 отв.</t>
  </si>
  <si>
    <t>JPSK. Шина 220. GF1250.  Проколка и резка шин для стыков длиной, зенковка, правка, торцевание. 2 отв.</t>
  </si>
  <si>
    <t>JPSK. Шина 250. GF1600.  Проколка и резка шин для стыков длиной, зенковка, правка, торцевание. 3 отв.</t>
  </si>
  <si>
    <t>JPSK. Шина 290. GF2000.  Проколка и резка шин для стыков длиной, зенковка, правка, торцевание. 4 отв.</t>
  </si>
  <si>
    <t>JPSK. Шина 310. G2500.  Проколка и резка шин для стыков длиной, зенковка, правка, торцевание. 4 отв.</t>
  </si>
  <si>
    <t>JPSK. Шина 370. G3200.  Проколка и резка шин для стыков длиной, зенковка, правка, торцевание. 4 отв.</t>
  </si>
  <si>
    <t>JPSK. Шина 400. GF2500.  Проколка и резка шин для стыков длиной, зенковка, правка, торцевание. 5 отв.</t>
  </si>
  <si>
    <t>JPSK. Шина 450. G4000.  Проколка и резка шин для стыков длиной, зенковка, правка, торцевание. 6 отв.</t>
  </si>
  <si>
    <t>JPSK. Шина 462. GF32000.  Проколка и резка шин для стыков длиной, зенковка, правка, торцевание. 5 отв.</t>
  </si>
  <si>
    <t>JPSK. Шина 540. GF4000.  Проколка и резка шин для стыков длиной, зенковка, правка, торцевание. 7 отв.</t>
  </si>
  <si>
    <t>JPSK. Шина 670. G5000.  Проколка и резка шин для стыков длиной, зенковка, правка, торцевание. 8 отв.</t>
  </si>
  <si>
    <t>JPSK. Шина 760. GF5000.  Проколка и резка шин для стыков длиной, зенковка, правка, торцевание. 9 отв.</t>
  </si>
  <si>
    <t>JPSK. Шина 790. G6300.  Проколка и резка шин для стыков длиной, зенковка, правка, торцевание. 8 отв.</t>
  </si>
  <si>
    <t>JPSK. Шина 880. GF6300.  Проколка и резка шин для стыков длиной, зенковка, правка, торцевание. 9 отв.</t>
  </si>
  <si>
    <t>Сверление  2-х  отверстий в соединительных брусках.  Шаблон на 10 гнезд.</t>
  </si>
  <si>
    <t xml:space="preserve">Напыление ошиновки для контактных групп ЯОМ (1 сторна), более 350 мм в длину, (разметка, чертеж).   </t>
  </si>
  <si>
    <t xml:space="preserve">Напыление шин для контактных групп ЯОМ (1 сторна), до 350 мм в длину. (разметка, чертеж).      </t>
  </si>
  <si>
    <r>
      <t>Производство стандартных конвертов из пленки толщиной</t>
    </r>
    <r>
      <rPr>
        <b/>
        <sz val="16"/>
        <color theme="1"/>
        <rFont val="Times New Roman"/>
        <family val="1"/>
        <charset val="204"/>
      </rPr>
      <t xml:space="preserve"> 175</t>
    </r>
    <r>
      <rPr>
        <sz val="12"/>
        <color theme="1"/>
        <rFont val="Times New Roman"/>
        <family val="1"/>
        <charset val="204"/>
      </rPr>
      <t xml:space="preserve"> мк, смена рулонов, контроль параметров, уборка.</t>
    </r>
  </si>
  <si>
    <r>
      <t>Производство стандартных конвертов из пленки толщиной</t>
    </r>
    <r>
      <rPr>
        <b/>
        <sz val="16"/>
        <color theme="1"/>
        <rFont val="Times New Roman"/>
        <family val="1"/>
        <charset val="204"/>
      </rPr>
      <t xml:space="preserve"> 125</t>
    </r>
    <r>
      <rPr>
        <sz val="12"/>
        <color theme="1"/>
        <rFont val="Times New Roman"/>
        <family val="1"/>
        <charset val="204"/>
      </rPr>
      <t xml:space="preserve"> мк, смена рулонов, контроль параметров, уборка.</t>
    </r>
  </si>
  <si>
    <r>
      <t xml:space="preserve">Производство стандартных конвертов из пленки толщиной </t>
    </r>
    <r>
      <rPr>
        <b/>
        <sz val="16"/>
        <color theme="1"/>
        <rFont val="Times New Roman"/>
        <family val="1"/>
        <charset val="204"/>
      </rPr>
      <t>250</t>
    </r>
    <r>
      <rPr>
        <sz val="12"/>
        <color theme="1"/>
        <rFont val="Times New Roman"/>
        <family val="1"/>
        <charset val="204"/>
      </rPr>
      <t xml:space="preserve"> мк, смена рулонов, контроль параметров, уборка.</t>
    </r>
  </si>
  <si>
    <t>Установка пары комплектующих: хлебница-PE на крашеный корпус РШП 4P (зачистка конт. зон., монтаж). 4 шт на секцию.</t>
  </si>
  <si>
    <t>Изготовление вставок и соединителей для многопакетных секций ЛШП.</t>
  </si>
  <si>
    <t>ПС Al CD до 1250А. Полная сборка горизонтального угла. Вставки, PE, клинчинг.</t>
  </si>
  <si>
    <t>ПС Cu CD до 1250А. Полная сборка горизонтального угла. Вставки, PE, клинчинг.</t>
  </si>
  <si>
    <t>ПС Cu ZP(PP) до 1250А. Полная сборка вертикальнй Z секции. Вставки, PE, клинчинг.</t>
  </si>
  <si>
    <t>Напыление шин для стыков V3 (2 контактные зоны по 30 мм)</t>
  </si>
  <si>
    <t>Полная сборка многопакетных Al непрямых секций V3, с учетом соединения пакетов шин.</t>
  </si>
  <si>
    <t>ПС Al CD до 2500А. Полная сборка горизонтального угла. Вставки, PE, клинчинг, соединение пакетов.</t>
  </si>
  <si>
    <t>ПС Al CD до 3200А. Полная сборка горизонтального угла. Вставки, PE, клинчинг, соединение пакетов.</t>
  </si>
  <si>
    <t>ПС Al CD до 4000А. Полная сборка горизонтального угла. Вставки, PE, клинчинг, соединение пакетов.</t>
  </si>
  <si>
    <t>ПС Al CD до 5000А. Полная сборка горизонтального угла. Вставки, PE, клинчинг, соединение пакетов.</t>
  </si>
  <si>
    <t>ПС Al CD до 6300А. Полная сборка горизонтального угла. Вставки, PE, клинчинг, соединение пакетов.</t>
  </si>
  <si>
    <t>Полная сборка многопакетных Cu непрямых секций V3, с учетом соединения пакетов шин.</t>
  </si>
  <si>
    <t>ПС Cu CD до 2500А. Полная сборка горизонтального угла. Вставки, PE, клинчинг, соединение пакетов.</t>
  </si>
  <si>
    <t>ПС Cu CD до 3200А. Полная сборка горизонтального угла. Вставки, PE, клинчинг, соединение пакетов.</t>
  </si>
  <si>
    <t>ПС Cu CD до 4000А. Полная сборка горизонтального угла. Вставки, PE, клинчинг, соединение пакетов.</t>
  </si>
  <si>
    <t>ПС Cu CD до 5000А. Полная сборка горизонтального угла. Вставки, PE, клинчинг, соединение пакетов.</t>
  </si>
  <si>
    <t>ПС Cu CD до 6300А. Полная сборка горизонтального угла. Вставки, PE, клинчинг, соединение пакетов.</t>
  </si>
  <si>
    <t>ПС Cu CD до 800А. Полная сборка горизонтального угла. Вставки, PE, клинчинг.</t>
  </si>
  <si>
    <t>ПС Cu CD до 1000А. Полная сборка горизонтального угла. Вставки, PE, клинчинг.</t>
  </si>
  <si>
    <t>ПС Cu CD 1600А. Полная сборка горизонтального угла. Вставки, PE, клинчинг.</t>
  </si>
  <si>
    <t>ПС Cu CD 2000А. Полная сборка горизонтального угла. Вставки, PE, клинчинг.</t>
  </si>
  <si>
    <t>ПС Cu ZD(PD) до 800А. Полная сборка горизонтальной Z секции. Вставки, PE, клинчинг.</t>
  </si>
  <si>
    <t>ПС Cu ZD (PD) 1600А. Полная сборка горизонтальной Z секции. Вставки, PE, клинчинг.</t>
  </si>
  <si>
    <t>ПС Cu ZD (PD) 2000А. Полная сборка горизонтальной Z секции. Вставки, PE, клинчинг.</t>
  </si>
  <si>
    <t>ПС Cu CP до 800А. Полная сборка вертикального угла. Вставки, PE, клинчинг.</t>
  </si>
  <si>
    <t>ПС Cu CP 1600А. Полная сборка вертикального угла. Вставки, PE, клинчинг.</t>
  </si>
  <si>
    <t>ПС Cu CP 2000А. Полная сборка вертикального угла. Вставки, PE, клинчинг.</t>
  </si>
  <si>
    <t>ПС Cu ZP(PP) до 800А. Полная сборка вертикальнй Z секции. Вставки, PE, клинчинг.</t>
  </si>
  <si>
    <t>ПС Cu ZP(PP) до 1000А. Полная сборка вертикальнй Z секции. Вставки, PE, клинчинг.</t>
  </si>
  <si>
    <t>ПС Cu ZP (PP) 1600А. Полная сборка вертикальной Z секции. Вставки, PE, клинчинг.</t>
  </si>
  <si>
    <t>ПС Cu ZP (PP) 2000А. Полная сборка вертикальной Z секции. Вставки, PE, клинчинг.</t>
  </si>
  <si>
    <t>ПС Al ATSC  5000А. Полная сборка термин. секции. Монтаж фл. комплекта (скобы,фланец, шпильки, трубочки).</t>
  </si>
  <si>
    <t>ПС Al ATSC 2500. Полная сборка термин. секции. Монтаж фл. комплекта (скобы,фланец, шпильки, трубочки).</t>
  </si>
  <si>
    <t>ПС Al ATSC  3200А. Полная сборка термин. секции. Монтаж фл. комплекта (скобы,фланец, шпильки, трубочки).</t>
  </si>
  <si>
    <t>ПС Al ATSC 4000А. Полная сборка термин. секции. Монтаж фл. комплекта (скобы,фланец, шпильки, трубочки).</t>
  </si>
  <si>
    <t>ПС Al ATSC  6300А. Полная сборка термин. секции. Монтаж фл. комплекта (скобы,фланец, шпильки, трубочки).</t>
  </si>
  <si>
    <t>ПС Cu ATSC 2500. Полная сборка термин. секции. Монтаж фл. комплекта (скобы,фланец, шпильки, трубочки).</t>
  </si>
  <si>
    <t>ПС Cu ATSC  3200А. Полная сборка термин. секции. Монтаж фл. комплекта (скобы,фланец, шпильки, трубочки).</t>
  </si>
  <si>
    <t>ПС Cu ATSC 4000А. Полная сборка термин. секции. Монтаж фл. комплекта (скобы,фланец, шпильки, трубочки).</t>
  </si>
  <si>
    <t>ПС Cu ATSC  5000А. Полная сборка термин. секции. Монтаж фл. комплекта (скобы,фланец, шпильки, трубочки).</t>
  </si>
  <si>
    <t>ПС Cu ATSC  6300А. Полная сборка термин. секции. Монтаж фл. комплекта (скобы,фланец, шпильки, трубочки).</t>
  </si>
  <si>
    <t>Полная сборка однопакетных Cu непрямых секций V3, c учетом ручной пуклевки, установки вставок и PE.</t>
  </si>
  <si>
    <t>Полная сборка однопакетных Al непрямых секций V3, c учетом руч. пуклевки, установки вставок и PE.</t>
  </si>
  <si>
    <t>ПС Al ZD(PD) до 2500А. Полная сборка горизонтальной Z секции. Вставки, PE, клинчинг, соединение пакетов.</t>
  </si>
  <si>
    <t>ПС Al ZD(PD) до 3200А. Полная сборка горизонтальной Z секции. Вставки, PE, клинчинг, соединение пакетов.</t>
  </si>
  <si>
    <t>ПС Al ZD(PD) до 4000А. Полная сборка горизонтальной Z секции. Вставки, PE, клинчинг, соединение пакетов.</t>
  </si>
  <si>
    <t>ПС Al ZD(PD) до 5000А. Полная сборка горизонтальной Z секции. Вставки, PE, клинчинг, соединение пакетов.</t>
  </si>
  <si>
    <t>ПС Al ZD(PD) до 6300А. Полная сборка горизонтальной Z секции. Вставки, PE, клинчинг, соединение пакетов.</t>
  </si>
  <si>
    <t>ПС Al CP до 2500А. Полная сборка вертикального угла. Вставки, PE, клинчинг, соединение пакетов.</t>
  </si>
  <si>
    <t>ПС Al CP до 3200А. Полная сборка вертикального угла. Вставки, PE, клинчинг, соединение пакетов.</t>
  </si>
  <si>
    <t>ПС Al CP до 5000А. Полная сборка вертикального угла. Вставки, PE, клинчинг, соединение пакетов.</t>
  </si>
  <si>
    <t>ПС Al CP до 6300А. Полная сборка вертикального угла. Вставки, PE, клинчинг, соединение пакетов.</t>
  </si>
  <si>
    <t>ПС Cu ATSC  до 800А. Полная сборка терминальной секции. Монтаж фл. комплекта (скобы,фланец, шпильки, трубочки).</t>
  </si>
  <si>
    <t>ПС Cu ATSC 1600А. Полная сборка терминальной секции. Монтаж фл. (скобы,фланец, шпильки, трубочки).</t>
  </si>
  <si>
    <t>ПС Cu ATSC 2000А. Полная сборка терминальной секции. Монтаж фл. (скобы,фланец, шпильки, трубочки).</t>
  </si>
  <si>
    <t>ПС Al CD до 800А. Полная сборка горизонтального угла. Вставки, PE, клинчинг.</t>
  </si>
  <si>
    <t>ПС Al CD до 1000А. Полная сборка горизонтального угла. Вставки, PE, клинчинг.</t>
  </si>
  <si>
    <t>ПС Al CD 1600А. Полная сборка горизонтального угла. Вставки, PE, клинчинг.</t>
  </si>
  <si>
    <t>ПС Al CD 2000А. Полная сборка горизонтального угла. Вставки, PE, клинчинг.</t>
  </si>
  <si>
    <t>ПС Al ZD(PD) до 800А. Полная сборка горизонтальной Z секции. Вставки, PE, клинчинг.</t>
  </si>
  <si>
    <t>ПС Al ZD (PD) 1600А. Полная сборка горизонтальной Z секции. Вставки, PE, клинчинг.</t>
  </si>
  <si>
    <t>ПС Al ZD (PD) 2000А. Полная сборка горизонтальной Z секции. Вставки, PE, клинчинг.</t>
  </si>
  <si>
    <t>ПС Al CP до 800А. Полная сборка вертикального угла. Вставки, PE, клинчинг.</t>
  </si>
  <si>
    <t>ПС Al CP 1600А. Полная сборка вертикального угла. Вставки, PE, клинчинг.</t>
  </si>
  <si>
    <t>ПС Al CP 2000А. Полная сборка вертикального угла. Вставки, PE, клинчинг.</t>
  </si>
  <si>
    <t>ПС Al ZP(PP) до 800А. Полная сборка вертикальной Z секции. Вставки, PE, клинчинг.</t>
  </si>
  <si>
    <t>ПС Al ZP (PP) 1600А. Полная сборка вертикальной Z секции. Вставки, PE, клинчинг.</t>
  </si>
  <si>
    <t>ПС Al ZP (PP) 2000А. Полная сборка вертикальной Z секции. Вставки, PE, клинчинг.</t>
  </si>
  <si>
    <t>ПС Al ATSC  до 800А. Полная сборка терминальной секции. Монтаж фл. комплекта (скобы,фланец, шпильки, трубочки).</t>
  </si>
  <si>
    <t>ПС Al ATSC 1600А. Полная сборка терминальной секции. Монтаж фл. (скобы,фланец, шпильки, трубочки).</t>
  </si>
  <si>
    <t>ПС Al ATSC 2000А. Полная сборка терминальной секции. Монтаж фл. (скобы,фланец, шпильки, трубочки).</t>
  </si>
  <si>
    <t>ПС Al CP до 4000А. Полная сборка вертикального угла. Вставки, PE, клинчинг, соединение пакетов.</t>
  </si>
  <si>
    <t>40221</t>
  </si>
  <si>
    <t>40222</t>
  </si>
  <si>
    <t>40241</t>
  </si>
  <si>
    <t>40242</t>
  </si>
  <si>
    <t>40251</t>
  </si>
  <si>
    <t>40252</t>
  </si>
  <si>
    <t>40253</t>
  </si>
  <si>
    <t>ГШП 2.5.2. Лужение контактных площадок на косичке (ГШП), сечением больше 1000 кв. мм. (длиной до 850 мм)</t>
  </si>
  <si>
    <t>ГШП 2.5.3. Лужение контактных площадок на косичке (ГШП), сечением больше 1000 кв. мм. (длиной от 850 мм)</t>
  </si>
  <si>
    <t>40031</t>
  </si>
  <si>
    <t>40032</t>
  </si>
  <si>
    <t>40091</t>
  </si>
  <si>
    <t>40101</t>
  </si>
  <si>
    <t>40102</t>
  </si>
  <si>
    <t>Дополнительная очистка и обезжиривание (ветошь, бензин) стандартных боковин от масла, СОЖ, пыли и стружки, после пилы перед сборкой на автоматической линии.</t>
  </si>
  <si>
    <r>
      <rPr>
        <b/>
        <sz val="16"/>
        <rFont val="Times New Roman"/>
        <family val="1"/>
        <charset val="204"/>
      </rPr>
      <t>ИЗ.Al. ATT-С  200-400.</t>
    </r>
    <r>
      <rPr>
        <sz val="16"/>
        <rFont val="Times New Roman"/>
        <family val="1"/>
        <charset val="204"/>
      </rPr>
      <t xml:space="preserve"> Изолирование шин из листа шириной от 200 до 400 мм для ATT, АTCP, ATCD или с гибами на основной части</t>
    </r>
  </si>
  <si>
    <r>
      <rPr>
        <b/>
        <sz val="16"/>
        <rFont val="Times New Roman"/>
        <family val="1"/>
        <charset val="204"/>
      </rPr>
      <t>ИЗ.Al. ATT-С от 401.</t>
    </r>
    <r>
      <rPr>
        <sz val="16"/>
        <rFont val="Times New Roman"/>
        <family val="1"/>
        <charset val="204"/>
      </rPr>
      <t xml:space="preserve">  Изолирование шин из листа шириной от 401 мм для ATT, АTCP, ATCD или с гибами на основной части</t>
    </r>
  </si>
  <si>
    <r>
      <rPr>
        <b/>
        <sz val="16"/>
        <rFont val="Times New Roman"/>
        <family val="1"/>
        <charset val="204"/>
      </rPr>
      <t>ИЗ.Cu. ATT-С до 200.</t>
    </r>
    <r>
      <rPr>
        <sz val="16"/>
        <rFont val="Times New Roman"/>
        <family val="1"/>
        <charset val="204"/>
      </rPr>
      <t xml:space="preserve"> Изолирование шин до 200 мм для ATT, АTCP, ATCD или с гибами на основной части</t>
    </r>
  </si>
  <si>
    <r>
      <rPr>
        <b/>
        <sz val="14"/>
        <rFont val="Times New Roman"/>
        <family val="1"/>
        <charset val="204"/>
      </rPr>
      <t>ИЗ.Cu. ATT-С  200-400.</t>
    </r>
    <r>
      <rPr>
        <sz val="14"/>
        <rFont val="Times New Roman"/>
        <family val="1"/>
        <charset val="204"/>
      </rPr>
      <t xml:space="preserve"> Из-ние шин из листа шириной от 200 до 400 мм для ATT, АTCP, ATCD или с гибами на основной части</t>
    </r>
  </si>
  <si>
    <r>
      <rPr>
        <b/>
        <sz val="14"/>
        <rFont val="Times New Roman"/>
        <family val="1"/>
        <charset val="204"/>
      </rPr>
      <t>ИЗ.Cu. ATT-С от 401.</t>
    </r>
    <r>
      <rPr>
        <sz val="14"/>
        <rFont val="Times New Roman"/>
        <family val="1"/>
        <charset val="204"/>
      </rPr>
      <t xml:space="preserve">  Изолирование шин из листа шириной от 401 мм для ATT, АTCP, ATCD или с гибами на основной части</t>
    </r>
  </si>
  <si>
    <r>
      <rPr>
        <b/>
        <sz val="16"/>
        <rFont val="Times New Roman"/>
        <family val="1"/>
        <charset val="204"/>
      </rPr>
      <t>ИЗ.Al. TRP до 200.</t>
    </r>
    <r>
      <rPr>
        <sz val="16"/>
        <rFont val="Times New Roman"/>
        <family val="1"/>
        <charset val="204"/>
      </rPr>
      <t xml:space="preserve"> Изолирование шин для модуля транспозиции фаз</t>
    </r>
  </si>
  <si>
    <r>
      <rPr>
        <b/>
        <sz val="16"/>
        <rFont val="Times New Roman"/>
        <family val="1"/>
        <charset val="204"/>
      </rPr>
      <t>ИЗ.Cu. TRP до 200.</t>
    </r>
    <r>
      <rPr>
        <sz val="16"/>
        <rFont val="Times New Roman"/>
        <family val="1"/>
        <charset val="204"/>
      </rPr>
      <t xml:space="preserve"> Изолирование шин для модуля транспозиции фаз</t>
    </r>
  </si>
  <si>
    <t>Клинчинг секции V конструктива (2 крышки) на полуавтоматической линии: Транспортировка от сборочного стола, установка на линию, 2-ух рядная пуклевка, снятие и транспортировка к сборочному столу. Шаг пуклевки 110-130 мм.  (секция 3000 = 6 м пуклевки)</t>
  </si>
  <si>
    <t>Клинчинг секции V конструктива (2 крышки) на полуавтоматической линии: Транспортировка от сборочного стола, установка на линию, 2-ух рядная пуклевка, снятие и транспортировка к сборочному столу. Шаг пуклевки 200-260 мм.  (секция 3000 = 6 м пуклевки)</t>
  </si>
  <si>
    <t xml:space="preserve">Полуавтоматичский и ручной клинчинг </t>
  </si>
  <si>
    <t>Изолировка Al шин для прямых секций, с учетом резки конвертов в размер. Подготовка шин включает, обезжиривание и очистку посредством ветоши и бензина. Время учтено в норме на изолировку.</t>
  </si>
  <si>
    <t>Изолировка Al  подготовленных шин для непрямых секций и дополнительных комплектующих.</t>
  </si>
  <si>
    <t>Изолировка Cu подготовленных шин для непрямых секций и дополнительных комплектующих.</t>
  </si>
  <si>
    <r>
      <rPr>
        <b/>
        <sz val="14"/>
        <rFont val="Times New Roman"/>
        <family val="1"/>
        <charset val="204"/>
      </rPr>
      <t>ИЗ.Al. ATT-С до 200.</t>
    </r>
    <r>
      <rPr>
        <sz val="14"/>
        <rFont val="Times New Roman"/>
        <family val="1"/>
        <charset val="204"/>
      </rPr>
      <t xml:space="preserve"> Изолирование шин до 200 мм для ATT, АTCP, ATCD или с гибами на основной части</t>
    </r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</si>
  <si>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</si>
  <si>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</si>
  <si>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</si>
  <si>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</si>
  <si>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</si>
  <si>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</si>
  <si>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</si>
  <si>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</si>
  <si>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</si>
  <si>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</si>
  <si>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</si>
  <si>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</si>
  <si>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</si>
  <si>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</si>
  <si>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Простой, по причине механических поломок, ремонта.</t>
  </si>
  <si>
    <r>
      <rPr>
        <b/>
        <sz val="16"/>
        <rFont val="Times New Roman"/>
        <family val="1"/>
        <charset val="204"/>
      </rPr>
      <t>ARM. ПС. FE 2000А.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 Полная сборка: клепание, монтаж вставок и ушей, упаковка и снятие секции 2000А.</t>
    </r>
  </si>
  <si>
    <t>00500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</si>
  <si>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</si>
  <si>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</si>
  <si>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</si>
  <si>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</si>
  <si>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</si>
  <si>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</si>
  <si>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</si>
  <si>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</si>
  <si>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</si>
  <si>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</si>
  <si>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</si>
  <si>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</si>
  <si>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</si>
  <si>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</si>
  <si>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</si>
  <si>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</si>
  <si>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</si>
  <si>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</si>
  <si>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</si>
  <si>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</si>
  <si>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</si>
  <si>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</si>
  <si>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</si>
  <si>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</si>
  <si>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</si>
  <si>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</si>
  <si>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</si>
  <si>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</si>
  <si>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</si>
  <si>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</si>
  <si>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</si>
  <si>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</si>
  <si>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</si>
  <si>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</si>
  <si>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</si>
  <si>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</si>
  <si>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</si>
  <si>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</si>
  <si>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</si>
  <si>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</si>
  <si>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</si>
  <si>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</si>
  <si>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</si>
  <si>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</si>
  <si>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</si>
  <si>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</si>
  <si>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</si>
  <si>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</si>
  <si>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</si>
  <si>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</si>
  <si>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</si>
  <si>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</si>
  <si>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</si>
  <si>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</si>
  <si>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</si>
  <si>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</si>
  <si>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</si>
  <si>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</si>
  <si>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</si>
  <si>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</si>
  <si>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</si>
  <si>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</si>
  <si>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</si>
  <si>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</si>
  <si>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</si>
  <si>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</si>
  <si>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</si>
  <si>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</si>
  <si>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</si>
  <si>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</si>
  <si>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</si>
  <si>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</si>
  <si>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</si>
  <si>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</si>
  <si>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</si>
  <si>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</si>
  <si>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</si>
  <si>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</si>
  <si>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</si>
  <si>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</si>
  <si>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</si>
  <si>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</si>
  <si>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</si>
  <si>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</si>
  <si>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</si>
  <si>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</si>
  <si>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</si>
  <si>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</si>
  <si>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</si>
  <si>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</si>
  <si>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</si>
  <si>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</si>
  <si>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</si>
  <si>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</si>
  <si>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</si>
  <si>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</si>
  <si>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</si>
  <si>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</si>
  <si>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</si>
  <si>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</si>
  <si>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</si>
  <si>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</si>
  <si>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</si>
  <si>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</si>
  <si>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</si>
  <si>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</si>
  <si>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</si>
  <si>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</si>
  <si>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</si>
  <si>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</si>
  <si>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</si>
  <si>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</si>
  <si>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</si>
  <si>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</si>
  <si>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</si>
  <si>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</si>
  <si>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</si>
  <si>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</si>
  <si>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</si>
  <si>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</si>
  <si>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</si>
  <si>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</si>
  <si>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</si>
  <si>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</si>
  <si>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</si>
  <si>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</si>
  <si>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</si>
  <si>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</si>
  <si>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</si>
  <si>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</si>
  <si>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</si>
  <si>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</si>
  <si>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</si>
  <si>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</si>
  <si>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</si>
  <si>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</si>
  <si>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</si>
  <si>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</si>
  <si>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</si>
  <si>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</si>
  <si>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</si>
  <si>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</si>
  <si>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</si>
  <si>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</si>
  <si>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</si>
  <si>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</si>
  <si>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</si>
  <si>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</si>
  <si>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</si>
  <si>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</si>
  <si>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</si>
  <si>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01000</t>
  </si>
  <si>
    <t>01001</t>
  </si>
  <si>
    <t>01002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</si>
  <si>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</si>
  <si>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</si>
  <si>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</si>
  <si>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</si>
  <si>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</si>
  <si>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</si>
  <si>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</si>
  <si>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</si>
  <si>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</si>
  <si>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</si>
  <si>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</si>
  <si>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</si>
  <si>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</si>
  <si>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</si>
  <si>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</si>
  <si>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</si>
  <si>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</si>
  <si>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</si>
  <si>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</si>
  <si>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</si>
  <si>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</si>
  <si>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01030</t>
  </si>
  <si>
    <t>01031</t>
  </si>
  <si>
    <t>01032</t>
  </si>
  <si>
    <t>01033</t>
  </si>
  <si>
    <t>01040</t>
  </si>
  <si>
    <t>01041</t>
  </si>
  <si>
    <t>01042</t>
  </si>
  <si>
    <t>01043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</si>
  <si>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</si>
  <si>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</si>
  <si>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</si>
  <si>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</si>
  <si>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</si>
  <si>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</si>
  <si>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</si>
  <si>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</si>
  <si>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</si>
  <si>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</si>
  <si>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</si>
  <si>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</si>
  <si>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</si>
  <si>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</si>
  <si>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</si>
  <si>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</si>
  <si>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</si>
  <si>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</si>
  <si>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</si>
  <si>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</si>
  <si>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</si>
  <si>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</si>
  <si>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</si>
  <si>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</si>
  <si>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</si>
  <si>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</si>
  <si>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</si>
  <si>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</si>
  <si>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</si>
  <si>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</si>
  <si>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</si>
  <si>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</si>
  <si>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</si>
  <si>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</si>
  <si>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01087</t>
  </si>
  <si>
    <t>01088</t>
  </si>
  <si>
    <t>01090</t>
  </si>
  <si>
    <t>01091</t>
  </si>
  <si>
    <t>01092</t>
  </si>
  <si>
    <t>01093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</si>
  <si>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</si>
  <si>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</si>
  <si>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</si>
  <si>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</si>
  <si>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</si>
  <si>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</si>
  <si>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</si>
  <si>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</si>
  <si>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</si>
  <si>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</si>
  <si>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</si>
  <si>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</si>
  <si>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</si>
  <si>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</si>
  <si>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</si>
  <si>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</si>
  <si>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</si>
  <si>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</si>
  <si>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</si>
  <si>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</si>
  <si>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</si>
  <si>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</si>
  <si>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</si>
  <si>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</si>
  <si>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</si>
  <si>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</si>
  <si>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</si>
  <si>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</si>
  <si>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</si>
  <si>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</si>
  <si>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</si>
  <si>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</si>
  <si>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</si>
  <si>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</si>
  <si>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</si>
  <si>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</si>
  <si>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</si>
  <si>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</si>
  <si>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</si>
  <si>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</si>
  <si>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</si>
  <si>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</si>
  <si>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</si>
  <si>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</si>
  <si>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</si>
  <si>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</si>
  <si>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</si>
  <si>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</si>
  <si>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</si>
  <si>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</si>
  <si>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</si>
  <si>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</si>
  <si>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</si>
  <si>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</si>
  <si>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</si>
  <si>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</si>
  <si>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</si>
  <si>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</si>
  <si>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</si>
  <si>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</si>
  <si>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</si>
  <si>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</si>
  <si>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</si>
  <si>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</si>
  <si>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</si>
  <si>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</si>
  <si>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</si>
  <si>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</si>
  <si>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</si>
  <si>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</si>
  <si>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01190</t>
  </si>
  <si>
    <t>01191</t>
  </si>
  <si>
    <t>01192</t>
  </si>
  <si>
    <t>01193</t>
  </si>
  <si>
    <t>01194</t>
  </si>
  <si>
    <t>01195</t>
  </si>
  <si>
    <t>01299</t>
  </si>
  <si>
    <t>01300</t>
  </si>
  <si>
    <t>01301</t>
  </si>
  <si>
    <t>01302</t>
  </si>
  <si>
    <t>01303</t>
  </si>
  <si>
    <t>01304</t>
  </si>
  <si>
    <t>01306</t>
  </si>
  <si>
    <t>01307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</si>
  <si>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</si>
  <si>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</si>
  <si>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</si>
  <si>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</si>
  <si>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</si>
  <si>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</si>
  <si>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</si>
  <si>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</si>
  <si>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</si>
  <si>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</si>
  <si>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</si>
  <si>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</si>
  <si>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</si>
  <si>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</si>
  <si>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</si>
  <si>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</si>
  <si>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</si>
  <si>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</si>
  <si>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</si>
  <si>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</si>
  <si>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</si>
  <si>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</si>
  <si>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</si>
  <si>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</si>
  <si>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</si>
  <si>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</si>
  <si>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</si>
  <si>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</si>
  <si>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</si>
  <si>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</si>
  <si>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</si>
  <si>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</si>
  <si>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</si>
  <si>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</si>
  <si>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</si>
  <si>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</si>
  <si>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</si>
  <si>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</si>
  <si>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</si>
  <si>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</si>
  <si>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</si>
  <si>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</si>
  <si>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</si>
  <si>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</si>
  <si>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</si>
  <si>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</si>
  <si>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</si>
  <si>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</si>
  <si>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</si>
  <si>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</si>
  <si>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</si>
  <si>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</si>
  <si>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</si>
  <si>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01422</t>
  </si>
  <si>
    <t>01423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</si>
  <si>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</si>
  <si>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</si>
  <si>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</si>
  <si>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</si>
  <si>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</si>
  <si>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</si>
  <si>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</si>
  <si>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</si>
  <si>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</si>
  <si>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</si>
  <si>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</si>
  <si>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</si>
  <si>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</si>
  <si>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</si>
  <si>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</si>
  <si>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</si>
  <si>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</si>
  <si>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</si>
  <si>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</si>
  <si>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</si>
  <si>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</si>
  <si>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</si>
  <si>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</si>
  <si>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01456</t>
  </si>
  <si>
    <t>01457</t>
  </si>
  <si>
    <t>01458</t>
  </si>
  <si>
    <t>01459</t>
  </si>
  <si>
    <t>01460</t>
  </si>
  <si>
    <t>01461</t>
  </si>
  <si>
    <t>01473</t>
  </si>
  <si>
    <t>01474</t>
  </si>
  <si>
    <t>01475</t>
  </si>
  <si>
    <t>01476</t>
  </si>
  <si>
    <t>01477</t>
  </si>
  <si>
    <t>01478</t>
  </si>
  <si>
    <t>01479</t>
  </si>
  <si>
    <t>01483</t>
  </si>
  <si>
    <t>01484</t>
  </si>
  <si>
    <t>01485</t>
  </si>
  <si>
    <t>01500</t>
  </si>
  <si>
    <t>01501</t>
  </si>
  <si>
    <t>01502</t>
  </si>
  <si>
    <t>01503</t>
  </si>
  <si>
    <t>01504</t>
  </si>
  <si>
    <t>01510</t>
  </si>
  <si>
    <t>01511</t>
  </si>
  <si>
    <t>01512</t>
  </si>
  <si>
    <t>01513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</si>
  <si>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</si>
  <si>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</si>
  <si>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</si>
  <si>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</si>
  <si>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</si>
  <si>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</si>
  <si>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</si>
  <si>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</si>
  <si>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</si>
  <si>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01527</t>
  </si>
  <si>
    <t>01538</t>
  </si>
  <si>
    <t>01539</t>
  </si>
  <si>
    <t>01540</t>
  </si>
  <si>
    <t>01541</t>
  </si>
  <si>
    <t>01550</t>
  </si>
  <si>
    <t>01551</t>
  </si>
  <si>
    <t>01552</t>
  </si>
  <si>
    <t>01553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</si>
  <si>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</si>
  <si>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</si>
  <si>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</si>
  <si>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</si>
  <si>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</si>
  <si>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</si>
  <si>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</si>
  <si>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</si>
  <si>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</si>
  <si>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</si>
  <si>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</si>
  <si>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</si>
  <si>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</si>
  <si>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</si>
  <si>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</si>
  <si>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</si>
  <si>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</si>
  <si>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</si>
  <si>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</si>
  <si>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</si>
  <si>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</si>
  <si>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</si>
  <si>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</si>
  <si>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</si>
  <si>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</si>
  <si>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</si>
  <si>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</si>
  <si>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</si>
  <si>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</si>
  <si>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</si>
  <si>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</si>
  <si>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</si>
  <si>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</si>
  <si>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</si>
  <si>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</si>
  <si>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</si>
  <si>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</si>
  <si>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</si>
  <si>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</si>
  <si>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</si>
  <si>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</si>
  <si>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</si>
  <si>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</si>
  <si>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</si>
  <si>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</si>
  <si>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</si>
  <si>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</si>
  <si>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</si>
  <si>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</si>
  <si>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</si>
  <si>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</si>
  <si>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</si>
  <si>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</si>
  <si>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</si>
  <si>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</si>
  <si>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</si>
  <si>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</si>
  <si>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</si>
  <si>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</si>
  <si>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</si>
  <si>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</si>
  <si>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</si>
  <si>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01650</t>
  </si>
  <si>
    <t>01651</t>
  </si>
  <si>
    <t>01652</t>
  </si>
  <si>
    <t>01653</t>
  </si>
  <si>
    <t>01670</t>
  </si>
  <si>
    <t>01671</t>
  </si>
  <si>
    <t>01680</t>
  </si>
  <si>
    <t>01681</t>
  </si>
  <si>
    <t>01682</t>
  </si>
  <si>
    <t>01683</t>
  </si>
  <si>
    <t>01690</t>
  </si>
  <si>
    <t>01691</t>
  </si>
  <si>
    <t>01692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</si>
  <si>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</si>
  <si>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</si>
  <si>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</si>
  <si>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</si>
  <si>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</si>
  <si>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</si>
  <si>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</si>
  <si>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</si>
  <si>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</si>
  <si>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</si>
  <si>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</si>
  <si>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</si>
  <si>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</si>
  <si>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</si>
  <si>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</si>
  <si>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</si>
  <si>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</si>
  <si>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</si>
  <si>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</si>
  <si>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</si>
  <si>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</si>
  <si>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01718</t>
  </si>
  <si>
    <t>01719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</si>
  <si>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</si>
  <si>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</si>
  <si>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</si>
  <si>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</si>
  <si>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</si>
  <si>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</si>
  <si>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</si>
  <si>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</si>
  <si>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</si>
  <si>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</si>
  <si>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</si>
  <si>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</si>
  <si>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</si>
  <si>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</si>
  <si>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</si>
  <si>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</si>
  <si>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</si>
  <si>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</si>
  <si>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</si>
  <si>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</si>
  <si>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01743</t>
  </si>
  <si>
    <t>01744</t>
  </si>
  <si>
    <t>01745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</si>
  <si>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</si>
  <si>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</si>
  <si>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</si>
  <si>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</si>
  <si>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</si>
  <si>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</si>
  <si>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</si>
  <si>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</si>
  <si>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</si>
  <si>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</si>
  <si>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</si>
  <si>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</si>
  <si>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</si>
  <si>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</si>
  <si>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</si>
  <si>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</si>
  <si>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</si>
  <si>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</si>
  <si>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</si>
  <si>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</si>
  <si>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</si>
  <si>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</si>
  <si>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</si>
  <si>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</si>
  <si>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</si>
  <si>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</si>
  <si>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</si>
  <si>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</si>
  <si>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</si>
  <si>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</si>
  <si>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</si>
  <si>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</si>
  <si>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</si>
  <si>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</si>
  <si>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</si>
  <si>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</si>
  <si>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</si>
  <si>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</si>
  <si>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</si>
  <si>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</si>
  <si>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</si>
  <si>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</si>
  <si>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</si>
  <si>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</si>
  <si>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</si>
  <si>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</si>
  <si>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</si>
  <si>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</si>
  <si>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</si>
  <si>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</si>
  <si>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</si>
  <si>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</si>
  <si>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</si>
  <si>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</si>
  <si>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</si>
  <si>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</si>
  <si>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</si>
  <si>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</si>
  <si>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</si>
  <si>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</si>
  <si>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</si>
  <si>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</si>
  <si>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</si>
  <si>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</si>
  <si>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</si>
  <si>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</si>
  <si>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</si>
  <si>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</si>
  <si>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</si>
  <si>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</si>
  <si>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</si>
  <si>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</si>
  <si>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</si>
  <si>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</si>
  <si>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</si>
  <si>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</si>
  <si>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</si>
  <si>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</si>
  <si>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</si>
  <si>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</si>
  <si>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</si>
  <si>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</si>
  <si>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</si>
  <si>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</si>
  <si>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</si>
  <si>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</si>
  <si>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</si>
  <si>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</si>
  <si>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</si>
  <si>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</si>
  <si>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</si>
  <si>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</si>
  <si>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</si>
  <si>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</si>
  <si>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</si>
  <si>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</si>
  <si>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</si>
  <si>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</si>
  <si>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</si>
  <si>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</si>
  <si>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</si>
  <si>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</si>
  <si>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</si>
  <si>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</si>
  <si>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</si>
  <si>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</si>
  <si>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</si>
  <si>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</si>
  <si>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</si>
  <si>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</si>
  <si>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</si>
  <si>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</si>
  <si>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</si>
  <si>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</si>
  <si>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</si>
  <si>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</si>
  <si>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</si>
  <si>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</si>
  <si>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</si>
  <si>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</si>
  <si>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</si>
  <si>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</si>
  <si>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</si>
  <si>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</si>
  <si>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</si>
  <si>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</si>
  <si>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</si>
  <si>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</si>
  <si>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</si>
  <si>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</si>
  <si>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</si>
  <si>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</si>
  <si>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</si>
  <si>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</si>
  <si>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</si>
  <si>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</si>
  <si>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</si>
  <si>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</si>
  <si>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</si>
  <si>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</si>
  <si>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</si>
  <si>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</si>
  <si>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</si>
  <si>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</si>
  <si>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</si>
  <si>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</si>
  <si>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</si>
  <si>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</si>
  <si>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</si>
  <si>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</si>
  <si>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</si>
  <si>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</si>
  <si>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</si>
  <si>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</si>
  <si>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</si>
  <si>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</si>
  <si>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</si>
  <si>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</si>
  <si>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</si>
  <si>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</si>
  <si>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</si>
  <si>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</si>
  <si>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</si>
  <si>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</si>
  <si>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</si>
  <si>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</si>
  <si>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</si>
  <si>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</si>
  <si>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</si>
  <si>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</si>
  <si>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</si>
  <si>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</si>
  <si>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</si>
  <si>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</si>
  <si>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</si>
  <si>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</si>
  <si>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</si>
  <si>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02050</t>
  </si>
  <si>
    <t>02051</t>
  </si>
  <si>
    <t>02052</t>
  </si>
  <si>
    <t>02053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</si>
  <si>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</si>
  <si>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</si>
  <si>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</si>
  <si>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</si>
  <si>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</si>
  <si>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</si>
  <si>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</si>
  <si>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</si>
  <si>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</si>
  <si>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</si>
  <si>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</si>
  <si>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</si>
  <si>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</si>
  <si>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</si>
  <si>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</si>
  <si>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</si>
  <si>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</si>
  <si>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</si>
  <si>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</si>
  <si>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</si>
  <si>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</si>
  <si>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</si>
  <si>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</si>
  <si>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</si>
  <si>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</si>
  <si>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</si>
  <si>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</si>
  <si>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</si>
  <si>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</si>
  <si>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</si>
  <si>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</si>
  <si>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</si>
  <si>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</si>
  <si>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</si>
  <si>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</si>
  <si>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</si>
  <si>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</si>
  <si>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</si>
  <si>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</si>
  <si>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</si>
  <si>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</si>
  <si>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</si>
  <si>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</si>
  <si>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</si>
  <si>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</si>
  <si>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</si>
  <si>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</si>
  <si>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</si>
  <si>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</si>
  <si>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</si>
  <si>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</si>
  <si>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</si>
  <si>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</si>
  <si>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</si>
  <si>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</si>
  <si>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</si>
  <si>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</si>
  <si>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</si>
  <si>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</si>
  <si>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</si>
  <si>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</si>
  <si>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</si>
  <si>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</si>
  <si>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</si>
  <si>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</si>
  <si>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</si>
  <si>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</si>
  <si>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</si>
  <si>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</si>
  <si>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</si>
  <si>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</si>
  <si>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</si>
  <si>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</si>
  <si>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</si>
  <si>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</si>
  <si>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</si>
  <si>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</si>
  <si>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</si>
  <si>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</si>
  <si>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</si>
  <si>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</si>
  <si>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</si>
  <si>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</si>
  <si>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05500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</si>
  <si>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</si>
  <si>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</si>
  <si>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</si>
  <si>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</si>
  <si>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</si>
  <si>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</si>
  <si>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</si>
  <si>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</si>
  <si>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</si>
  <si>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</si>
  <si>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</si>
  <si>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</si>
  <si>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</si>
  <si>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</si>
  <si>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</si>
  <si>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</si>
  <si>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</si>
  <si>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</si>
  <si>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</si>
  <si>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</si>
  <si>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</si>
  <si>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</si>
  <si>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</si>
  <si>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</si>
  <si>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02370</t>
  </si>
  <si>
    <t>02371</t>
  </si>
  <si>
    <t>02372</t>
  </si>
  <si>
    <t>02378</t>
  </si>
  <si>
    <t>02379</t>
  </si>
  <si>
    <t>02380</t>
  </si>
  <si>
    <t>02381</t>
  </si>
  <si>
    <t>02382</t>
  </si>
  <si>
    <t>02383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</si>
  <si>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</si>
  <si>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</si>
  <si>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</si>
  <si>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</si>
  <si>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</si>
  <si>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</si>
  <si>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</si>
  <si>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</si>
  <si>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</si>
  <si>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</si>
  <si>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</si>
  <si>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</si>
  <si>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</si>
  <si>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</si>
  <si>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</si>
  <si>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</si>
  <si>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</si>
  <si>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</si>
  <si>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</si>
  <si>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</si>
  <si>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</si>
  <si>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</si>
  <si>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</si>
  <si>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</si>
  <si>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</si>
  <si>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</si>
  <si>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</si>
  <si>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</si>
  <si>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</si>
  <si>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</si>
  <si>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</si>
  <si>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</si>
  <si>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</si>
  <si>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</si>
  <si>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</si>
  <si>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</si>
  <si>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</si>
  <si>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</si>
  <si>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</si>
  <si>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</si>
  <si>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02440</t>
  </si>
  <si>
    <t>02441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</si>
  <si>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</si>
  <si>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</si>
  <si>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</si>
  <si>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</si>
  <si>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</si>
  <si>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</si>
  <si>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</si>
  <si>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</si>
  <si>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</si>
  <si>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</si>
  <si>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</si>
  <si>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</si>
  <si>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</si>
  <si>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</si>
  <si>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02480</t>
  </si>
  <si>
    <t>02481</t>
  </si>
  <si>
    <t>02482</t>
  </si>
  <si>
    <t>02483</t>
  </si>
  <si>
    <t>02484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</si>
  <si>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</si>
  <si>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</si>
  <si>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</si>
  <si>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</si>
  <si>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</si>
  <si>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</si>
  <si>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</si>
  <si>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</si>
  <si>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</si>
  <si>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</si>
  <si>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</si>
  <si>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</si>
  <si>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</si>
  <si>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</si>
  <si>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</si>
  <si>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</si>
  <si>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</si>
  <si>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</si>
  <si>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</si>
  <si>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</si>
  <si>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</si>
  <si>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</si>
  <si>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</si>
  <si>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</si>
  <si>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</si>
  <si>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</si>
  <si>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</si>
  <si>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</si>
  <si>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</si>
  <si>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02530</t>
  </si>
  <si>
    <t>02531</t>
  </si>
  <si>
    <t>02532</t>
  </si>
  <si>
    <t>02533</t>
  </si>
  <si>
    <t>02545</t>
  </si>
  <si>
    <t>02546</t>
  </si>
  <si>
    <t>02547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</si>
  <si>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</si>
  <si>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</si>
  <si>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</si>
  <si>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</si>
  <si>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</si>
  <si>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</si>
  <si>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</si>
  <si>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</si>
  <si>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02650</t>
  </si>
  <si>
    <t>02651</t>
  </si>
  <si>
    <t>02652</t>
  </si>
  <si>
    <t>02653</t>
  </si>
  <si>
    <t>02654</t>
  </si>
  <si>
    <t>02655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</si>
  <si>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</si>
  <si>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</si>
  <si>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</si>
  <si>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</si>
  <si>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</si>
  <si>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</si>
  <si>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</si>
  <si>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</si>
  <si>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</si>
  <si>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</si>
  <si>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</si>
  <si>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</si>
  <si>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</si>
  <si>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</si>
  <si>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</si>
  <si>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</si>
  <si>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</si>
  <si>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</si>
  <si>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</si>
  <si>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</si>
  <si>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</si>
  <si>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</si>
  <si>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</si>
  <si>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</si>
  <si>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</si>
  <si>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</si>
  <si>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</si>
  <si>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</si>
  <si>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</si>
  <si>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</si>
  <si>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02750</t>
  </si>
  <si>
    <t>02751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</si>
  <si>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</si>
  <si>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</si>
  <si>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</si>
  <si>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</si>
  <si>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</si>
  <si>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</si>
  <si>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</si>
  <si>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</si>
  <si>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</si>
  <si>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</si>
  <si>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</si>
  <si>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</si>
  <si>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</si>
  <si>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</si>
  <si>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</si>
  <si>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</si>
  <si>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02850</t>
  </si>
  <si>
    <t>02851</t>
  </si>
  <si>
    <t>02852</t>
  </si>
  <si>
    <t>02853</t>
  </si>
  <si>
    <t>02854</t>
  </si>
  <si>
    <t>02855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</si>
  <si>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</si>
  <si>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</si>
  <si>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</si>
  <si>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</si>
  <si>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</si>
  <si>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</si>
  <si>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</si>
  <si>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</si>
  <si>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</si>
  <si>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</si>
  <si>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</si>
  <si>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</si>
  <si>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</si>
  <si>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</si>
  <si>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</si>
  <si>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</si>
  <si>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</si>
  <si>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</si>
  <si>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</si>
  <si>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</si>
  <si>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</si>
  <si>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03100</t>
  </si>
  <si>
    <t>03101</t>
  </si>
  <si>
    <t>03102</t>
  </si>
  <si>
    <t>03103</t>
  </si>
  <si>
    <t>03104</t>
  </si>
  <si>
    <t>03150</t>
  </si>
  <si>
    <t>03151</t>
  </si>
  <si>
    <t>03152</t>
  </si>
  <si>
    <t>03153</t>
  </si>
  <si>
    <t>03154</t>
  </si>
  <si>
    <t>04001</t>
  </si>
  <si>
    <t>04002</t>
  </si>
  <si>
    <t>04004</t>
  </si>
  <si>
    <t>04005</t>
  </si>
  <si>
    <t>04006</t>
  </si>
  <si>
    <t>04007</t>
  </si>
  <si>
    <t>04008</t>
  </si>
  <si>
    <t>04092</t>
  </si>
  <si>
    <t>04020</t>
  </si>
  <si>
    <t>04021</t>
  </si>
  <si>
    <t>04023</t>
  </si>
  <si>
    <t>04028</t>
  </si>
  <si>
    <t>04029</t>
  </si>
  <si>
    <t>09000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</si>
  <si>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</si>
  <si>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</si>
  <si>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</si>
  <si>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</si>
  <si>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</si>
  <si>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</si>
  <si>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</si>
  <si>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</si>
  <si>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</si>
  <si>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</si>
  <si>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</si>
  <si>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</si>
  <si>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</si>
  <si>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</si>
  <si>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</si>
  <si>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</si>
  <si>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</si>
  <si>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</si>
  <si>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</si>
  <si>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</si>
  <si>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</si>
  <si>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</si>
  <si>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</si>
  <si>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</si>
  <si>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</si>
  <si>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</si>
  <si>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</si>
  <si>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</si>
  <si>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</si>
  <si>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</si>
  <si>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</si>
  <si>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</si>
  <si>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</si>
  <si>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</si>
  <si>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</si>
  <si>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</si>
  <si>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</si>
  <si>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</si>
  <si>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</si>
  <si>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</si>
  <si>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</si>
  <si>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</si>
  <si>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</si>
  <si>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</si>
  <si>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</si>
  <si>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</si>
  <si>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</si>
  <si>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</si>
  <si>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</si>
  <si>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</si>
  <si>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</si>
  <si>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</si>
  <si>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</si>
  <si>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</si>
  <si>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</si>
  <si>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</si>
  <si>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</si>
  <si>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</si>
  <si>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</si>
  <si>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</si>
  <si>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</si>
  <si>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</si>
  <si>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</si>
  <si>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</si>
  <si>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</si>
  <si>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</si>
  <si>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</si>
  <si>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</si>
  <si>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</si>
  <si>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</si>
  <si>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</si>
  <si>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</si>
  <si>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</si>
  <si>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</si>
  <si>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</si>
  <si>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</si>
  <si>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</si>
  <si>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</si>
  <si>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</si>
  <si>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</si>
  <si>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</si>
  <si>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</si>
  <si>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</si>
  <si>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</si>
  <si>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</si>
  <si>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</si>
  <si>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</si>
  <si>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</si>
  <si>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</si>
  <si>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</si>
  <si>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</si>
  <si>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</si>
  <si>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</si>
  <si>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</si>
  <si>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</si>
  <si>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</si>
  <si>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</si>
  <si>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</si>
  <si>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</si>
  <si>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</si>
  <si>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</si>
  <si>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</si>
  <si>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</si>
  <si>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</si>
  <si>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</si>
  <si>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</si>
  <si>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</si>
  <si>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</si>
  <si>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</si>
  <si>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</si>
  <si>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</si>
  <si>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</si>
  <si>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</si>
  <si>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</si>
  <si>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</si>
  <si>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</si>
  <si>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</si>
  <si>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</si>
  <si>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</si>
  <si>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</si>
  <si>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</si>
  <si>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</si>
  <si>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</si>
  <si>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</si>
  <si>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</si>
  <si>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</si>
  <si>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</si>
  <si>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</si>
  <si>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</si>
  <si>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</si>
  <si>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</si>
  <si>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</si>
  <si>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</si>
  <si>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</si>
  <si>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</si>
  <si>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</si>
  <si>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</si>
  <si>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</si>
  <si>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</si>
  <si>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</si>
  <si>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</si>
  <si>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</si>
  <si>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</si>
  <si>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</si>
  <si>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</si>
  <si>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</si>
  <si>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</si>
  <si>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</si>
  <si>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</si>
  <si>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</si>
  <si>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</si>
  <si>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</si>
  <si>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</si>
  <si>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</si>
  <si>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</si>
  <si>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</si>
  <si>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</si>
  <si>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</si>
  <si>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</si>
  <si>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</si>
  <si>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</si>
  <si>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</si>
  <si>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</si>
  <si>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</si>
  <si>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</si>
  <si>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</si>
  <si>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</si>
  <si>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</si>
  <si>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</si>
  <si>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</si>
  <si>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</si>
  <si>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</si>
  <si>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</si>
  <si>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</si>
  <si>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</si>
  <si>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</si>
  <si>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</si>
  <si>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</si>
  <si>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</si>
  <si>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</si>
  <si>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</si>
  <si>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</si>
  <si>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</si>
  <si>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</si>
  <si>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</si>
  <si>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</si>
  <si>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</si>
  <si>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</si>
  <si>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</si>
  <si>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</si>
  <si>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</si>
  <si>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</si>
  <si>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</si>
  <si>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</si>
  <si>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</si>
  <si>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</si>
  <si>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</si>
  <si>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</si>
  <si>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</si>
  <si>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</si>
  <si>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</si>
  <si>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</si>
  <si>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</si>
  <si>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</si>
  <si>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</si>
  <si>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</si>
  <si>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</si>
  <si>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</si>
  <si>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</si>
  <si>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</si>
  <si>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</si>
  <si>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</si>
  <si>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</si>
  <si>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</si>
  <si>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</si>
  <si>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</si>
  <si>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</si>
  <si>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</si>
  <si>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</si>
  <si>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</si>
  <si>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</si>
  <si>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</si>
  <si>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</si>
  <si>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</si>
  <si>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</si>
  <si>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</si>
  <si>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</si>
  <si>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</si>
  <si>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</si>
  <si>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</si>
  <si>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</si>
  <si>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</si>
  <si>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</si>
  <si>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</si>
  <si>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</si>
  <si>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</si>
  <si>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</si>
  <si>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</si>
  <si>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</si>
  <si>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</si>
  <si>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</si>
  <si>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</si>
  <si>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</si>
  <si>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</si>
  <si>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</si>
  <si>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</si>
  <si>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</si>
  <si>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</si>
  <si>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</si>
  <si>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</si>
  <si>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</si>
  <si>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</si>
  <si>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</si>
  <si>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</si>
  <si>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</si>
  <si>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</si>
  <si>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</si>
  <si>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</si>
  <si>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</si>
  <si>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</si>
  <si>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</si>
  <si>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</si>
  <si>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</si>
  <si>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</si>
  <si>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</si>
  <si>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</si>
  <si>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</si>
  <si>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</si>
  <si>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</si>
  <si>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</si>
  <si>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</si>
  <si>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</si>
  <si>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</si>
  <si>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</si>
  <si>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</si>
  <si>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r>
      <rPr>
        <b/>
        <sz val="14"/>
        <rFont val="Times New Roman"/>
        <family val="1"/>
        <charset val="204"/>
      </rPr>
      <t>ИЗ.ПОВР. ATT.</t>
    </r>
    <r>
      <rPr>
        <sz val="14"/>
        <rFont val="Times New Roman"/>
        <family val="1"/>
        <charset val="204"/>
      </rPr>
      <t xml:space="preserve">  Изолирование нестандартных (по форме, габаритам, гибам, флажкам) шин для трансформаторных секций</t>
    </r>
  </si>
  <si>
    <t>00270</t>
  </si>
  <si>
    <t>00190</t>
  </si>
  <si>
    <r>
      <t xml:space="preserve">СБ.ЯОМ. ЭКСП. </t>
    </r>
    <r>
      <rPr>
        <sz val="16"/>
        <rFont val="Times New Roman"/>
        <family val="1"/>
        <charset val="204"/>
      </rPr>
      <t>Экспериментальная, нетиповая сборка яом, работа с тех.специалистами, разработка схем расключения.</t>
    </r>
  </si>
  <si>
    <t>НАП. Шин для АТТ. Напыление крупногабаритных (сложной формы)  шин из листа (более 200 мм)</t>
  </si>
  <si>
    <t>Гибка комплекта Al шин для 1 пакета TRP</t>
  </si>
  <si>
    <t>01080</t>
  </si>
  <si>
    <t xml:space="preserve">            Гибка корпусов ATT, TRP магистрального шинопровода:</t>
  </si>
  <si>
    <t xml:space="preserve">Гибка комплекта корпуса (ATT, TRP)  </t>
  </si>
  <si>
    <t>Напыление шин для контактных групп и ошиновки ЯОМ,  переходных пластин, PE для ATSC, терминальных  и трансформаторных секций (ATSC, ATT)</t>
  </si>
  <si>
    <t>НАП. Al пластин PE  для ATSC 100-630А, (2 стороны)</t>
  </si>
  <si>
    <t>НАП. Al пластин PE  для ATSC 800А, (2 стороны)</t>
  </si>
  <si>
    <t>НАП. Al пластин PE  для ATSC 1000А, (2 стороны)</t>
  </si>
  <si>
    <t>НАП. Al пластин PE  для ATSC 1250А, (2 стороны)</t>
  </si>
  <si>
    <t>НАП. Al пластин PE  для ATSC 2000А, (2 стороны)</t>
  </si>
  <si>
    <t>НАП. Al пластин PE  для ATSC 2500А, (2 стороны)</t>
  </si>
  <si>
    <t>НАП. Al пластин PE  для ATSC 3200А, (2 стороны)</t>
  </si>
  <si>
    <t>НАП. Al пластин PE  для ATSC 4000А, (2 стороны)</t>
  </si>
  <si>
    <t>НАП. Al пластин PE  для ATSC 5000А, (2 стороны)</t>
  </si>
  <si>
    <t>НАП. Al пластин PE  для ATSC 6300А, (2 стороны)</t>
  </si>
  <si>
    <t>НАП. Al пластин PE  для ATSC 1600А, (2 стороны)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</si>
  <si>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</si>
  <si>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</si>
  <si>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</si>
  <si>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</si>
  <si>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</si>
  <si>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</si>
  <si>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</si>
  <si>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</si>
  <si>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</si>
  <si>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</si>
  <si>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</si>
  <si>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Сборка 5P проводной секции  распределительного шинопровода KLM-R-FE, Al  длиной 2000мм – 3000мм: 100-630А  (без окон)</t>
  </si>
  <si>
    <t>00220</t>
  </si>
  <si>
    <t>ПС. Al ATT 1000А. Полная сборка терминальной секции.</t>
  </si>
  <si>
    <t>ПС. Al ATT 1250А. Полная сборка терминальной секции.</t>
  </si>
  <si>
    <t>ПС. Al ATT 2000А. Полная сборка терминальной секции.</t>
  </si>
  <si>
    <t>ПС. Al ATT 1600А. Полная сборка терминальной секции.</t>
  </si>
  <si>
    <t>ПС. Al ATT 3200А. Полная сборка терминальной секции.</t>
  </si>
  <si>
    <t>ПС. Al ATT 4000А. Полная сборка терминальной секции.</t>
  </si>
  <si>
    <t>ПС. Al ATT 5000А. Полная сборка терминальной секции.</t>
  </si>
  <si>
    <t>ПС. Al ATT 6300А. Полная сборка терминальной секции.</t>
  </si>
  <si>
    <t>ПС. Al ATTC 1000А. Полная сборка терминальной секции c углом</t>
  </si>
  <si>
    <t>ПС. Al ATTC 1250А. Полная сборка терминальной секции c углом</t>
  </si>
  <si>
    <t>ПС. Al ATTC 1600А. Полная сборка терминальной секции c углом</t>
  </si>
  <si>
    <t>ПС. Al ATTC 2000А. Полная сборка терминальной секции c углом</t>
  </si>
  <si>
    <t>ПС. Al ATTC 4000А. Полная сборка терминальной секции c углом</t>
  </si>
  <si>
    <t>ПС. Al ATTC 3200А. Полная сборка терминальной секции c углом</t>
  </si>
  <si>
    <t>ПС. Al ATTC 5000А. Полная сборка терминальной секции c углом</t>
  </si>
  <si>
    <t>ПС. Al ATTC 6300А. Полная сборка терминальной секции c углом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</si>
  <si>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</si>
  <si>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</si>
  <si>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</si>
  <si>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</si>
  <si>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</si>
  <si>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</si>
  <si>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</si>
  <si>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</si>
  <si>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</si>
  <si>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</si>
  <si>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</si>
  <si>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</si>
  <si>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</si>
  <si>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</si>
  <si>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</si>
  <si>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</si>
  <si>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 xml:space="preserve">ПС Al TRP  1600А. Полная сборка </t>
  </si>
  <si>
    <t xml:space="preserve">ПС Al TRP  2000А. Полная сборка </t>
  </si>
  <si>
    <t>05225</t>
  </si>
  <si>
    <t>05226</t>
  </si>
  <si>
    <t>00501</t>
  </si>
  <si>
    <t>Резка шин и профилей на двухголовой дисковой пиле Yilmaz</t>
  </si>
  <si>
    <t>Резка деталей корпуса стыка и вставок</t>
  </si>
  <si>
    <t>Очистка рабочих частей станка от стружки в течение смены</t>
  </si>
  <si>
    <t>Резка боковин под прямым углом</t>
  </si>
  <si>
    <t>Y. ТУШ 30-80 Al СP.  Торцевание и зачистка углов из шин, после сварки (2 торца). Для стандартных вертикальных угловых элементов.</t>
  </si>
  <si>
    <t>Y. ТУШ 30-80 Al ZP,ZP-S.  Торцевание и зачистка углов из шин, после сварки (2 торца). Для вертикальных Z элементов.</t>
  </si>
  <si>
    <t>Y. ТУШ 100-200 Al СP.  Торцевание и зачистка углов из шин, после сварки (2 торца). Для стандартных вертикальных угловых элементов.</t>
  </si>
  <si>
    <t>Y. ТУШ 100-200 Al ZP,ZP-S.  Торцевание и зачистка углов из шин, после сварки (2 торца). Для вертикальных Z элементов.</t>
  </si>
  <si>
    <t>Y. РНС до 150. Резка Al профиля (направляющей) для стыков конструктива  V3, длиной до 150 мм. Обдув и протирка, снаружи и в пазу.</t>
  </si>
  <si>
    <t>Y. РНС до 151-399. Резка Al профиля (направляющей) для стыков конструктива  V3, длиной  151-399 мм. Обдув и протирка, снаружи и в пазу.</t>
  </si>
  <si>
    <t>Y. РНС от 400. Резка Al профиля (направляющей) для стыков конструктива  V3, длиной  151-399 мм. Обдув и протирка, снаружи и в пазу.</t>
  </si>
  <si>
    <t>Y. РКС 350х147. Резка крышек стыка из  Al профиля (350х147 мм),зачистка торцов напильником, обдув и протирка.</t>
  </si>
  <si>
    <t>Y. РВСП  Резка  Al вставок и соединительных профилей для ЛШП, зачистка торцов от заусенцев.</t>
  </si>
  <si>
    <t>Y. РШ Al 60 FE. Резка прямых шин стандартной длины (3 метра) 60х(3,0-3,5), зачистка торцов от заусенцев.</t>
  </si>
  <si>
    <t>Y. РПБ 53 FE. Резка боковин из Al профиля стандартной длины (3 метра), высотой 53 мм. Зачистка торцов от заусенцев, . 
Снятие фаски (и краски) на наружных углах ручным шабером.</t>
  </si>
  <si>
    <t>Y. РПБ 53 FE-S. Резка боковин из Al профиля Нестандартной длины (3 метра), высотой 53 мм. Зачистка торцов от заусенцев.</t>
  </si>
  <si>
    <t>Y. РПБ 68 FE. Резка боковин из Al профиля стандартной длины (3 метра), высотой 68 мм. Зачистка торцов от заусенцев, . 
Снятие фаски (и краски) на наружных углах ручным шабером.</t>
  </si>
  <si>
    <t>Y. РПБ 68 FE-S. Резка боковин из Al профиля Нестандартной длины (3 метра), высотой 68 мм. Зачистка торцов от заусенцев.</t>
  </si>
  <si>
    <t>Y. РПБ 78 FE. Резка боковин из Al профиля стандартной длины (3 метра), высотой 78 мм. Зачистка торцов от заусенцев, . 
Снятие фаски (и краски) на наружных углах ручным шабером.</t>
  </si>
  <si>
    <t>Y. РПБ 78 FE-S. Резка боковин из Al профиля Нестандартной длины (3 метра), высотой 78 мм. Зачистка торцов от заусенцев.</t>
  </si>
  <si>
    <t>Y. РПБ 103 FE. Резка боковин из Al профиля стандартной длины (3 метра), высотой 103 мм. Зачистка торцов от заусенцев, . 
Снятие фаски (и краски) на наружных углах ручным шабером.</t>
  </si>
  <si>
    <t>Y. РПБ 103 FE-S. Резка боковин из Al профиля Нестандартной длины (3 метра), высотой 103 мм. Зачистка торцов от заусенцев.</t>
  </si>
  <si>
    <t>Y. РПБ 133 FE. Резка боковин из Al профиля стандартной длины (3 метра), высотой 133 мм. Зачистка торцов от заусенцев, . 
Снятие фаски (и краски) на наружных углах ручным шабером.</t>
  </si>
  <si>
    <t>Y. РПБ 133 FE-S. Резка боковин из Al профиля Нестандартной длины (3 метра), высотой 133 мм. Зачистка торцов от заусенцев.</t>
  </si>
  <si>
    <t>Y. РПБ 163 FE. Резка боковин из Al профиля стандартной длины (3 метра), высотой 163 мм. Зачистка торцов от заусенцев, . 
Снятие фаски (и краски) на наружных углах ручным шабером.</t>
  </si>
  <si>
    <t>Y. РПБ 163 FE-S. Резка боковин из Al профиля Нестандартной длины (3 метра), высотой 163 мм. Зачистка торцов от заусенцев.</t>
  </si>
  <si>
    <t>Y. РПБ 203 FE. Резка боковин из Al профиля стандартной длины (3 метра), высотой 203 мм. Зачистка торцов от заусенцев, . 
Снятие фаски (и краски) на наружных углах ручным шабером.</t>
  </si>
  <si>
    <t>Y. РПБ 203 FE-S. Резка боковин из Al профиля Нестандартной длины (3 метра), высотой 203 мм. Зачистка торцов от заусенцев.</t>
  </si>
  <si>
    <t>Y. РШ Al 109 FE. Резка прямых шин стандартной длины (3 метра) 109х(3,0-3,5), зачистка торцов от заусенцев.</t>
  </si>
  <si>
    <t>Y. РШ Al 109 FE-S. Резка шин для нестандартных прямых секций  109х(3,0-3,5), зачистка торцов от заусенцев.</t>
  </si>
  <si>
    <t xml:space="preserve">П/А сварка Al шин толщиной 3,0-3,5 мм, с двух сторон (с переворотом). Ширина шин 30-65 мм,  </t>
  </si>
  <si>
    <t xml:space="preserve">П/А сварка Al шин толщиной 3,0-3,5 мм, с двух сторон (с переворотом). Ширина шин 75-100 мм,  </t>
  </si>
  <si>
    <t xml:space="preserve">П/А сварка Al шин толщиной 3,0-3,5 мм, с двух сторон (с переворотом). Ширина шин 130 мм,  </t>
  </si>
  <si>
    <t xml:space="preserve">П/А сварка Al шин толщиной 3,0-3,5 мм, с двух сторон (с переворотом). Ширина шин 160 мм,  </t>
  </si>
  <si>
    <t xml:space="preserve">П/А сварка Al шин толщиной 3,0-3,5 мм, с двух сторон (с переворотом). Ширина шин 200 мм,  </t>
  </si>
  <si>
    <t xml:space="preserve">П/А сварка Cu шин толщиной 3,0-3,5 мм, с двух сторон (с переворотом). Ширина шин 30-65 мм,  </t>
  </si>
  <si>
    <t xml:space="preserve">П/А сварка Cu шин толщиной 3,0-3,5 мм, с двух сторон (с переворотом). Ширина шин 75-100 мм,  </t>
  </si>
  <si>
    <t xml:space="preserve">П/А сварка Cu шин толщиной 3,0-3,5 мм, с двух сторон (с переворотом). Ширина шин 130 мм,  </t>
  </si>
  <si>
    <t xml:space="preserve">П/А сварка Cu шин толщиной 3,0-3,5 мм, с двух сторон (с переворотом). Ширина шин 160 мм,  </t>
  </si>
  <si>
    <t xml:space="preserve">П/А сварка Cu шин толщиной 3,0-3,5 мм, с двух сторон (с переворотом). Ширина шин 200 мм,  </t>
  </si>
  <si>
    <t>Y. РШ Al 140 FE. Резка прямых шин стандартной длины (3 метра) 140х(3,0-3,5), зачистка торцов от заусенцев.</t>
  </si>
  <si>
    <t>Y. РШ Al 140 FE-S. Резка шин для нестандартных прямых секций  140х(3,0-3,5), зачистка торцов от заусенцев.</t>
  </si>
  <si>
    <t>Y. РШ Al 60 FE-S. Резка шин для нестандартных прямых секций  60х(3,0-3,5), зачистка торцов от заусенцев.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</si>
  <si>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</si>
  <si>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</si>
  <si>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</si>
  <si>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</si>
  <si>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</si>
  <si>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</si>
  <si>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</si>
  <si>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</si>
  <si>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</si>
  <si>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</si>
  <si>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</si>
  <si>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Y. РШ Al 160 FE. Резка прямых шин стандартной длины (3 метра) 160х(6-7), зачистка торцов от заусенцев.</t>
  </si>
  <si>
    <t>Y. РШ Al 160 FE-S. Резка шин для нестандартных прямых секций  160х(6-7), зачистка торцов от заусенцев.</t>
  </si>
  <si>
    <t>Y. РШ Al 200 FE. Резка прямых шин стандартной длины (3 метра) 200х(6-7), зачистка торцов от заусенцев.</t>
  </si>
  <si>
    <t>Y. РШ Al 200 FE-S. Резка шин для нестандартных прямых секций  200х(6-7), зачистка торцов от заусенцев.</t>
  </si>
  <si>
    <t>Y. РШ Al 130 FE. Резка прямых шин стандартной длины (3 метра) 130х(6-7), зачистка торцов от заусенцев.</t>
  </si>
  <si>
    <t>Y. РШ Al 130 FE-S. Резка шин для нестандартных прямых секций  130х(6-7), зачистка торцов от заусенцев.</t>
  </si>
  <si>
    <t>Y. РШ Al 30 FE. Резка прямых шин стандартной длины (3 метра) 30х(6-7), зачистка торцов от заусенцев.</t>
  </si>
  <si>
    <t>Y. РШ Al 30 FE-S. Резка шин для нестандартных прямых секций  30х(6-7), зачистка торцов от заусенцев.</t>
  </si>
  <si>
    <t>Y. РШ Al 50 FE. Резка прямых шин стандартной длины (3 метра) 50х(6-7), зачистка торцов от заусенцев.</t>
  </si>
  <si>
    <t>Y. РШ Al 50 FE-S. Резка шин для нестандартных прямых секций  50х(6-7), зачистка торцов от заусенцев.</t>
  </si>
  <si>
    <t>Y. РШ Al 65 FE. Резка прямых шин стандартной длины (3 метра) 65х(6-7), зачистка торцов от заусенцев.</t>
  </si>
  <si>
    <t>Y. РШ Al 65 FE-S. Резка шин для нестандартных прямых секций  65х(6-7), зачистка торцов от заусенцев.</t>
  </si>
  <si>
    <t>Y. РШ Al 75 FE. Резка прямых шин стандартной длины (3 метра) 75х(6-7), зачистка торцов от заусенцев.</t>
  </si>
  <si>
    <t>Y. РШ Al 75 FE-S. Резка шин для нестандартных прямых секций  75х(6-7), зачистка торцов от заусенцев.</t>
  </si>
  <si>
    <t>Y. РШ Al 100 FE. Резка прямых шин стандартной длины (3 метра) 100х(6-7), зачистка торцов от заусенцев.</t>
  </si>
  <si>
    <t>Y. РШ Al 100 FE-S. Резка шин для нестандартных прямых секций  100х(6-7), зачистка торцов от заусенцев.</t>
  </si>
  <si>
    <t>00666</t>
  </si>
  <si>
    <r>
      <rPr>
        <b/>
        <sz val="16"/>
        <rFont val="Times New Roman"/>
        <family val="1"/>
        <charset val="204"/>
      </rPr>
      <t xml:space="preserve">КОРРЕКТИРОВКА НОРМ </t>
    </r>
    <r>
      <rPr>
        <sz val="16"/>
        <rFont val="Times New Roman"/>
        <family val="1"/>
        <charset val="204"/>
      </rPr>
      <t>(</t>
    </r>
    <r>
      <rPr>
        <sz val="14"/>
        <rFont val="Times New Roman"/>
        <family val="1"/>
        <charset val="204"/>
      </rPr>
      <t>применяется в случае явного несоответствия нормы времени и фактической трудоемкости, необходима для закрытия наряда и акцентирования внимания</t>
    </r>
    <r>
      <rPr>
        <sz val="16"/>
        <rFont val="Times New Roman"/>
        <family val="1"/>
        <charset val="204"/>
      </rPr>
      <t>).</t>
    </r>
  </si>
  <si>
    <t>00505</t>
  </si>
  <si>
    <t>Сборка гибкого модуля FLX, кабельной коробки FEB.</t>
  </si>
  <si>
    <t>ПС FEB 100-630А. Сборка корпуса FEB(FLX), терминальной секции, установка ATSC в корпус.</t>
  </si>
  <si>
    <t>ПС Al ZD(PD) 1000А. Полная сборка горизонтальной Z секции. Вставки, PE, клинчинг.</t>
  </si>
  <si>
    <t>ПС Al ZD(PD) 1250А. Полная сборка горизонтальной Z секции. Вставки, PE, клинчинг.</t>
  </si>
  <si>
    <t>ПС Al CP 1000А. Полная сборка вертикального угла. Вставки, PE, клинчинг.</t>
  </si>
  <si>
    <t>ПС Al CP 1250А. Полная сборка вертикального угла. Вставки, PE, клинчинг.</t>
  </si>
  <si>
    <t>ПС Al ZP(PP) 1250А. Полная сборка вертикальной Z секции. Вставки, PE, клинчинг.</t>
  </si>
  <si>
    <t>ПС Al ZP(PP) 1000А. Полная сборка вертикальной Z секции. Вставки, PE, клинчинг.</t>
  </si>
  <si>
    <t>ПС Al ATSC 1250А. Полная сборка терминальной секции. Монтаж фл. комплекта (скобы,фланец, шпильки, трубочки).</t>
  </si>
  <si>
    <t>ПС Al ATSC 1000А. Полная сборка терминальной секции. Монтаж фл. комплекта (скобы,фланец, шпильки, трубочки).</t>
  </si>
  <si>
    <t>ПС Al ZP(PP) 2500А. Полная сборка вертикальной Z секции. Вставки, PE, клинчинг, соединение пакетов.</t>
  </si>
  <si>
    <t>ПС Al ZP(PP) 3200А. Полная сборка вертикальной Z секции. Вставки, PE, клинчинг, соединение пакетов.</t>
  </si>
  <si>
    <t>ПС Al ZP(PP) 4000А. Полная сборка вертикальной Z секции. Вставки, PE, клинчинг, соединение пакетов.</t>
  </si>
  <si>
    <t>ПС Al ZP(PP) 5000А. Полная сборка вертикальной Z секции. Вставки, PE, клинчинг, соединение пакетов.</t>
  </si>
  <si>
    <t>ПС Al ZP(PP) 6300А. Полная сборка вертикальной Z секции. Вставки, PE, клинчинг, соединение пакетов.</t>
  </si>
  <si>
    <t>ПС Cu ZD(PD) 1000А. Полная сборка горизонтальной Z секции. Вставки, PE, клинчинг.</t>
  </si>
  <si>
    <t>ПС Cu ZD(PD) 1250А. Полная сборка горизонтальной Z секции. Вставки, PE, клинчинг.</t>
  </si>
  <si>
    <t>ПС Cu CP 1000А. Полная сборка вертикального угла. Вставки, PE, клинчинг.</t>
  </si>
  <si>
    <t>ПС Cu CP 1250А. Полная сборка вертикального угла. Вставки, PE, клинчинг.</t>
  </si>
  <si>
    <t>ПС Cu ATSC 1000А. Полная сборка терминальной секции. Монтаж фл. комплекта (скобы,фланец, шпильки, трубочки).</t>
  </si>
  <si>
    <t>ПС Cu ATSC 1250А. Полная сборка терминальной секции. Монтаж фл. комплекта (скобы,фланец, шпильки, трубочки).</t>
  </si>
  <si>
    <t>ПС Cu ZD(PD) 2500А. Полная сборка горизонтальной Z секции. Вставки, PE, клинчинг, соединение пакетов.</t>
  </si>
  <si>
    <t>ПС Cu ZD(PD) 3200А. Полная сборка горизонтальной Z секции. Вставки, PE, клинчинг, соединение пакетов.</t>
  </si>
  <si>
    <t>ПС Cu ZD(PD) 4000А. Полная сборка горизонтальной Z секции. Вставки, PE, клинчинг, соединение пакетов.</t>
  </si>
  <si>
    <t>ПС Cu ZD(PD) 5000А. Полная сборка горизонтальной Z секции. Вставки, PE, клинчинг, соединение пакетов.</t>
  </si>
  <si>
    <t>ПС Cu ZD(PD) 6300А. Полная сборка горизонтальной Z секции. Вставки, PE, клинчинг, соединение пакетов.</t>
  </si>
  <si>
    <t>ПС Cu CP 3200А. Полная сборка вертикального угла. Вставки, PE, клинчинг, соединение пакетов.</t>
  </si>
  <si>
    <t>ПС Cu CP 2500А. Полная сборка вертикального угла. Вставки, PE, клинчинг, соединение пакетов.</t>
  </si>
  <si>
    <t>ПС Cu CP 4000А. Полная сборкавертикального угла. Вставки, PE, клинчинг, соединение пакетов.</t>
  </si>
  <si>
    <t>ПС Cu CP 5000А. Полная сборка вертикального угла. Вставки, PE, клинчинг, соединение пакетов.</t>
  </si>
  <si>
    <t>ПС Cu CP 6300А. Полная сборка вертикального угла. Вставки, PE, клинчинг, соединение пакетов.</t>
  </si>
  <si>
    <t>ПС Cu ZP(PP) 2500А. Полная сборка вертикальной Z секции. Вставки, PE, клинчинг, соединение пакетов.</t>
  </si>
  <si>
    <t>ПС Cu ZP(PP) 3200А. Полная сборка вертикальной Z секции. Вставки, PE, клинчинг, соединение пакетов.</t>
  </si>
  <si>
    <t>ПС Cu ZP(PP) 4000А. Полная сборка вертикальной Z секции. Вставки, PE, клинчинг, соединение пакетов.</t>
  </si>
  <si>
    <t>ПС Cu ZP(PP) 5000А. Полная сборка вертикальной Z секции. Вставки, PE, клинчинг, соединение пакетов.</t>
  </si>
  <si>
    <t>ПС Cu ZP(PP) 6300А. Полная сборка вертикальной Z секции. Вставки, PE, клинчинг, соединение пакетов.</t>
  </si>
  <si>
    <t>ПС FEB 800А. Сборка корпуса FEB(FLX), терминальной секции, установка ATSC в корпус.</t>
  </si>
  <si>
    <t>ПС FEB 1000А. Сборка корпуса FEB(FLX), терминальной секции, установка ATSC в корпус.</t>
  </si>
  <si>
    <t>ПС FEB 1250А. Сборка корпуса FEB(FLX), терминальной секции, установка ATSC в корпус.</t>
  </si>
  <si>
    <t>ПС FEB 2000А. Сборка корпуса FEB(FLX), терминальной секции, установка ATSC в корпус.</t>
  </si>
  <si>
    <t>ПС FEB 1600А. Сборка корпуса FEB(FLX), терминальной секции, установка ATSC в корпус.</t>
  </si>
  <si>
    <t>ПС FEB 2500А. Сборка корпуса FEB(FLX), терминальной секции, установка ATSC в корпус.</t>
  </si>
  <si>
    <t>ПС FEB 3200А. Сборка корпуса FEB(FLX), терминальной секции, установка ATSC в корпус.</t>
  </si>
  <si>
    <t>ПС FEB 4000А. Сборка корпуса FEB(FLX), терминальной секции, установка ATSC в корпус.</t>
  </si>
  <si>
    <t>ПС FEB 5000А. Сборка корпуса FEB(FLX), терминальной секции, установка ATSC в корпус.</t>
  </si>
  <si>
    <t>ПС FEB 6300А. Сборка корпуса FEB(FLX), терминальной секции, установка ATSC в корпус.</t>
  </si>
  <si>
    <t>00300</t>
  </si>
  <si>
    <t>Работа на экструдере, цех №1</t>
  </si>
  <si>
    <r>
      <t xml:space="preserve">ПС. ПОВР. АTT. </t>
    </r>
    <r>
      <rPr>
        <sz val="16"/>
        <rFont val="Times New Roman"/>
        <family val="1"/>
        <charset val="204"/>
      </rPr>
      <t>Полная сборка крупногабаритных нестандартных трансформаторных секций (IP 55-68)</t>
    </r>
  </si>
  <si>
    <t>Полная сборка FEB, корпуса FLX, сучетом сборки и монтажа терминальной секции</t>
  </si>
  <si>
    <t>02856</t>
  </si>
  <si>
    <t>02857</t>
  </si>
  <si>
    <t>02858</t>
  </si>
  <si>
    <t>02859</t>
  </si>
  <si>
    <t>02860</t>
  </si>
  <si>
    <r>
      <rPr>
        <b/>
        <sz val="14"/>
        <rFont val="Times New Roman"/>
        <family val="1"/>
        <charset val="204"/>
      </rPr>
      <t>Y. РШ(90-45)М Al 30-80 CP-ZP.</t>
    </r>
    <r>
      <rPr>
        <sz val="12"/>
        <rFont val="Times New Roman"/>
        <family val="1"/>
        <charset val="204"/>
      </rPr>
      <t xml:space="preserve"> Резка малых шин: с одной стороны торцовка (90</t>
    </r>
    <r>
      <rPr>
        <sz val="12"/>
        <rFont val="Calibri"/>
        <family val="2"/>
        <charset val="204"/>
      </rPr>
      <t>◦)</t>
    </r>
    <r>
      <rPr>
        <sz val="12"/>
        <rFont val="Times New Roman"/>
        <family val="1"/>
        <charset val="204"/>
      </rPr>
      <t xml:space="preserve">, с другой под углом 45◦, в соответствии с чертежем. </t>
    </r>
  </si>
  <si>
    <r>
      <rPr>
        <b/>
        <sz val="14"/>
        <rFont val="Times New Roman"/>
        <family val="1"/>
        <charset val="204"/>
      </rPr>
      <t>Y. РШ(90-45)Б Al 100-200 CP-ZP.</t>
    </r>
    <r>
      <rPr>
        <sz val="12"/>
        <rFont val="Times New Roman"/>
        <family val="1"/>
        <charset val="204"/>
      </rPr>
      <t xml:space="preserve"> Резка больших шин: с одной стороны торцовка (90</t>
    </r>
    <r>
      <rPr>
        <sz val="12"/>
        <rFont val="Calibri"/>
        <family val="2"/>
        <charset val="204"/>
      </rPr>
      <t>◦)</t>
    </r>
    <r>
      <rPr>
        <sz val="12"/>
        <rFont val="Times New Roman"/>
        <family val="1"/>
        <charset val="204"/>
      </rPr>
      <t>, с другой под углом 45◦, в соответствии с чертежем.</t>
    </r>
  </si>
  <si>
    <r>
      <rPr>
        <b/>
        <sz val="14"/>
        <rFont val="Times New Roman"/>
        <family val="1"/>
        <charset val="204"/>
      </rPr>
      <t>Y. РШ(45-45)М Al 30-80 ZP.</t>
    </r>
    <r>
      <rPr>
        <sz val="14"/>
        <rFont val="Times New Roman"/>
        <family val="1"/>
        <charset val="204"/>
      </rPr>
      <t xml:space="preserve"> Резка малых шин с обеих сторон под углом 45◦, в соответствии с чертежем.</t>
    </r>
  </si>
  <si>
    <r>
      <rPr>
        <b/>
        <sz val="14"/>
        <rFont val="Times New Roman"/>
        <family val="1"/>
        <charset val="204"/>
      </rPr>
      <t>Y. РШ(45-45)Б Al 100-200 ZP.</t>
    </r>
    <r>
      <rPr>
        <sz val="14"/>
        <rFont val="Times New Roman"/>
        <family val="1"/>
        <charset val="204"/>
      </rPr>
      <t xml:space="preserve"> Резка больших шин с обеих сторон под углом 45◦, в соответствии с чертежем. </t>
    </r>
  </si>
  <si>
    <t>Приготовление 5 кг (1 тарная единица)  смеси для напыления (новый порошок + рекупират) в утвержденной пропорции.</t>
  </si>
  <si>
    <t>Y. ТУШ 100-200 Al СP-S.  Торцевание и зачистка углов из шин, после сварки (2 торца). Для НЕстандартных вертикальных угловых элементов.</t>
  </si>
  <si>
    <t>Y. ТУШ 30-80 Al СP-S.  Торцевание и зачистка углов из шин, после сварки (2 торца). Для НЕстандартных вертикальных угловых элементов.</t>
  </si>
  <si>
    <t>Работа пробивном станке JPSK. Длина пластин. Уборка.</t>
  </si>
  <si>
    <t>00801</t>
  </si>
  <si>
    <t>00802</t>
  </si>
  <si>
    <t>00803</t>
  </si>
  <si>
    <t>00804</t>
  </si>
  <si>
    <t>00805</t>
  </si>
  <si>
    <t>00806</t>
  </si>
  <si>
    <t>00807</t>
  </si>
  <si>
    <t>МАШИНА Торцевания и гибки шин</t>
  </si>
  <si>
    <t>МАШИНА напыления шин</t>
  </si>
  <si>
    <t>Автоматическая подготовка шин. ЦЕХ № 2.</t>
  </si>
  <si>
    <t>АРГШ AL 50 FE, FE-S3 автоматическая резка и гибка шин шириной 50 мм и длиной 2000-3000 мм.</t>
  </si>
  <si>
    <t>АРГШ AL 50 FE-S2 автоматическая резка и гибка шин шириной 50 мм и длиной 1300-1999 мм.</t>
  </si>
  <si>
    <t>АРГШ AL 65 FE-S2 автоматическая резка и гибка шин шириной 65 мм и длиной 1300-1999 мм.</t>
  </si>
  <si>
    <t>АРГШ AL 65 FE, FE-S3 автоматическая резка и гибка шин шириной 65 мм и длиной 2000-3000 мм.</t>
  </si>
  <si>
    <t>АРГШ AL 75 FE-S2 автоматическая резка и гибка шин шириной 75 мм и длиной 1300-1999 мм.</t>
  </si>
  <si>
    <t>АРГШ AL 75 FE, FE-S3 автоматическая резка и гибка шин шириной 75 мм и длиной 2000-3000 мм.</t>
  </si>
  <si>
    <t>АРГШ AL 100 FE-S2 автоматическая резка и гибка шин шириной 100 мм и длиной 1300-1999 мм.</t>
  </si>
  <si>
    <t>АРГШ AL 100 FE, FE-S3 автоматическая резка и гибка шин шириной 100 мм и длиной 2000-3000 мм.</t>
  </si>
  <si>
    <t>АРГШ AL 130 FE-S2 автоматическая резка и гибка шин шириной 130 мм и длиной 1300-1999 мм.</t>
  </si>
  <si>
    <t>АРГШ AL 130 FE, FE-S3 автоматическая резка и гибка шин шириной 130 мм и длиной 2000-3000 мм.</t>
  </si>
  <si>
    <t>АРГШ AL 160 FE, FE-S3 автоматическая резка и гибка шин шириной 160 мм и длиной 2000-3000 мм.</t>
  </si>
  <si>
    <t>АРГШ AL 160 FE-S2 автоматическая резка и гибка шин шириной 160 мм и длиной 1300-1999 мм.</t>
  </si>
  <si>
    <t>АРГШ AL 200 FE-S2 автоматическая резка и гибка шин шириной 200 мм и длиной 1300-1999 мм.</t>
  </si>
  <si>
    <t>АРГШ AL 200 FE, FE-S3 автоматическая резка и гибка шин шириной 200 мм и длиной 2000-3000 мм.</t>
  </si>
  <si>
    <t>00808</t>
  </si>
  <si>
    <t>00809</t>
  </si>
  <si>
    <t>00810</t>
  </si>
  <si>
    <t>00811</t>
  </si>
  <si>
    <t>00812</t>
  </si>
  <si>
    <t>00813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</si>
  <si>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</si>
  <si>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</si>
  <si>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</si>
  <si>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</si>
  <si>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</si>
  <si>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</si>
  <si>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</si>
  <si>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</si>
  <si>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</si>
  <si>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</si>
  <si>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</si>
  <si>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</si>
  <si>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</si>
  <si>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</si>
  <si>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</si>
  <si>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</si>
  <si>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</si>
  <si>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</si>
  <si>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</si>
  <si>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</si>
  <si>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</si>
  <si>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</si>
  <si>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</si>
  <si>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</si>
  <si>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</si>
  <si>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</si>
  <si>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</si>
  <si>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</si>
  <si>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АВИЗ AL 50 FE-S2 автоматическое изолирование шин шириной 50 мм и длиной 1300-1999 мм.</t>
  </si>
  <si>
    <t>АВИЗ AL 50 FE, FE-S3 автоматическое изолирование шин шириной 50 мм и длиной 2000-3000 мм.</t>
  </si>
  <si>
    <t>АВИЗ AL 65 FE-S2 автоматическое изолирование шин шириной 65 мм и длиной 1300-1999 мм.</t>
  </si>
  <si>
    <t>АВИЗ AL 65 FE, FE-S3 автоматическое изолирование шин шириной 65 мм и длиной 2000-3000 мм.</t>
  </si>
  <si>
    <t>АВИЗ AL 75 FE-S2 автоматическое изолирование шин шириной 75 мм и длиной 1300-1999 мм.</t>
  </si>
  <si>
    <t>АВИЗ AL 75 FE, FE-S3 автоматическое изолирование шин шириной 75 мм и длиной 2000-3000 мм.</t>
  </si>
  <si>
    <t>АВИЗ AL 100 FE-S2 автоматическое изолирование шин шириной 100 мм и длиной 1300-1999 мм.</t>
  </si>
  <si>
    <t>АВИЗ AL 100 FE, FE-S3 автоматическое изолирование шин шириной 100 мм и длиной 2000-3000 мм.</t>
  </si>
  <si>
    <t>АВИЗ AL 130 FE-S2 автоматическое изолирование шин шириной 130 мм и длиной 1300-1999 мм.</t>
  </si>
  <si>
    <t>АВИЗ AL 130 FE, FE-S3 автоматическое изолирование шин шириной 130 мм и длиной 2000-3000 мм.</t>
  </si>
  <si>
    <t>АВИЗ AL 160 FE-S2 автоматическое изолирование шин шириной 160 мм и длиной 1300-1999 мм.</t>
  </si>
  <si>
    <t>АВИЗ AL 160 FE, FE-S3 автоматическое изолирование шин шириной 160 мм и длиной 2000-3000 мм.</t>
  </si>
  <si>
    <t>АВИЗ AL 200 FE-S2 автоматическое изолирование шин шириной 200 мм и длиной 1300-1999 мм.</t>
  </si>
  <si>
    <t>АВИЗ AL 200 FE, FE-S3 автоматическое изолирование шин шириной 200 мм и длиной 2000-3000 мм.</t>
  </si>
  <si>
    <t>АНАП AL 50 FE-S2 автоматическое напыление шин шириной 50 мм и длиной 1300-1999 мм.</t>
  </si>
  <si>
    <t>АНАП AL 50 FE, FE-S3 автоматическое напыление шин шириной 50 мм и длиной 2000-3000 мм.</t>
  </si>
  <si>
    <t>АНАП AL 65 FE-S2 автоматическое напыление шин шириной 65 мм и длиной 1300-1999 мм.</t>
  </si>
  <si>
    <t>АНАП AL 65 FE, FE-S3 автоматическое напыление шин шириной 65 мм и длиной 2000-3000 мм.</t>
  </si>
  <si>
    <t>АНАП AL 75 FE-S2 автоматическое напыление шин шириной 75 мм и длиной 1300-1999 мм.</t>
  </si>
  <si>
    <t>АНАП AL 75 FE, FE-S3 автоматическое напыление шин шириной 75 мм и длиной 2000-3000 мм.</t>
  </si>
  <si>
    <t>АНАП AL 100 FE-S2 автоматическое напыление шин шириной 100 мм и длиной 1300-1999 мм.</t>
  </si>
  <si>
    <t>АНАП AL 100 FE, FE-S3 автоматическое напыление шин шириной 100 мм и длиной 2000-3000 мм.</t>
  </si>
  <si>
    <t>АНАП AL 130 FE-S2 автоматическое напыление шин шириной 130 мм и длиной 1300-1999 мм.</t>
  </si>
  <si>
    <t>АНАП AL 130 FE, FE-S3 автоматическое напыление шин шириной 130 мм и длиной 2000-3000 мм.</t>
  </si>
  <si>
    <t>АНАП AL 160 FE-S2 автоматическое напыление шин шириной 160 мм и длиной 1300-1999 мм.</t>
  </si>
  <si>
    <t>АНАП AL 160 FE, FE-S3 автоматическое напыление шин шириной 160 мм и длиной 2000-3000 мм.</t>
  </si>
  <si>
    <t>АНАП AL 200 FE-S2 автоматическое напыление шин шириной 200 мм и длиной 1300-1999 мм.</t>
  </si>
  <si>
    <t>АНАП AL 200 FE, FE-S3 автоматическое напыление шин шириной 200 мм и длиной 2000-3000 мм.</t>
  </si>
  <si>
    <t>МАШИНА изолировки шин (с учетом замены рулона скотча)</t>
  </si>
  <si>
    <t>Гибка медной ошиновки Cu 1,0 мм (гибка производится по общему чертежу за комплект, 8-14 шт.) С учетом стяжки болтами, маркировки номера чертежа и зон напыления, комплектованием на поддон.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</si>
  <si>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</si>
  <si>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</si>
  <si>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</si>
  <si>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</si>
  <si>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</si>
  <si>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</si>
  <si>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</si>
  <si>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</si>
  <si>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</si>
  <si>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</si>
  <si>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</si>
  <si>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</si>
  <si>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01470</t>
  </si>
  <si>
    <t xml:space="preserve">Зачистка сварных швов на малых 65-250 мм  "флажках" АТТ </t>
  </si>
  <si>
    <t xml:space="preserve">Зачистка сварных швов на больших 250-500 "флажках" АТТ </t>
  </si>
  <si>
    <t>01471</t>
  </si>
  <si>
    <t>01472</t>
  </si>
  <si>
    <t>01480</t>
  </si>
  <si>
    <t>01481</t>
  </si>
  <si>
    <t>01482</t>
  </si>
  <si>
    <t xml:space="preserve">Зачистка сварных швов на "флажках" длиной 30 мм, на Аl шинах для секций Pi (2-4 шт.). </t>
  </si>
  <si>
    <t xml:space="preserve">Зачистка сварных швов на "флажках" длиной 60 мм, на Аl шинах для секций Pi (2-4 шт.). </t>
  </si>
  <si>
    <t>Зачистка шин и сварных швов  (УШМ, абразивная губка, напильник)</t>
  </si>
  <si>
    <t>00814</t>
  </si>
  <si>
    <t>00844</t>
  </si>
  <si>
    <t>00874</t>
  </si>
  <si>
    <t>ПС Al FE-S1  Полная сборка прямой секции длиной до 999 мм. Ручной клинчинг.</t>
  </si>
  <si>
    <t>ПС РК Al FE-S1 до 800А. Полная сборка прямой секции. Вставки, PE, ручной клинчинг.</t>
  </si>
  <si>
    <t>ПС РК Al FE-S1 до 1000А. Полная сборка прямой секции. Вставки, PE, ручной клинчинг.</t>
  </si>
  <si>
    <t>ПС РК Al FE-S1 до 1250А. Полная сборка прямой секции. Вставки, PE, ручной клинчинг.</t>
  </si>
  <si>
    <t>ПС РК Al FE-S1 1600А. Полная сборка прямой секции. Вставки, PE, ручной клинчинг.</t>
  </si>
  <si>
    <t>ПС РК Al FE-S1 2000А. Полная сборка прямой секции. Вставки, PE, ручной клинчинг.</t>
  </si>
  <si>
    <t>ПС РК Al FE-S1 до 2500А. Полная сборка прямой секции. Вставки, PE, ручной клинчинг, соединение пакетов.</t>
  </si>
  <si>
    <t>ПС РК Al FE-S1 до 3200А. Полная сборка прямой секции. Вставки, PE, ручной клинчинг, соединение пакетов.</t>
  </si>
  <si>
    <t>ПС РК Al FE-S1 до 4000А. Полная сборка прямой секции. Вставки, PE, ручной клинчинг, соединение пакетов.</t>
  </si>
  <si>
    <t>ПС РК Al FE-S1 до 5000А. Полная сборка прямой секции. Вставки, PE, ручной клинчинг, соединение пакетов.</t>
  </si>
  <si>
    <t>ПС РК Al FE-S1 до 6300А. Полная сборка прямой секции. Вставки, PE, ручной клинчинг, соединение пакетов.</t>
  </si>
  <si>
    <t>ПС Al FE-S2  Полная сборка прямой секции длиной 1000-1299 мм. Ручной клинчинг.</t>
  </si>
  <si>
    <t>ПС РК Al FE-S2 до 800А. Полная сборка прямой секции длиной 1000-1299. Вставки, PE, ручной клинчинг.</t>
  </si>
  <si>
    <t>ПС РК Al FE-S2 до 1000А. Полная сборка прямой секции длиной 1000-1299. Вставки, PE, ручной клинчинг.</t>
  </si>
  <si>
    <t>ПС РК Al FE-S2 до 1250А. Полная сборка прямой секции длиной 1000-1299. Вставки, PE, ручной клинчинг.</t>
  </si>
  <si>
    <t>ПС РК Al FE-S2 1600А. Полная сборка прямой секции длиной 1000-1299. Вставки, PE, ручной клинчинг.</t>
  </si>
  <si>
    <t>ПС РК Al FE-S2 2000А. Полная сборка прямой секции длиной 1000-1299. Вставки, PE, ручной клинчинг.</t>
  </si>
  <si>
    <t>ПС РК Al FE-S2 до 2500А. Полная сборка прямой секции длиной 1000-1299. Вставки, PE, ручной клинчинг, соединение пакетов.</t>
  </si>
  <si>
    <t>ПС РК Al FE-S2 до 3200А. Полная сборка прямой длиной 1000-1299 секции. Вставки, PE, ручной клинчинг, соединение пакетов.</t>
  </si>
  <si>
    <t>ПС РК Al FE-S2 до 4000А. Полная сборка прямой секции длиной 1000-1299. Вставки, PE, ручной клинчинг, соединение пакетов.</t>
  </si>
  <si>
    <t>ПС РК Al FE-S2 до 5000А. Полная сборка прямой секции длиной 1000-1299. Вставки, PE, ручной клинчинг, соединение пакетов.</t>
  </si>
  <si>
    <t>ПС РК Al FE-S2 до 6300А. Полная сборка прямой секции длиной 1000-1299. Вставки, PE, ручной клинчинг, соединение пакетов.</t>
  </si>
  <si>
    <t>ПС ПА Al FE-S2 до 800А. Полная сборка прямой секции 1300-1999 мм на полуавтоматической линии (сжатие, переворот)</t>
  </si>
  <si>
    <t>ПС Al FE-S2 до 1000А. Полная сборка прямой секции 1300-1999 мм на полуавтоматической линии (сжатие, переворот)</t>
  </si>
  <si>
    <t>ПС Al FE-S2 до 1250А. Полная сборка прямой секции 1300-1999 мм на полуавтоматической линии (сжатие, переворот)</t>
  </si>
  <si>
    <t>ПС Al FE-S2 1600А. Полная сборка прямой секции 1300-1999 мм на полуавтоматической линии (сжатие, переворот)</t>
  </si>
  <si>
    <t>ПС Al FE-S2 2000А. Полная сборка прямой секции 1300-1999 мм на полуавтоматической линии (сжатие, переворот)</t>
  </si>
  <si>
    <t>ПС Al FE-S2 до 2500А. Полная сборка прямой секции 1300-1999 мм на П/А линии (сжатие, переворот) соединение пакетов.</t>
  </si>
  <si>
    <t>ПС Al FE-S2 до 3200А. Полная сборка прямой секции 1300-1999 мм на П/А линии (сжатие, переворот) соединение пакетов.</t>
  </si>
  <si>
    <t>ПС Al FE-S2 до 4000А. Полная сборка прямой секции 1300-1999 мм на П/А линии (сжатие, переворот) соединение пакетов.</t>
  </si>
  <si>
    <t>ПС Al FE-S2 до 5000А. Полная сборка прямой секции 1300-1999 мм на П/А линии (сжатие, переворот) соединение пакетов.</t>
  </si>
  <si>
    <t>ПС Al FE-S2 до 6300А. Полная сборка прямой секции 1300-1999 мм на П/А линии (сжатие, переворот) соединение пакетов.</t>
  </si>
  <si>
    <t xml:space="preserve">ПС ПА Al  FE, FE-S3  Полная сборка прямой секции длиной 2000-3000 мм. На полуавтоматической линии </t>
  </si>
  <si>
    <t>ПС ПА Al FE, FE-S3 до 800А. Полная сборка прямой секции 2000-3000 мм на полуавтоматической линии (сжатие, переворот)</t>
  </si>
  <si>
    <t>ПС ПА Al FE, FE-S3 до 1000А. Полная сборка прямой секции 2000-3000 мм на полуавтоматической линии (сжатие, переворот)</t>
  </si>
  <si>
    <t>ПС ПА Al FE, FE-S3 до 1250А. Полная сборка прямой секции 2000-3000 мм на полуавтоматической линии (сжатие, переворот)</t>
  </si>
  <si>
    <t>ПС ПА Al FE, FE-S3 1600А. Полная сборка прямой секции 2000-3000 мм на полуавтоматической линии (сжатие, переворот)</t>
  </si>
  <si>
    <t>ПС ПА Al FE, FE-S3 2000А. Полная сборка прямой секции 2000-3000 мм на полуавтоматической линии (сжатие, переворот)</t>
  </si>
  <si>
    <t>ПС ПА Al FE, FE-S3 до 2500А. Полная сборка прямой секции 2000-3000 мм на П/А линии (сжатие, переворот) соединение пакетов.</t>
  </si>
  <si>
    <t>ПС ПА Al FE, FE-S3 до 3200А. Полная сборка прямой секции 2000-3000 мм на П/А линии (сжатие, переворот) соединение пакетов.</t>
  </si>
  <si>
    <t>ПС ПА Al FE, FE-S3 до 4000А. Полная сборка прямой секции 2000-3000 мм на П/А линии (сжатие, переворот) соединение пакетов.</t>
  </si>
  <si>
    <t>ПС ПА Al FE, FE-S3 до 5000А. Полная сборка прямой секции 2000-3000 мм на П/А линии (сжатие, переворот) соединение пакетов.</t>
  </si>
  <si>
    <t>ПС ПА Al FE, FE-S3 до 6300А. Полная сборка прямой секции 2000-3000 мм на П/А линии (сжатие, переворот) соединение пакетов.</t>
  </si>
  <si>
    <t xml:space="preserve">ПС ПА Al FE-S2  Полная сборка прямой секции длиной 1300-1999 мм. На полуавтоматической линии 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</si>
  <si>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</si>
  <si>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</si>
  <si>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</si>
  <si>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</si>
  <si>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</si>
  <si>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</si>
  <si>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</si>
  <si>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</si>
  <si>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</si>
  <si>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</si>
  <si>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</si>
  <si>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</si>
  <si>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</si>
  <si>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</si>
  <si>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</si>
  <si>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</si>
  <si>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</si>
  <si>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</si>
  <si>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</si>
  <si>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</si>
  <si>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</si>
  <si>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</si>
  <si>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</si>
  <si>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</si>
  <si>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05089</t>
  </si>
  <si>
    <t>05082</t>
  </si>
  <si>
    <t>05083</t>
  </si>
  <si>
    <t>05084</t>
  </si>
  <si>
    <t>05085</t>
  </si>
  <si>
    <t>05086</t>
  </si>
  <si>
    <t>05087</t>
  </si>
  <si>
    <t>05088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</si>
  <si>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</si>
  <si>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</si>
  <si>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</si>
  <si>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</si>
  <si>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</si>
  <si>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</si>
  <si>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</si>
  <si>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</si>
  <si>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Полная сборка прямых секций FE-V3  с учетом пуклевки, установки вставок, хлебниц и ушей PE.</t>
  </si>
  <si>
    <t>00030</t>
  </si>
  <si>
    <t>00031</t>
  </si>
  <si>
    <t>00032</t>
  </si>
  <si>
    <t>00033</t>
  </si>
  <si>
    <t xml:space="preserve">Y. T. FE-IP55. Торцовка на пиле прямых секций после сборки. </t>
  </si>
  <si>
    <t>Y. T. FE-IP68. Торцовка на пиле прямых литых секций после сборки.</t>
  </si>
  <si>
    <t xml:space="preserve">Y.T. CZ-IP55. Торцовка на пиле непрямых секций после сборки. </t>
  </si>
  <si>
    <t>Y.T. CZ-IP68. Торцовка на пиле непрямых литых секций после сборки.</t>
  </si>
  <si>
    <t>05001</t>
  </si>
  <si>
    <t>Снятие защитного скотча с элементов корпуса секции. (2крышки, 2 боковины)</t>
  </si>
  <si>
    <t>Зачистка</t>
  </si>
  <si>
    <t>АРГШ НЗ переналадка на заготовку другого типоразмера</t>
  </si>
  <si>
    <t>00815</t>
  </si>
  <si>
    <t>00816</t>
  </si>
  <si>
    <t>00817</t>
  </si>
  <si>
    <t>АРГШ НК дополнительная наладка (корректировка параметров) оборудования в течение смены</t>
  </si>
  <si>
    <t>АРГШ ПН пусконаладочные работы в начале сменывнешний осмотр, обнуление параметров, контроль уровня СОЖ).</t>
  </si>
  <si>
    <t>АНАП ПН пусконаладочные работы в начале смены (внешний осмотр, обнуление параметров, контроль уровня СОЖ).</t>
  </si>
  <si>
    <t>АНАП НК дополнительная наладка (корректировка параметров) оборудования в течение смены</t>
  </si>
  <si>
    <t>АНАП НЗ переналадка на заготовку другого типоразмера</t>
  </si>
  <si>
    <t>00845</t>
  </si>
  <si>
    <t>00846</t>
  </si>
  <si>
    <t>АВИЗ ПН пусконаладочные работы в начале смены (внешний осмотр, обнуление параметров, контроль уровня СОЖ).</t>
  </si>
  <si>
    <t>АВИЗ НЗ переналадка на заготовку другого типоразмера</t>
  </si>
  <si>
    <t>АВИЗ НК дополнительная наладка (корректировка параметров) оборудования в течение смены</t>
  </si>
  <si>
    <t>00875</t>
  </si>
  <si>
    <t>00876</t>
  </si>
  <si>
    <t>ЗСШЛ AL 30 CP Зачистка сварного шва после лазерной сварки, с обеих сторон шва, по наружному и внутреннему углам.</t>
  </si>
  <si>
    <t>ЗСШЛ AL 50 CP Зачистка сварного шва после лазерной сварки, с обеих сторон шва, по наружному и внутреннему углам.</t>
  </si>
  <si>
    <t>ЗСШЛ AL 60 CP Зачистка сварного шва РШП после лазерной сварки, с обеих сторон шва, по наружному и внутреннему углам.</t>
  </si>
  <si>
    <t>ЗСШЛ AL 65 CP Зачистка сварного шва после лазерной сварки, с обеих сторон шва, по наружному и внутреннему углам.</t>
  </si>
  <si>
    <t>ЗСШЛ AL 75 CP Зачистка сварного шва после лазерной сварки, с обеих сторон шва, по наружному и внутреннему углам.</t>
  </si>
  <si>
    <t>ЗСШЛ AL 100 CP Зачистка сварного шва после лазерной сварки, с обеих сторон шва, по наружному и внутреннему углам.</t>
  </si>
  <si>
    <t>ЗСШЛ AL 109 CP Зачистка сварного шва РШП после лазерной сварки, с обеих сторон шва, по наружному и внутреннему углам.</t>
  </si>
  <si>
    <t>ЗСШЛ AL 130 CP Зачистка сварного шва после лазерной сварки, с обеих сторон шва, по наружному и внутреннему углам.</t>
  </si>
  <si>
    <t>ЗСШЛ AL 140 CP Зачистка сварного шва РШП после лазерной сварки, с обеих сторон шва, по наружному и внутреннему углам.</t>
  </si>
  <si>
    <t>ЗСШЛ AL 160 CP Зачистка сварного шва после лазерной сварки, с обеих сторон шва, по наружному и внутреннему углам.</t>
  </si>
  <si>
    <t>ЗСШЛ AL 200 CP Зачистка сварного шва после лазерной сварки, с обеих сторон шва, по наружному и внутреннему углам.</t>
  </si>
  <si>
    <t>ЗСШЛ AL 30 ZP Зачистка 2х сварных швов после лазерной сварки, с обеих сторон шва, по наружному и внутреннему углам.</t>
  </si>
  <si>
    <t>ЗСШЛ AL 50 ZP Зачистка 2х сварных швов после лазерной сварки, с обеих сторон шва, по наружному и внутреннему углам.</t>
  </si>
  <si>
    <t>ЗСШЛ AL 60 ZP Зачистка 2х сварных швов РШП после лазерной сварки, с обеих сторон шва, по наружному и внутреннему углам.</t>
  </si>
  <si>
    <t>ЗСШЛ AL 65 ZP Зачистка 2х сварных швов после лазерной сварки, с обеих сторон шва, по наружному и внутреннему углам.</t>
  </si>
  <si>
    <t>ЗСШЛ AL 75 ZP Зачистка 2х сварных швов после лазерной сварки, с обеих сторон шва, по наружному и внутреннему углам.</t>
  </si>
  <si>
    <t>ЗСШЛ AL 100 ZP Зачистка 2х сварных швов после лазерной сварки, с обеих сторон шва, по наружному и внутреннему углам.</t>
  </si>
  <si>
    <t>ЗСШЛ AL 109 ZP Зачистка 2х сварных швов РШП после лазерной сварки, с обеих сторон шва, по наружному и внутреннему углам.</t>
  </si>
  <si>
    <t>ЗСШЛ AL 130 ZP Зачистка 2х сварных швов после лазерной сварки, с обеих сторон шва, по наружному и внутреннему углам.</t>
  </si>
  <si>
    <t>ЗСШЛ AL 140 ZP Зачистка 2х сварных швов РШП после лазерной сварки, с обеих сторон шва, по наружному и внутреннему углам.</t>
  </si>
  <si>
    <t>ЗСШЛ AL 160 ZP Зачистка 2х сварных швов после лазерной сварки, с обеих сторон шва, по наружному и внутреннему углам.</t>
  </si>
  <si>
    <t>ЗСШЛ AL 200 ZP Зачистка 2х сварных швов после лазерной сварки, с обеих сторон шва, по наружному и внутреннему углам.</t>
  </si>
  <si>
    <t>Позиционирование на сварочном столе многошовных заготовок (Z,P,ZDP..)</t>
  </si>
  <si>
    <t>ПФЛ-1. FE-S1. 100-800 А. Сборка корпуса прямой секции ЛШП, присоединение 2 боковин к нижней крышке посредством герметика и заклепок/руч. клинчинга.</t>
  </si>
  <si>
    <t>ПФЛ-1. FE-S2. 100-800 А. Сборка корпуса прямой секции ЛШП, присоединение 2 боковин к нижней крышке посредством герметика и заклепок/руч. клинчинга.</t>
  </si>
  <si>
    <t>ПФЛ-1. FE-S3. 100-800 А. Сборка корпуса прямой секции ЛШП, присоединение 2 боковин к нижней крышке посредством герметика и заклепок/руч. клинчинга.</t>
  </si>
  <si>
    <t>ПФЛ-1.FE- S1. 1000-2000 А. Сборка корпуса прямой секции ЛШП, присоединение 2 боковин к нижней крышке посредством герметика и заклепок/руч. клинчинга.</t>
  </si>
  <si>
    <t>ПФЛ-1. FE-S2. 1000-2000 А. Сборка корпуса прямой секции ЛШП, присоединение 2 боковин к нижней крышке посредством герметика и заклепок/руч. клинчинга.</t>
  </si>
  <si>
    <t>ПФЛ-1. FE-S3. 1000-2000 А. Сборка корпуса прямой секции ЛШП, присоединение 2 боковин к нижней крышке посредством герметика и заклепок/руч. клинчинга.</t>
  </si>
  <si>
    <t>ПФЛ-1. CD. 100-800 А. Сборка корпуса ЛШП, присоединение 2 боковин к нижней крышке посредством герметика и заклепок/руч. клинчинга.</t>
  </si>
  <si>
    <t>ПФЛ-1. ZD. 100-800 А. Сборка  корпуса ЛШП, присоединение 2 боковин к нижней крышке посредством герметика и заклепок/руч. клинчинга.</t>
  </si>
  <si>
    <t>ПФЛ-1. CP. 100-800 А. Сборка  корпуса ЛШ, присоединение 2 боковин к нижней крышке посредством герметика и заклепок/руч. клинчинга.</t>
  </si>
  <si>
    <t>ПФЛ-1. ZP. 100-800 А. Сборка  корпуса ЛШП, присоединение 2 боковин к нижней крышке посредством герметика и заклепок/руч. клинчинга.</t>
  </si>
  <si>
    <t xml:space="preserve">ПФЛ-1.CD. 1000-2000 А. Сборка  корпуса ЛШП, присоединение 2 боковин к нижней крышке посредством герметика и заклепок/руч. клинчинга. </t>
  </si>
  <si>
    <t>ПФЛ-1. ZD. 1000-2000 А. Сборка  корпуса ЛШП, присоединение 2 боковин к нижней крышке посредством герметика и заклепок/руч. клинчинга.</t>
  </si>
  <si>
    <t>ПФЛ-1.CP. 1000-2000 А. Сборка  корпуса ЛШП, присоединение 2 боковин к нижней крышке посредством герметика и заклепок/руч. клинчинга.</t>
  </si>
  <si>
    <t>ПФЛ-1. ZP. 1000-2000 А. Сборка  корпуса ЛШП, присоединение 2 боковин к нижней крышке посредством герметика и заклепок/руч. клинчинга.</t>
  </si>
  <si>
    <t>0000</t>
  </si>
  <si>
    <t>Резка на пиле</t>
  </si>
  <si>
    <t>Авт. линия подготовки шин. Цех №2.</t>
  </si>
  <si>
    <t>БАЗА!A491</t>
  </si>
  <si>
    <t>Монтаж переходной пластины на 2-х пакетную ATSC, на  4 болта.</t>
  </si>
  <si>
    <t>05199</t>
  </si>
  <si>
    <t>Сварка сопел для ДИМЕТ</t>
  </si>
  <si>
    <t>01688</t>
  </si>
  <si>
    <t>Изготовление расходных деталей, изделий и комплектующих для производства</t>
  </si>
  <si>
    <t>Проекты Кластер ЦОД Северсталь</t>
  </si>
  <si>
    <t>02660</t>
  </si>
  <si>
    <t>Полная сборка ЯОМ "Кластер ЦОД Северсталь", по образцу. Нарезка в размер и опрессовка наконечников гибкой ошиновки, наклейки.</t>
  </si>
  <si>
    <t>Полная сборка стыков, сводные нормы, без учета нарезки трубочек и лазерной маркировки направляющих. Без крышек. С учетом подготовки пластин и шин стыков, распаковки шайб и сборки.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</si>
  <si>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</si>
  <si>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</si>
  <si>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</si>
  <si>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</si>
  <si>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</si>
  <si>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</si>
  <si>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</si>
  <si>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</si>
  <si>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</si>
  <si>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</si>
  <si>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</si>
  <si>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</si>
  <si>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</si>
  <si>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</si>
  <si>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</si>
  <si>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</si>
  <si>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</si>
  <si>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</si>
  <si>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</si>
  <si>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</si>
  <si>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</si>
  <si>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</si>
  <si>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</si>
  <si>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</si>
  <si>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</si>
  <si>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</si>
  <si>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ПС G1 250. Полная сборка стыка, с учетом подготовки пластин и сборки шин стыков. НА КЛЕЙ.</t>
  </si>
  <si>
    <t>ПС G1 400. Полная сборка стыка, с учетом подготовки пластин и сборки шин стыков. НА КЛЕЙ.</t>
  </si>
  <si>
    <t>ПС G1 630. Полная сборка стыка, с учетом подготовки пластин и сборки шин стыков. НА КЛЕЙ.</t>
  </si>
  <si>
    <t>ПС G1 800. Полная сборка стыка, с учетом подготовки пластин и сборки шин стыков. НА КЛЕЙ.</t>
  </si>
  <si>
    <t>ПС G1 1000. Полная сборка стыка, с учетом подготовки пластин и сборки шин стыков. НА КЛЕЙ.</t>
  </si>
  <si>
    <t>ПС G2 1250. Полная сборка стыка, с учетом подготовки пластин и сборки шин стыков. НА КЛЕЙ.</t>
  </si>
  <si>
    <t>ПС G2 1600. Полная сборка стыка, с учетом подготовки пластин и сборки шин стыков. НА КЛЕЙ.</t>
  </si>
  <si>
    <t>ПС G3 2000. Полная сборка стыка, с учетом подготовки пластин и сборки шин стыков. НА КЛЕЙ.</t>
  </si>
  <si>
    <t>02150</t>
  </si>
  <si>
    <t>Полная сборка стыков G,GF-5P IP68 (12 пластин, 6 изоляторов - шин стыка)</t>
  </si>
  <si>
    <t>Полная сборка стыков G,GF-4P-5P IP55; G,GF-4P IP68  (10 пластин, 5 изоляторов - шин стыка)</t>
  </si>
  <si>
    <t>ПС G1 160. Полная сборка стыка, с учетом подготовки пластин и сборки шин стыков. НА КЛЕЙ.</t>
  </si>
  <si>
    <t>ПС GF2 160. Полная сборка стыка, с учетом подготовки пластин и сборки шин стыков. НА СКОТЧ.</t>
  </si>
  <si>
    <t>ПС GF2 250. Полная сборка стыка, с учетом подготовки пластин и сборки шин стыков. НА СКОТЧ.</t>
  </si>
  <si>
    <t>ПС GF2 400. Полная сборка стыка, с учетом подготовки пластин и сборки шин стыков. НА СКОТЧ.</t>
  </si>
  <si>
    <t>ПС GF2 630. Полная сборка стыка, с учетом подготовки пластин и сборки шин стыков. НА СКОТЧ.</t>
  </si>
  <si>
    <t>ПС GF2 800. Полная сборка стыка, с учетом подготовки пластин и сборки шин стыков. НА СКОТЧ.</t>
  </si>
  <si>
    <t>ПС GF2 1000. Полная сборка стыка, с учетом подготовки пластин и сборки шин стыков. НА СКОТЧ.</t>
  </si>
  <si>
    <t>ПС GF3 1250. Полная сборка стыка, с учетом подготовки пластин и сборки шин стыков. НА СКОТЧ.</t>
  </si>
  <si>
    <t>ПС GF3 1600. Полная сборка стыка, с учетом подготовки пластин и сборки шин стыков. НА СКОТЧ.</t>
  </si>
  <si>
    <t xml:space="preserve">ПС GF4 2000. Полная сборка стыка, с учетом подготовки пластин и сборки шин стыков. НА СКОТЧ. </t>
  </si>
  <si>
    <t>ПС G1 160. 5P-68. Полная сборка стыка, с учетом подготовки пластин и сборки шин стыков. НА КЛЕЙ.</t>
  </si>
  <si>
    <t>ПС GF2 160. 5P-68. Полная сборка стыка, с учетом подготовки пластин и сборки шин стыков. НА СКОТЧ.</t>
  </si>
  <si>
    <t>ПС G1 250. 5P-68. Полная сборка стыка, с учетом подготовки пластин и сборки шин стыков. НА КЛЕЙ.</t>
  </si>
  <si>
    <t>ПС GF2 250. 5P-68. Полная сборка стыка, с учетом подготовки пластин и сборки шин стыков. НА СКОТЧ.</t>
  </si>
  <si>
    <t>ПС G1 400. 5P-68. Полная сборка стыка, с учетом подготовки пластин и сборки шин стыков. НА КЛЕЙ.</t>
  </si>
  <si>
    <t>ПС GF2 400. 5P-68. Полная сборка стыка, с учетом подготовки пластин и сборки шин стыков. НА СКОТЧ.</t>
  </si>
  <si>
    <t>ПС G1 630. 5P-68 Полная сборка стыка, с учетом подготовки пластин и сборки шин стыков. НА КЛЕЙ.</t>
  </si>
  <si>
    <t>ПС GF2 630. 5P-68 Полная сборка стыка, с учетом подготовки пластин и сборки шин стыков. НА СКОТЧ.</t>
  </si>
  <si>
    <t>ПС G1 800. 5P-68 Полная сборка стыка, с учетом подготовки пластин и сборки шин стыков. НА КЛЕЙ.</t>
  </si>
  <si>
    <t>ПС GF2 800. 5P-68 Полная сборка стыка, с учетом подготовки пластин и сборки шин стыков. НА СКОТЧ.</t>
  </si>
  <si>
    <t>ПС G1 1000. 5P-68 Полная сборка стыка, с учетом подготовки пластин и сборки шин стыков. НА КЛЕЙ.</t>
  </si>
  <si>
    <t>ПС GF2 1000. 5P-68 Полная сборка стыка, с учетом подготовки пластин и сборки шин стыков. НА СКОТЧ.</t>
  </si>
  <si>
    <t>ПС G2 1250. 5P-68 Полная сборка стыка, с учетом подготовки пластин и сборки шин стыков. НА КЛЕЙ.</t>
  </si>
  <si>
    <t>ПС GF3 1250. 5P-68 Полная сборка стыка, с учетом подготовки пластин и сборки шин стыков. НА СКОТЧ.</t>
  </si>
  <si>
    <t>ПС G2 1600. 5P-68 Полная сборка стыка, с учетом подготовки пластин и сборки шин стыков. НА КЛЕЙ.</t>
  </si>
  <si>
    <t>ПС GF3 1600. 5P-68 Полная сборка стыка, с учетом подготовки пластин и сборки шин стыков. НА СКОТЧ.</t>
  </si>
  <si>
    <t>ПС G3 2000. 5P-68 Полная сборка стыка, с учетом подготовки пластин и сборки шин стыков. НА КЛЕЙ.</t>
  </si>
  <si>
    <t xml:space="preserve">ПС GF4 2000. 5P-68 Полная сборка стыка, с учетом подготовки пластин и сборки шин стыков. НА СКОТЧ. 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</si>
  <si>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</si>
  <si>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</si>
  <si>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</si>
  <si>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</si>
  <si>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</si>
  <si>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</si>
  <si>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</si>
  <si>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</si>
  <si>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</si>
  <si>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</si>
  <si>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</si>
  <si>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</si>
  <si>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</si>
  <si>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</si>
  <si>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</si>
  <si>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</si>
  <si>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</si>
  <si>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</si>
  <si>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</si>
  <si>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</si>
  <si>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</si>
  <si>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</si>
  <si>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</si>
  <si>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</si>
  <si>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</si>
  <si>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ПС G4 3200. Полная сборка стыка, с учетом подготовки пластин и сборки шин стыков. НА СКОТЧ.</t>
  </si>
  <si>
    <t>ПС GF5 3200. Полная сборка стыка, с учетом подготовки пластин и сборки шин стыков. НА СКОТЧ.</t>
  </si>
  <si>
    <t>ПС G6 4000. Полная сборка стыка, с учетом подготовки пластин и сборки шин стыков. НА СКОТЧ.</t>
  </si>
  <si>
    <t>ПС GF7 4000. Полная сборка стыка, с учетом подготовки пластин и сборки шин стыков. НА СКОТЧ.</t>
  </si>
  <si>
    <t>ПС G8 5000. Полная сборка стыка, с учетом подготовки пластин и сборки шин стыков. НА СКОТЧ.</t>
  </si>
  <si>
    <t>ПС GF9 5000. Полная сборка стыка, с учетом подготовки пластин и сборки шин стыков. НА СКОТЧ.</t>
  </si>
  <si>
    <t>ПС G8 6300. Полная сборка стыка, с учетом подготовки пластин и сборки шин стыков. НА СКОТЧ.</t>
  </si>
  <si>
    <t>ПС GF9 6300. Полная сборка стыка, с учетом подготовки пластин и сборки шин стыков. НА СКОТЧ.</t>
  </si>
  <si>
    <t>ПС G4 3200. 5P-68 Полная сборка стыка, с учетом подготовки пластин и сборки шин стыков. НА СКОТЧ.</t>
  </si>
  <si>
    <t>ПС GF5 3200. 5P-68 Полная сборка стыка, с учетом подготовки пластин и сборки шин стыков. НА СКОТЧ.</t>
  </si>
  <si>
    <t>ПС GF7 4000. 5P-68 Полная сборка стыка, с учетом подготовки пластин и сборки шин стыков. НА СКОТЧ.</t>
  </si>
  <si>
    <t>ПС G6 4000. 5P-68 Полная сборка стыка, с учетом подготовки пластин и сборки шин стыков. НА СКОТЧ.</t>
  </si>
  <si>
    <t>ПС G8 5000. 5P-68 Полная сборка стыка, с учетом подготовки пластин и сборки шин стыков. НА СКОТЧ.</t>
  </si>
  <si>
    <t>ПС G8 6300. 5P-68 Полная сборка стыка, с учетом подготовки пластин и сборки шин стыков. НА СКОТЧ.</t>
  </si>
  <si>
    <t>ПС GF9 5000. 5P-68 Полная сборка стыка, с учетом подготовки пластин и сборки шин стыков. НА СКОТЧ.</t>
  </si>
  <si>
    <t>ПС GF9 6300. 5P-68 Полная сборка стыка, с учетом подготовки пластин и сборки шин стыков. НА СКОТЧ.</t>
  </si>
  <si>
    <t>ПС Al TP до 5000А. Полная сборка вертикальной Т-образной секции.</t>
  </si>
  <si>
    <t>ПС Al TP до 2500А. Полная сборка вертикальной Т-образной секции.</t>
  </si>
  <si>
    <t>ПС Al TP до 3200А. Полная сборка вертикальной Т-образной секции.</t>
  </si>
  <si>
    <t>ПС Al TP до 4000А. Полная сборка вертикальной Т-образной секции.</t>
  </si>
  <si>
    <t>ПС Al TP до 6300А. Полная сборка вертикальной Т-образной секции.</t>
  </si>
  <si>
    <t>05330</t>
  </si>
  <si>
    <t>05331</t>
  </si>
  <si>
    <t>05332</t>
  </si>
  <si>
    <t>05333</t>
  </si>
  <si>
    <t>05334</t>
  </si>
  <si>
    <t>Сборка секций на автоматической линии. ЦЕХ № 2.</t>
  </si>
  <si>
    <r>
      <rPr>
        <b/>
        <sz val="16"/>
        <rFont val="Times New Roman"/>
        <family val="1"/>
        <charset val="204"/>
      </rPr>
      <t>ARM. ПС. FE 2500А.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 Полная сборка пакетов, соединение пакетов, упаковка и снятие. 2500А.</t>
    </r>
  </si>
  <si>
    <r>
      <rPr>
        <b/>
        <sz val="16"/>
        <rFont val="Times New Roman"/>
        <family val="1"/>
        <charset val="204"/>
      </rPr>
      <t>ARM. ПС. FE 3200А.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 Полная сборка пакетов, соединение пакетов, упаковка и снятие. 4000А.</t>
    </r>
  </si>
  <si>
    <r>
      <rPr>
        <b/>
        <sz val="16"/>
        <rFont val="Times New Roman"/>
        <family val="1"/>
        <charset val="204"/>
      </rPr>
      <t>ARM. ПС. FE 4000А.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 Полная сборка пакетов, соединение пакетов, упаковка и снятие. 4000А. </t>
    </r>
  </si>
  <si>
    <r>
      <rPr>
        <b/>
        <sz val="16"/>
        <rFont val="Times New Roman"/>
        <family val="1"/>
        <charset val="204"/>
      </rPr>
      <t>ARM. ПС. FE 1000А.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 Полная сборка: клепание, монтаж вставок и ушей, упаковка и снятие секции 1000А.</t>
    </r>
  </si>
  <si>
    <r>
      <rPr>
        <b/>
        <sz val="16"/>
        <rFont val="Times New Roman"/>
        <family val="1"/>
        <charset val="204"/>
      </rPr>
      <t>ARM. ПС. FE 1250А.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 Полная сборка: клепание, монтаж вставок и ушей, упаковка и снятие секции 1250А.</t>
    </r>
  </si>
  <si>
    <r>
      <rPr>
        <b/>
        <sz val="16"/>
        <rFont val="Times New Roman"/>
        <family val="1"/>
        <charset val="204"/>
      </rPr>
      <t>ARM. ПС. FE 1600А.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 Полная сборка: клепание, монтаж вставок и ушей, упаковка и снятие секции 1600А.</t>
    </r>
  </si>
  <si>
    <r>
      <rPr>
        <b/>
        <sz val="16"/>
        <rFont val="Times New Roman"/>
        <family val="1"/>
        <charset val="204"/>
      </rPr>
      <t>ARM. ПС. FE 800А.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 Полная сборка: клепание, монтаж вставок и ушей, упаковка и снятие секции 1000А.</t>
    </r>
  </si>
  <si>
    <t>Однопакетные секции</t>
  </si>
  <si>
    <t>Двухпакетные секции</t>
  </si>
  <si>
    <t>00950</t>
  </si>
  <si>
    <t>00951</t>
  </si>
  <si>
    <t>00952</t>
  </si>
  <si>
    <t>00953</t>
  </si>
  <si>
    <t>00954</t>
  </si>
  <si>
    <t>00975</t>
  </si>
  <si>
    <t>00976</t>
  </si>
  <si>
    <t>00977</t>
  </si>
  <si>
    <t>Простой, по причине механических поломок, ремонта, на автоматической заклепочной линии. Цех№2.</t>
  </si>
  <si>
    <t>00914</t>
  </si>
  <si>
    <t>Y. РШ Cu 30 FE. Резка прямых шин стандартной длины (3 метра) 30х(6-7), зачистка торцов от заусенцев.</t>
  </si>
  <si>
    <t>Y. РШ Cu 50 FE-S. Резка шин для нестандартных прямых секций 50х(6-7), зачистка торцов от заусенцев.</t>
  </si>
  <si>
    <t>Y. РШ Cu 65 FE. Резка прямых шин стандартной длины (3 метра) 65х(6-7), зачистка торцов от заусенцев.</t>
  </si>
  <si>
    <t>Y. РШ Cu 65 FE-S. Резка шин для нестандартных прямых секций 65х(6-7), зачистка торцов от заусенцев.</t>
  </si>
  <si>
    <t>Y. РШ Cu 75 FE-S. Резка шин для нестандартных прямых секций 75х(6-7), зачистка торцов от заусенцев.</t>
  </si>
  <si>
    <t>Y. РШ Cu 100 FE-S. Резка шин для нестандартных прямых секций 100х(6-7), зачистка торцов от заусенцев.</t>
  </si>
  <si>
    <t>Y. РШ Cu 130 FE-S. Резка шин для нестандартных прямых секций 130х(6-7), зачистка торцов от заусенцев.</t>
  </si>
  <si>
    <t>Y. РШ Cu 160 FE. Резка прямых шин стандартной длины (3 метра) 160х(6-7), зачистка торцов от заусенцев.</t>
  </si>
  <si>
    <t>Y. РШ Cu 160 FE-S. Резка шин для нестандартных прямых секций 160х(6-7), зачистка торцов от заусенцев.</t>
  </si>
  <si>
    <t>Y. РШ Cu 200 FE. Резка прямых шин стандартной длины (3 метра) 200х(6-7), зачистка торцов от заусенцев.</t>
  </si>
  <si>
    <t>Y. РШ Cu 200 FE-S. Резка шин для нестандартных прямых секций 200х(6-7), зачистка торцов от заусенцев.</t>
  </si>
  <si>
    <t>Y. РШ(90-45)М Cu 30-80 CP-ZP. Резка малых шин: с одной стороны торцовка (90◦), с другой под углом 45◦.</t>
  </si>
  <si>
    <t>Y. РШ(90-45)Б Cu 100-200 CP-ZP. Резка больших шин: с одной стороны торцовка (90◦), с другой под углом 45◦.</t>
  </si>
  <si>
    <t>Y. РШ(45-45)М Cu 30-80 ZP. Резка малых шин с обеих сторон под углом 45◦.</t>
  </si>
  <si>
    <t>Y. РШ(45-45)Б Cu 100-200 ZP. Резка больших шин с обеих сторон под углом 45◦.</t>
  </si>
  <si>
    <t>Y. ТУШ 30-80 Cu СP. Торцевание и зачистка углов из шин, после сварки (2 торца). Для стандартных вертикальных угловых элементов.</t>
  </si>
  <si>
    <t>Y. ТУШ 30-80 Cu СP-S. Торцевание и зачистка углов из шин, после сварки (2 торца). Для нестандартных вертикальных угловых элементов.</t>
  </si>
  <si>
    <t>Y. ТУШ 30-80 Cu ZP,ZP-S. Торцевание и зачистка углов из шин, после сварки (2 торца). Для вертикальных Z элементов.</t>
  </si>
  <si>
    <t>Y. ТУШ 100-200 Cu СP. Торцевание и зачистка углов из шин, после сварки (2 торца). Для стандартных вертикальных угловых элементов.</t>
  </si>
  <si>
    <t>Y. ТУШ 100-200 Cu СP-S. Торцевание и зачистка углов из шин, после сварки (2 торца). Для нестандартных вертикальных угловых элементов.</t>
  </si>
  <si>
    <t>Y. ТУШ 100-200 Cu ZP,ZP-S. Торцевание и зачистка углов из шин, после сварки (2 торца). Для вертикальных Z элементов.</t>
  </si>
  <si>
    <t>Резка Cu шин под прямым углом</t>
  </si>
  <si>
    <t>Резка Al шин под прямым углом</t>
  </si>
  <si>
    <t>Резка Al  шин под углом 45 градусов</t>
  </si>
  <si>
    <t>Торцевание и зачистка Al  шин после сварки для C и  Z элементов. Контроль размера.</t>
  </si>
  <si>
    <t>Резка Cu шин под углом 45 градусов</t>
  </si>
  <si>
    <t>Y. РШ Cu 30 FE-S. Резка шин для нестандартных прямых секций 30х(6-7), зачистка торцов от заусенцев.</t>
  </si>
  <si>
    <t>Y. РШ Cu 50 FE. Резка прямых шин стандартной длины (3 метра) 50х(6-7), зачистка торцов от заусенцев.</t>
  </si>
  <si>
    <t>Y. РШ Cu 75 FE. Резка прямых шин стандартной длины (3 метра) 75х(6-7), зачистка торцов от заусенцев.</t>
  </si>
  <si>
    <t>Y. РШ Cu 100 FE. Резка прямых шин стандартной длины (3 метра) 100х(6-7), зачистка торцов от заусенцев.</t>
  </si>
  <si>
    <t>Y. РШ Cu 130 FE. Резка прямых шин стандартной длины (3 метра) 130х(6-7), зачистка торцов от заусенцев.</t>
  </si>
  <si>
    <t>Торцевание и зачистка Cu  шин после сварки для C и  Z элементов. Контроль размера.</t>
  </si>
  <si>
    <t>11450</t>
  </si>
  <si>
    <t>11451</t>
  </si>
  <si>
    <t>11452</t>
  </si>
  <si>
    <t>11453</t>
  </si>
  <si>
    <t>крышка</t>
  </si>
  <si>
    <t>полукорпус</t>
  </si>
  <si>
    <t>40115</t>
  </si>
  <si>
    <t xml:space="preserve"> Лужение зачищенных контактных площадок. (для ЯОМ)</t>
  </si>
  <si>
    <t>40111</t>
  </si>
  <si>
    <t>40112</t>
  </si>
  <si>
    <t>ГШП 1.11.1.М Лужение зачищенной контактной площадки (без косички) ширина до 100 мм</t>
  </si>
  <si>
    <t>ГШП 1.12.1.Б Лужение зачищенной контактной площадки (без косички) ширина более 100 мм</t>
  </si>
  <si>
    <t>Г Пк CP.  Гибка полукорпуса пакета стандартного и нестандартного вертикального угла (1 пакет шин)</t>
  </si>
  <si>
    <t>Г Кр CP.  Гибка крышки пакета стандартного и нестандартного вертикального угла (1 пакет шин)</t>
  </si>
  <si>
    <t>Г Пк CD.  Гибка полукорпуса пакета стандартного и нестандартного горизонтального угла (1 пакет шин)</t>
  </si>
  <si>
    <t>Г Кр CD.  Гибка крышки пакета стандартного и нестандартного горизонтального угла (1 пакет шин)</t>
  </si>
  <si>
    <t>11003</t>
  </si>
  <si>
    <t>11004</t>
  </si>
  <si>
    <t>11005</t>
  </si>
  <si>
    <t>11006</t>
  </si>
  <si>
    <t>Г Кр ZD.  Гибка крышки пакета стандартного и нестандартного горизонтального Z модуля (1 пакет шин)</t>
  </si>
  <si>
    <t>Г Кр ZP.  Гибка крышки пакета стандартного и нестандартного вертикального Z модуля (1 пакет шин)</t>
  </si>
  <si>
    <t>Г Пк ZP.  Гибка полукорпуса пакета стандартного и нестандартного вертикального Z модуля (1 пакет шин)</t>
  </si>
  <si>
    <t>Г Пк ZD.  Гибка полукорпуса пакета стандартного и нестандартного горизонтального Z модуля (1 пакет шин)</t>
  </si>
  <si>
    <t xml:space="preserve">MAX .Сварка  Al шин толщинойс двух сторон (с переворотом). Ширина шин 30-65 мм,  </t>
  </si>
  <si>
    <t xml:space="preserve">MAX .Сварка  Al шин толщинойс двух сторон (с переворотом). Ширина шин 75-100 мм,  </t>
  </si>
  <si>
    <t xml:space="preserve">MAX .Сварка  Al шин толщинойс двух сторон (с переворотом). Ширина шин 130 мм,  </t>
  </si>
  <si>
    <t xml:space="preserve">MAX .Сварка  Al шин толщинойс двух сторон (с переворотом). Ширина шин 160 мм,  </t>
  </si>
  <si>
    <t xml:space="preserve">MAX .Сварка  Al шин толщинойс двух сторон (с переворотом). Ширина шин 200 мм,  </t>
  </si>
  <si>
    <t>Лазерная сварка Al шин (без расходных материалов)</t>
  </si>
  <si>
    <t>01830</t>
  </si>
  <si>
    <t>01831</t>
  </si>
  <si>
    <t>01832</t>
  </si>
  <si>
    <t>01833</t>
  </si>
  <si>
    <t>01834</t>
  </si>
  <si>
    <t xml:space="preserve">Крышки для автоматической сборочной линии </t>
  </si>
  <si>
    <t xml:space="preserve">HF. Резка и сверление отверстий в крышках 140 мм под предв. стяжку, длиной до 1 м. Зачистка по образцу. </t>
  </si>
  <si>
    <t xml:space="preserve">HF. Резка и сверление отверстий в крышках 140 мм под предв. стяжку, длиной 1-1,5 м. Зачистка по образцу. </t>
  </si>
  <si>
    <t xml:space="preserve">HF. Резка и сверление отверстий в крышках 140 мм под предв. стяжку, длиной 1,5-2 м. Зачистка по образцу. </t>
  </si>
  <si>
    <t xml:space="preserve">HF. Резка и сверление отверстий в крышках 140 мм под предв. стяжку, длиной 2-2,5 м. Зачистка по образцу. </t>
  </si>
  <si>
    <t xml:space="preserve">HF. Резка и сверление отверстий в крышках 140 мм под предв. стяжку, длиной 2,5-3 м. Зачистка по образцу. </t>
  </si>
  <si>
    <t xml:space="preserve">HF. Резка и сверление отверстий в крышках 140 мм. Под заклеп.  До 1 м. Зачистка по образцу. </t>
  </si>
  <si>
    <t xml:space="preserve">HF. Резка и сверление отверстий в крышках 140 мм. Под заклеп. Длиной 1-1,5 м. Зачистка по образцу. </t>
  </si>
  <si>
    <t xml:space="preserve">HF. Резка и сверление отверстий в крышках 140 мм. Под заклеп.  Длиной 1,5-2 м. Зачистка по образцу. </t>
  </si>
  <si>
    <t xml:space="preserve">HF. Резка и сверление отверстий в крышках 140 мм. Под заклеп.  Длиной 2-2,5 м. Зачистка по образцу. </t>
  </si>
  <si>
    <t xml:space="preserve">HF. Резка и сверление отверстий в крышках 140 мм. Под заклеп.  Длиной 2,5-3 м. Зачистка по образцу. </t>
  </si>
  <si>
    <t xml:space="preserve">HF. Резка и сверление отверстий в крышках для секций Pi 140 мм. Длиной 3 м, с 2-мя оканми, </t>
  </si>
  <si>
    <t xml:space="preserve">HF. Резка и сверление отв (+овалы для креп.) в крышках 140 мм под предв. стяжку, длиной до 1 м. Зачистка по образцу. </t>
  </si>
  <si>
    <t xml:space="preserve">HF. Резка и сверление отв (+овалы для креп.) в крышках 140 мм под предв. стяжку, длиной 1-1,5 м. Зачистка по образцу. </t>
  </si>
  <si>
    <t xml:space="preserve">HF. Резка и сверление отв (+овалы для креп.) в крышках 140 мм под предв. стяжку, длиной 1,5-2 м. Зачистка по образцу. </t>
  </si>
  <si>
    <t xml:space="preserve">HF. Резка и сверление отв (+овалы для креп.) в крышках 140 мм под предв. стяжку, длиной 2-2,5 м. Зачистка по образцу. </t>
  </si>
  <si>
    <t xml:space="preserve">HF. Резка и сверление отв (+овалы для креп.) в крышках 140 мм под предв. стяжку, длиной 2,5-3 м. Зачистка по образцу. </t>
  </si>
  <si>
    <t xml:space="preserve">HF. Резка и сверление отв (+овалы для креп.) в крышках 140 мм. Под заклеп.  До 1 м. Зачистка по образцу. </t>
  </si>
  <si>
    <t xml:space="preserve">HF. Резка и сверление отв (+овалы для креп.) в крышках 140 мм. Под заклеп. Длиной 1-1,5 м. Зачистка по образцу. </t>
  </si>
  <si>
    <t xml:space="preserve">HF. Резка и сверление отв (+овалы для креп.) в крышках 140 мм. Под заклеп.  Длиной 1,5-2 м. Зачистка по образцу. </t>
  </si>
  <si>
    <t xml:space="preserve">HF. Резка и сверление отв (+овалы для креп.) в крышках 140 мм. Под заклеп.  Длиной 2-2,5 м. Зачистка по образцу. </t>
  </si>
  <si>
    <t xml:space="preserve">HF. Резка и сверление отв (+овалы для креп.) в крышках 140 мм. Под заклеп.  Длиной 2,5-3 м. Зачистка по образцу. </t>
  </si>
  <si>
    <t xml:space="preserve">HF. Резка и сверление отв (+овалы для креп.) в крышках для секций Pi 140 мм. Длиной 3 м, с 2-мя оканми, </t>
  </si>
  <si>
    <t xml:space="preserve">HF. Доп. зачистка краски с контактных зон крашеных крышек и боковин (без овалов) длиной менее 2000 мм. </t>
  </si>
  <si>
    <t>HF.  Кр НАР. Резка и сверление отверстий в крышках 140 мм под предв. стяжку, длиной 2-2,5 м. Зачистка по образцу. Для авт. сбор. лин.</t>
  </si>
  <si>
    <t>HF.  Кр НАР. Резка и сверление отверстий в крышках 140 мм под предв. стяжку, длиной 2,5-3 м. Зачистка по образцу. Для авт. сбор. лин.</t>
  </si>
  <si>
    <t>HF. Кр ВНУТ. Резка и сверление отверстий в крышках 140 мм под предв. стяжку, длиной 2-2,5 м. Зачистка по образцу. Для авт. сбор. лин.</t>
  </si>
  <si>
    <t>HF. Кр ВНУТ. Резка и сверление отверстий в крышках 140 мм под предв. стяжку, длиной 2,5-3 м. Зачистка по образцу. Для авт. сбор. лин.</t>
  </si>
  <si>
    <t>HF. Кр. НАР.  Дополнительное время (за пределами фрезеровки следующей детали) на зачистку краски с контактных зон наружных крашеных крышек (под брусок) для автоматической линии.</t>
  </si>
  <si>
    <t xml:space="preserve">ПФЛ-2. FE-S1. 100-800 А. Сборка прямой секции ЛШП, сборка пакета шин, выравнивание, установка в корпус, монтаж комплекта временной оснастки (стяжки, изоляторы, заглушки). </t>
  </si>
  <si>
    <t xml:space="preserve">ПФЛ-2. FE-S2. 100-800 А. Сборка прямой секции ЛШП, сборка пакета шин, выравнивание, установка в корпус, монтаж комплекта временной оснастки (стяжки, изоляторы, заглушки). </t>
  </si>
  <si>
    <t xml:space="preserve">ПФЛ-2. FE-S3. 100-800 А. Сборка прямой секции ЛШП, сборка пакета шин, выравнивание, установка в корпус, монтаж комплекта временной оснастки (стяжки, изоляторы, заглушки). </t>
  </si>
  <si>
    <t xml:space="preserve">ПФЛ-2.FE-S1. 1000-2000 А. Сборка прямой секции ЛШП, сборка пакета шин, выравнивание, установка в корпус, монтаж комплекта временной оснастки (стяжки, изоляторы, заглушки). </t>
  </si>
  <si>
    <t xml:space="preserve">ПФЛ-2. FE-S2. 1000-2000 А. Сборка прямой секции ЛШП, сборка пакета шин, выравнивание, установка в корпус, монтаж комплекта временной оснастки (стяжки, изоляторы, заглушки). </t>
  </si>
  <si>
    <t xml:space="preserve">ПФЛ-2. FE-S3. 1000-2000 А. Сборка прямой секции ЛШП, сборка пакета шин, выравнивание, установка в корпус, монтаж комплекта временной оснастки (стяжки, изоляторы, заглушки). </t>
  </si>
  <si>
    <t>ПФЛ3 → ГП. FE-S1. 100-800А. Сборка пакета прямой секции ЛШП. Снятие комплекта стяжек.</t>
  </si>
  <si>
    <t>ПФЛ3 → ГП. FE-S2. 100-800А. Сборка пакета прямой секции ЛШП. Снятие комплекта стяжек.</t>
  </si>
  <si>
    <t>ПФЛ3 → ГП. FE-S3. 100-800А. Сборка пакета прямой секции ЛШП. Снятие комплекта стяжек</t>
  </si>
  <si>
    <t>ПФЛ3 → ГП. FE-S1. 1000-2000А. Сборка пакета прямой секции ЛШП. Снятие комплекта стяжек.</t>
  </si>
  <si>
    <t>ПФЛ3 → ГП. FE-S2. 1000-2000А. Сборка пакета прямой секции ЛШП. Снятие комплекта стяжек.</t>
  </si>
  <si>
    <t>ПФЛ3 → ГП. FE-S3. 1000-2000А. Сборка пакета прямой секции ЛШП. Снятие комплекта стяжек.</t>
  </si>
  <si>
    <t>01467</t>
  </si>
  <si>
    <t>01463</t>
  </si>
  <si>
    <t>01464</t>
  </si>
  <si>
    <t>01465</t>
  </si>
  <si>
    <t>01466</t>
  </si>
  <si>
    <t>Фрезеровка сварных швов на фрез. станкке с 2-х сторон. Шина шириной до 99 мм. Для Сu шин, или Al шин толщиной 8-10 мм.</t>
  </si>
  <si>
    <t>Фрезеровка сварных швов  на фрез станке с 2-х сторон. Шина шириной 200 мм. Для Сu шин, или Al шин толщиной 8-10 мм.</t>
  </si>
  <si>
    <t>Фрезеровка сварных швов  на фрез станкес 2-х сторон. Шина шириной 160 мм. Для Сu шин, или Al шин толщиной 8-10 мм.</t>
  </si>
  <si>
    <t>Фрезеровка сварных швов  на фрез станкес 2-х сторон. Шина шириной 130 мм. Для Сu шин, или Al шин толщиной 8-10 мм.</t>
  </si>
  <si>
    <t>Фрезеровка сварных швов  на фрез станкес 2-х сторон. Шина шириной 100 мм. Для Сu шин, или Al шин толщиной 8-10 мм.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</si>
</sst>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р_._-;\-* #,##0.00_р_._-;_-* &quot;-&quot;??_р_._-;_-@_-"/>
    <numFmt numFmtId="165" formatCode="0.0000"/>
    <numFmt numFmtId="166" formatCode="0.0"/>
    <numFmt numFmtId="167" formatCode="0.000"/>
  </numFmts>
  <fonts count="59" x14ac:knownFonts="1">
    <font>
      <sz val="8"/>
      <name val="Arial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name val="Times"/>
      <family val="1"/>
    </font>
    <font>
      <b/>
      <sz val="16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Arial"/>
      <family val="2"/>
      <charset val="204"/>
    </font>
    <font>
      <b/>
      <sz val="22"/>
      <name val="Arial"/>
      <family val="2"/>
      <charset val="204"/>
    </font>
    <font>
      <sz val="14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28"/>
      <name val="Times New Roman"/>
      <family val="1"/>
      <charset val="204"/>
    </font>
    <font>
      <sz val="22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20"/>
      <name val="Arial"/>
      <family val="2"/>
      <charset val="204"/>
    </font>
    <font>
      <sz val="18"/>
      <name val="Times New Roman"/>
      <family val="1"/>
      <charset val="204"/>
    </font>
    <font>
      <sz val="10"/>
      <name val="Arial Cyr"/>
      <charset val="204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sz val="14"/>
      <color rgb="FF333333"/>
      <name val="Times New Roman"/>
      <family val="1"/>
      <charset val="204"/>
    </font>
    <font>
      <sz val="12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u/>
      <sz val="8"/>
      <color theme="10"/>
      <name val="Arial"/>
      <family val="2"/>
      <charset val="204"/>
    </font>
    <font>
      <u/>
      <sz val="16"/>
      <color theme="10"/>
      <name val="Arial"/>
      <family val="2"/>
      <charset val="20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name val="Arial"/>
      <family val="2"/>
      <charset val="204"/>
    </font>
    <font>
      <sz val="1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sz val="12"/>
      <color rgb="FF0F1115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4" fillId="0" borderId="0"/>
    <xf numFmtId="0" fontId="34" fillId="0" borderId="0"/>
    <xf numFmtId="0" fontId="44" fillId="0" borderId="0"/>
    <xf numFmtId="0" fontId="45" fillId="0" borderId="0"/>
    <xf numFmtId="0" fontId="47" fillId="0" borderId="0"/>
    <xf numFmtId="0" fontId="48" fillId="0" borderId="0" applyNumberFormat="0" applyFill="0" applyBorder="0" applyAlignment="0" applyProtection="0"/>
    <xf numFmtId="0" fontId="44" fillId="0" borderId="0"/>
  </cellStyleXfs>
  <cellXfs count="341">
    <xf numFmtId="0" fontId="0" fillId="0" borderId="0" xfId="0"/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0" borderId="0" xfId="0" applyAlignment="1"/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5" fillId="6" borderId="1" xfId="0" applyNumberFormat="1" applyFont="1" applyFill="1" applyBorder="1" applyAlignment="1" applyProtection="1">
      <alignment horizontal="center" vertical="center"/>
      <protection locked="0"/>
    </xf>
    <xf numFmtId="165" fontId="8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hidden="1"/>
    </xf>
    <xf numFmtId="2" fontId="3" fillId="0" borderId="1" xfId="0" applyNumberFormat="1" applyFont="1" applyBorder="1" applyAlignment="1" applyProtection="1">
      <alignment horizontal="center" vertical="center"/>
      <protection hidden="1"/>
    </xf>
    <xf numFmtId="165" fontId="3" fillId="0" borderId="1" xfId="0" applyNumberFormat="1" applyFont="1" applyBorder="1" applyAlignment="1" applyProtection="1">
      <alignment horizontal="center" vertical="center"/>
      <protection hidden="1"/>
    </xf>
    <xf numFmtId="0" fontId="3" fillId="0" borderId="1" xfId="0" applyNumberFormat="1" applyFont="1" applyBorder="1" applyAlignment="1" applyProtection="1">
      <alignment horizontal="left" vertical="center" shrinkToFit="1"/>
      <protection hidden="1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4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vertical="center"/>
    </xf>
    <xf numFmtId="0" fontId="25" fillId="0" borderId="0" xfId="0" applyFont="1"/>
    <xf numFmtId="49" fontId="6" fillId="3" borderId="1" xfId="0" applyNumberFormat="1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center" vertical="center" wrapText="1"/>
    </xf>
    <xf numFmtId="1" fontId="22" fillId="2" borderId="1" xfId="0" applyNumberFormat="1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66" fontId="22" fillId="2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2" fontId="9" fillId="3" borderId="1" xfId="0" applyNumberFormat="1" applyFont="1" applyFill="1" applyBorder="1" applyAlignment="1">
      <alignment vertical="center" wrapText="1"/>
    </xf>
    <xf numFmtId="2" fontId="9" fillId="10" borderId="1" xfId="0" applyNumberFormat="1" applyFont="1" applyFill="1" applyBorder="1" applyAlignment="1">
      <alignment vertical="center" wrapText="1"/>
    </xf>
    <xf numFmtId="49" fontId="9" fillId="3" borderId="1" xfId="0" applyNumberFormat="1" applyFont="1" applyFill="1" applyBorder="1" applyAlignment="1">
      <alignment vertical="center" wrapText="1"/>
    </xf>
    <xf numFmtId="49" fontId="9" fillId="9" borderId="1" xfId="0" applyNumberFormat="1" applyFont="1" applyFill="1" applyBorder="1" applyAlignment="1">
      <alignment vertical="center" wrapText="1"/>
    </xf>
    <xf numFmtId="2" fontId="9" fillId="4" borderId="1" xfId="0" applyNumberFormat="1" applyFont="1" applyFill="1" applyBorder="1" applyAlignment="1">
      <alignment vertical="center" wrapText="1"/>
    </xf>
    <xf numFmtId="49" fontId="9" fillId="4" borderId="1" xfId="0" applyNumberFormat="1" applyFont="1" applyFill="1" applyBorder="1" applyAlignment="1">
      <alignment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vertical="center"/>
    </xf>
    <xf numFmtId="49" fontId="14" fillId="4" borderId="1" xfId="0" applyNumberFormat="1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/>
    </xf>
    <xf numFmtId="2" fontId="9" fillId="4" borderId="2" xfId="0" applyNumberFormat="1" applyFont="1" applyFill="1" applyBorder="1" applyAlignment="1">
      <alignment vertical="center" wrapText="1"/>
    </xf>
    <xf numFmtId="2" fontId="3" fillId="5" borderId="2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/>
    </xf>
    <xf numFmtId="49" fontId="9" fillId="5" borderId="1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vertical="center" wrapText="1"/>
    </xf>
    <xf numFmtId="166" fontId="9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5" fontId="0" fillId="0" borderId="0" xfId="0" applyNumberFormat="1" applyProtection="1">
      <protection locked="0"/>
    </xf>
    <xf numFmtId="14" fontId="22" fillId="2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167" fontId="5" fillId="5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2" fontId="5" fillId="8" borderId="1" xfId="0" applyNumberFormat="1" applyFont="1" applyFill="1" applyBorder="1" applyAlignment="1">
      <alignment vertical="center" wrapText="1"/>
    </xf>
    <xf numFmtId="49" fontId="6" fillId="3" borderId="4" xfId="0" applyNumberFormat="1" applyFont="1" applyFill="1" applyBorder="1" applyAlignment="1">
      <alignment vertical="center"/>
    </xf>
    <xf numFmtId="0" fontId="25" fillId="12" borderId="1" xfId="0" applyFont="1" applyFill="1" applyBorder="1"/>
    <xf numFmtId="167" fontId="9" fillId="5" borderId="1" xfId="0" applyNumberFormat="1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/>
    </xf>
    <xf numFmtId="167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6" fillId="3" borderId="3" xfId="0" applyNumberFormat="1" applyFont="1" applyFill="1" applyBorder="1" applyAlignment="1">
      <alignment vertical="center"/>
    </xf>
    <xf numFmtId="166" fontId="9" fillId="3" borderId="1" xfId="0" applyNumberFormat="1" applyFont="1" applyFill="1" applyBorder="1" applyAlignment="1">
      <alignment horizontal="center" vertical="center"/>
    </xf>
    <xf numFmtId="0" fontId="0" fillId="5" borderId="0" xfId="0" applyFill="1"/>
    <xf numFmtId="167" fontId="9" fillId="5" borderId="3" xfId="0" applyNumberFormat="1" applyFont="1" applyFill="1" applyBorder="1" applyAlignment="1">
      <alignment horizontal="center" vertical="center"/>
    </xf>
    <xf numFmtId="0" fontId="0" fillId="3" borderId="0" xfId="0" applyFill="1"/>
    <xf numFmtId="0" fontId="9" fillId="0" borderId="0" xfId="0" applyFont="1"/>
    <xf numFmtId="166" fontId="9" fillId="0" borderId="1" xfId="0" applyNumberFormat="1" applyFont="1" applyBorder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0" fontId="39" fillId="5" borderId="0" xfId="0" applyFont="1" applyFill="1" applyAlignment="1">
      <alignment horizontal="center" vertical="center"/>
    </xf>
    <xf numFmtId="0" fontId="39" fillId="5" borderId="0" xfId="0" applyFont="1" applyFill="1" applyAlignment="1">
      <alignment horizontal="center"/>
    </xf>
    <xf numFmtId="49" fontId="5" fillId="12" borderId="1" xfId="3" applyNumberFormat="1" applyFont="1" applyFill="1" applyBorder="1" applyAlignment="1">
      <alignment horizontal="center" vertical="center" wrapText="1"/>
    </xf>
    <xf numFmtId="0" fontId="10" fillId="13" borderId="1" xfId="4" applyFont="1" applyFill="1" applyBorder="1" applyAlignment="1">
      <alignment horizontal="center" vertical="center" shrinkToFit="1"/>
    </xf>
    <xf numFmtId="49" fontId="2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14" borderId="1" xfId="0" applyFont="1" applyFill="1" applyBorder="1" applyAlignment="1">
      <alignment horizontal="center" vertical="center" wrapText="1"/>
    </xf>
    <xf numFmtId="1" fontId="5" fillId="14" borderId="1" xfId="0" applyNumberFormat="1" applyFont="1" applyFill="1" applyBorder="1" applyAlignment="1">
      <alignment horizontal="center" vertical="center" wrapText="1"/>
    </xf>
    <xf numFmtId="49" fontId="9" fillId="14" borderId="1" xfId="0" applyNumberFormat="1" applyFont="1" applyFill="1" applyBorder="1" applyAlignment="1">
      <alignment vertical="center"/>
    </xf>
    <xf numFmtId="1" fontId="18" fillId="5" borderId="1" xfId="0" applyNumberFormat="1" applyFont="1" applyFill="1" applyBorder="1" applyAlignment="1">
      <alignment horizontal="center" vertical="center"/>
    </xf>
    <xf numFmtId="2" fontId="18" fillId="5" borderId="1" xfId="0" applyNumberFormat="1" applyFont="1" applyFill="1" applyBorder="1" applyAlignment="1">
      <alignment horizontal="center" vertical="center" wrapText="1"/>
    </xf>
    <xf numFmtId="165" fontId="18" fillId="5" borderId="1" xfId="0" applyNumberFormat="1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167" fontId="14" fillId="5" borderId="1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/>
    </xf>
    <xf numFmtId="2" fontId="5" fillId="5" borderId="4" xfId="0" applyNumberFormat="1" applyFont="1" applyFill="1" applyBorder="1" applyAlignment="1">
      <alignment horizontal="left" vertical="center" wrapText="1"/>
    </xf>
    <xf numFmtId="2" fontId="6" fillId="3" borderId="4" xfId="0" applyNumberFormat="1" applyFont="1" applyFill="1" applyBorder="1" applyAlignment="1">
      <alignment vertical="center" wrapText="1"/>
    </xf>
    <xf numFmtId="0" fontId="18" fillId="5" borderId="4" xfId="0" applyFont="1" applyFill="1" applyBorder="1" applyAlignment="1">
      <alignment horizontal="left" vertical="center"/>
    </xf>
    <xf numFmtId="2" fontId="9" fillId="4" borderId="4" xfId="0" applyNumberFormat="1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left" vertical="center"/>
    </xf>
    <xf numFmtId="0" fontId="40" fillId="5" borderId="4" xfId="0" applyFont="1" applyFill="1" applyBorder="1" applyAlignment="1">
      <alignment horizontal="left" vertical="center"/>
    </xf>
    <xf numFmtId="2" fontId="25" fillId="5" borderId="0" xfId="0" applyNumberFormat="1" applyFont="1" applyFill="1" applyAlignment="1">
      <alignment horizontal="center" vertical="center"/>
    </xf>
    <xf numFmtId="49" fontId="9" fillId="4" borderId="4" xfId="0" applyNumberFormat="1" applyFont="1" applyFill="1" applyBorder="1" applyAlignment="1">
      <alignment vertical="center"/>
    </xf>
    <xf numFmtId="0" fontId="40" fillId="5" borderId="4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49" fontId="13" fillId="3" borderId="4" xfId="0" applyNumberFormat="1" applyFont="1" applyFill="1" applyBorder="1" applyAlignment="1">
      <alignment vertical="center" wrapText="1"/>
    </xf>
    <xf numFmtId="49" fontId="22" fillId="4" borderId="4" xfId="0" applyNumberFormat="1" applyFont="1" applyFill="1" applyBorder="1" applyAlignment="1">
      <alignment vertical="center"/>
    </xf>
    <xf numFmtId="0" fontId="3" fillId="5" borderId="4" xfId="0" applyFont="1" applyFill="1" applyBorder="1" applyAlignment="1">
      <alignment horizontal="justify" vertical="center"/>
    </xf>
    <xf numFmtId="0" fontId="3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 wrapText="1"/>
    </xf>
    <xf numFmtId="2" fontId="3" fillId="0" borderId="4" xfId="0" applyNumberFormat="1" applyFont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/>
    </xf>
    <xf numFmtId="49" fontId="22" fillId="3" borderId="4" xfId="0" applyNumberFormat="1" applyFont="1" applyFill="1" applyBorder="1" applyAlignment="1">
      <alignment horizontal="left" vertical="center"/>
    </xf>
    <xf numFmtId="49" fontId="9" fillId="9" borderId="4" xfId="0" applyNumberFormat="1" applyFont="1" applyFill="1" applyBorder="1" applyAlignment="1">
      <alignment vertical="center"/>
    </xf>
    <xf numFmtId="0" fontId="5" fillId="5" borderId="4" xfId="0" applyFont="1" applyFill="1" applyBorder="1" applyAlignment="1">
      <alignment horizontal="left" vertical="center" wrapText="1"/>
    </xf>
    <xf numFmtId="0" fontId="18" fillId="5" borderId="4" xfId="0" applyFont="1" applyFill="1" applyBorder="1" applyAlignment="1">
      <alignment horizontal="left" vertical="center" wrapText="1"/>
    </xf>
    <xf numFmtId="49" fontId="9" fillId="9" borderId="4" xfId="0" applyNumberFormat="1" applyFont="1" applyFill="1" applyBorder="1" applyAlignment="1">
      <alignment vertical="center" wrapText="1"/>
    </xf>
    <xf numFmtId="49" fontId="6" fillId="4" borderId="4" xfId="0" applyNumberFormat="1" applyFont="1" applyFill="1" applyBorder="1" applyAlignment="1">
      <alignment vertical="center"/>
    </xf>
    <xf numFmtId="49" fontId="13" fillId="4" borderId="4" xfId="0" applyNumberFormat="1" applyFont="1" applyFill="1" applyBorder="1" applyAlignment="1">
      <alignment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49" fontId="9" fillId="4" borderId="4" xfId="0" applyNumberFormat="1" applyFont="1" applyFill="1" applyBorder="1" applyAlignment="1">
      <alignment horizontal="center" vertical="center"/>
    </xf>
    <xf numFmtId="49" fontId="19" fillId="3" borderId="4" xfId="0" applyNumberFormat="1" applyFont="1" applyFill="1" applyBorder="1" applyAlignment="1">
      <alignment vertical="center"/>
    </xf>
    <xf numFmtId="49" fontId="19" fillId="4" borderId="4" xfId="0" applyNumberFormat="1" applyFont="1" applyFill="1" applyBorder="1" applyAlignment="1">
      <alignment vertical="center" wrapText="1"/>
    </xf>
    <xf numFmtId="49" fontId="13" fillId="3" borderId="4" xfId="0" applyNumberFormat="1" applyFont="1" applyFill="1" applyBorder="1" applyAlignment="1">
      <alignment vertical="center"/>
    </xf>
    <xf numFmtId="2" fontId="6" fillId="4" borderId="4" xfId="0" applyNumberFormat="1" applyFont="1" applyFill="1" applyBorder="1" applyAlignment="1">
      <alignment vertical="center" wrapText="1"/>
    </xf>
    <xf numFmtId="2" fontId="3" fillId="5" borderId="4" xfId="0" applyNumberFormat="1" applyFont="1" applyFill="1" applyBorder="1" applyAlignment="1">
      <alignment horizontal="left" vertical="center" wrapText="1"/>
    </xf>
    <xf numFmtId="0" fontId="21" fillId="5" borderId="4" xfId="0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35" fillId="5" borderId="4" xfId="4" applyFont="1" applyFill="1" applyBorder="1" applyAlignment="1">
      <alignment horizontal="left" vertical="center"/>
    </xf>
    <xf numFmtId="0" fontId="5" fillId="5" borderId="1" xfId="4" applyFont="1" applyFill="1" applyBorder="1" applyAlignment="1">
      <alignment horizontal="center" vertical="center"/>
    </xf>
    <xf numFmtId="0" fontId="35" fillId="5" borderId="4" xfId="4" applyFont="1" applyFill="1" applyBorder="1" applyAlignment="1">
      <alignment horizontal="left" vertical="center" wrapText="1"/>
    </xf>
    <xf numFmtId="0" fontId="33" fillId="5" borderId="4" xfId="4" applyFont="1" applyFill="1" applyBorder="1" applyAlignment="1">
      <alignment horizontal="left" vertical="center" wrapText="1"/>
    </xf>
    <xf numFmtId="0" fontId="33" fillId="5" borderId="4" xfId="4" applyFont="1" applyFill="1" applyBorder="1" applyAlignment="1">
      <alignment horizontal="left" vertical="center"/>
    </xf>
    <xf numFmtId="0" fontId="33" fillId="5" borderId="3" xfId="4" applyFont="1" applyFill="1" applyBorder="1" applyAlignment="1">
      <alignment horizontal="left" vertical="center"/>
    </xf>
    <xf numFmtId="0" fontId="13" fillId="5" borderId="4" xfId="4" applyFont="1" applyFill="1" applyBorder="1" applyAlignment="1">
      <alignment horizontal="center" vertical="center"/>
    </xf>
    <xf numFmtId="0" fontId="33" fillId="5" borderId="4" xfId="4" applyFont="1" applyFill="1" applyBorder="1" applyAlignment="1">
      <alignment horizontal="left" vertical="center" shrinkToFit="1"/>
    </xf>
    <xf numFmtId="0" fontId="37" fillId="3" borderId="0" xfId="0" applyFont="1" applyFill="1" applyAlignment="1">
      <alignment horizontal="center" vertical="center"/>
    </xf>
    <xf numFmtId="0" fontId="38" fillId="5" borderId="3" xfId="0" applyFont="1" applyFill="1" applyBorder="1" applyAlignment="1">
      <alignment horizontal="center" vertical="center"/>
    </xf>
    <xf numFmtId="0" fontId="35" fillId="5" borderId="3" xfId="4" applyFont="1" applyFill="1" applyBorder="1" applyAlignment="1">
      <alignment horizontal="left" vertical="center"/>
    </xf>
    <xf numFmtId="0" fontId="33" fillId="5" borderId="3" xfId="4" applyFont="1" applyFill="1" applyBorder="1" applyAlignment="1">
      <alignment horizontal="left" vertical="center" wrapText="1"/>
    </xf>
    <xf numFmtId="0" fontId="35" fillId="5" borderId="3" xfId="4" applyFont="1" applyFill="1" applyBorder="1" applyAlignment="1">
      <alignment horizontal="left" vertical="center" wrapText="1"/>
    </xf>
    <xf numFmtId="0" fontId="21" fillId="0" borderId="4" xfId="0" applyFont="1" applyBorder="1" applyAlignment="1">
      <alignment vertical="center"/>
    </xf>
    <xf numFmtId="0" fontId="21" fillId="0" borderId="4" xfId="0" applyFont="1" applyBorder="1" applyAlignment="1">
      <alignment horizontal="left" vertical="center"/>
    </xf>
    <xf numFmtId="0" fontId="21" fillId="7" borderId="4" xfId="0" applyFont="1" applyFill="1" applyBorder="1" applyAlignment="1">
      <alignment vertical="center"/>
    </xf>
    <xf numFmtId="0" fontId="27" fillId="5" borderId="4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/>
    </xf>
    <xf numFmtId="0" fontId="21" fillId="0" borderId="4" xfId="0" applyFont="1" applyBorder="1" applyAlignment="1">
      <alignment vertical="center" wrapText="1"/>
    </xf>
    <xf numFmtId="2" fontId="5" fillId="5" borderId="4" xfId="0" applyNumberFormat="1" applyFont="1" applyFill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8" fillId="4" borderId="4" xfId="0" applyFont="1" applyFill="1" applyBorder="1" applyAlignment="1">
      <alignment vertical="center" wrapText="1"/>
    </xf>
    <xf numFmtId="0" fontId="41" fillId="3" borderId="4" xfId="0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/>
    </xf>
    <xf numFmtId="49" fontId="33" fillId="5" borderId="4" xfId="0" applyNumberFormat="1" applyFont="1" applyFill="1" applyBorder="1" applyAlignment="1">
      <alignment horizontal="left" vertical="center"/>
    </xf>
    <xf numFmtId="49" fontId="9" fillId="14" borderId="4" xfId="0" applyNumberFormat="1" applyFont="1" applyFill="1" applyBorder="1" applyAlignment="1">
      <alignment vertical="center" wrapText="1"/>
    </xf>
    <xf numFmtId="49" fontId="6" fillId="14" borderId="4" xfId="0" applyNumberFormat="1" applyFont="1" applyFill="1" applyBorder="1" applyAlignment="1">
      <alignment vertical="center" wrapText="1"/>
    </xf>
    <xf numFmtId="49" fontId="17" fillId="14" borderId="4" xfId="0" applyNumberFormat="1" applyFont="1" applyFill="1" applyBorder="1" applyAlignment="1">
      <alignment vertical="center" wrapText="1"/>
    </xf>
    <xf numFmtId="0" fontId="25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left" vertical="center" wrapText="1"/>
    </xf>
    <xf numFmtId="49" fontId="4" fillId="10" borderId="4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left" vertical="center"/>
    </xf>
    <xf numFmtId="2" fontId="4" fillId="10" borderId="4" xfId="0" applyNumberFormat="1" applyFont="1" applyFill="1" applyBorder="1" applyAlignment="1">
      <alignment horizontal="center" vertical="center" wrapText="1"/>
    </xf>
    <xf numFmtId="49" fontId="17" fillId="8" borderId="4" xfId="0" applyNumberFormat="1" applyFont="1" applyFill="1" applyBorder="1" applyAlignment="1">
      <alignment vertical="center"/>
    </xf>
    <xf numFmtId="2" fontId="6" fillId="9" borderId="4" xfId="0" applyNumberFormat="1" applyFont="1" applyFill="1" applyBorder="1" applyAlignment="1">
      <alignment vertical="center" wrapText="1"/>
    </xf>
    <xf numFmtId="2" fontId="9" fillId="9" borderId="1" xfId="0" applyNumberFormat="1" applyFont="1" applyFill="1" applyBorder="1" applyAlignment="1">
      <alignment vertical="center" wrapText="1"/>
    </xf>
    <xf numFmtId="49" fontId="6" fillId="3" borderId="4" xfId="0" applyNumberFormat="1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vertical="center"/>
    </xf>
    <xf numFmtId="0" fontId="17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49" fontId="17" fillId="3" borderId="4" xfId="0" applyNumberFormat="1" applyFont="1" applyFill="1" applyBorder="1" applyAlignment="1">
      <alignment vertical="center"/>
    </xf>
    <xf numFmtId="49" fontId="5" fillId="5" borderId="4" xfId="0" applyNumberFormat="1" applyFont="1" applyFill="1" applyBorder="1" applyAlignment="1">
      <alignment vertical="center" wrapText="1"/>
    </xf>
    <xf numFmtId="49" fontId="5" fillId="5" borderId="4" xfId="0" applyNumberFormat="1" applyFont="1" applyFill="1" applyBorder="1" applyAlignment="1">
      <alignment vertical="center"/>
    </xf>
    <xf numFmtId="0" fontId="3" fillId="5" borderId="4" xfId="0" applyFont="1" applyFill="1" applyBorder="1" applyAlignment="1">
      <alignment vertical="center" wrapText="1"/>
    </xf>
    <xf numFmtId="2" fontId="5" fillId="5" borderId="3" xfId="0" applyNumberFormat="1" applyFont="1" applyFill="1" applyBorder="1" applyAlignment="1">
      <alignment vertical="center" wrapText="1"/>
    </xf>
    <xf numFmtId="2" fontId="6" fillId="3" borderId="4" xfId="0" applyNumberFormat="1" applyFont="1" applyFill="1" applyBorder="1" applyAlignment="1">
      <alignment vertical="center"/>
    </xf>
    <xf numFmtId="0" fontId="30" fillId="3" borderId="3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center" vertical="center"/>
    </xf>
    <xf numFmtId="2" fontId="3" fillId="8" borderId="4" xfId="0" applyNumberFormat="1" applyFont="1" applyFill="1" applyBorder="1" applyAlignment="1">
      <alignment vertical="center" wrapText="1"/>
    </xf>
    <xf numFmtId="0" fontId="21" fillId="5" borderId="4" xfId="0" applyFont="1" applyFill="1" applyBorder="1" applyAlignment="1">
      <alignment horizontal="left" vertical="center"/>
    </xf>
    <xf numFmtId="2" fontId="17" fillId="5" borderId="4" xfId="0" applyNumberFormat="1" applyFont="1" applyFill="1" applyBorder="1" applyAlignment="1">
      <alignment horizontal="left" vertical="center" wrapText="1"/>
    </xf>
    <xf numFmtId="49" fontId="42" fillId="0" borderId="1" xfId="0" applyNumberFormat="1" applyFont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2" fontId="17" fillId="3" borderId="4" xfId="0" applyNumberFormat="1" applyFont="1" applyFill="1" applyBorder="1" applyAlignment="1">
      <alignment vertical="center" wrapText="1"/>
    </xf>
    <xf numFmtId="2" fontId="17" fillId="3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left" vertical="center"/>
    </xf>
    <xf numFmtId="0" fontId="37" fillId="14" borderId="3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1" fontId="22" fillId="14" borderId="1" xfId="0" applyNumberFormat="1" applyFont="1" applyFill="1" applyBorder="1" applyAlignment="1">
      <alignment horizontal="center" vertical="center" wrapText="1"/>
    </xf>
    <xf numFmtId="166" fontId="22" fillId="14" borderId="1" xfId="0" applyNumberFormat="1" applyFont="1" applyFill="1" applyBorder="1" applyAlignment="1">
      <alignment horizontal="center" vertical="center" wrapText="1"/>
    </xf>
    <xf numFmtId="167" fontId="9" fillId="5" borderId="1" xfId="0" applyNumberFormat="1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49" fontId="42" fillId="0" borderId="1" xfId="0" applyNumberFormat="1" applyFont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7" fontId="9" fillId="0" borderId="0" xfId="0" applyNumberFormat="1" applyFont="1"/>
    <xf numFmtId="167" fontId="9" fillId="3" borderId="1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vertical="center" wrapText="1"/>
    </xf>
    <xf numFmtId="167" fontId="9" fillId="4" borderId="1" xfId="0" applyNumberFormat="1" applyFont="1" applyFill="1" applyBorder="1" applyAlignment="1">
      <alignment vertical="center" wrapText="1"/>
    </xf>
    <xf numFmtId="167" fontId="9" fillId="4" borderId="1" xfId="0" applyNumberFormat="1" applyFont="1" applyFill="1" applyBorder="1" applyAlignment="1">
      <alignment vertical="center"/>
    </xf>
    <xf numFmtId="167" fontId="9" fillId="3" borderId="1" xfId="0" applyNumberFormat="1" applyFont="1" applyFill="1" applyBorder="1" applyAlignment="1">
      <alignment vertical="center"/>
    </xf>
    <xf numFmtId="167" fontId="9" fillId="9" borderId="1" xfId="0" applyNumberFormat="1" applyFont="1" applyFill="1" applyBorder="1" applyAlignment="1">
      <alignment vertical="center"/>
    </xf>
    <xf numFmtId="167" fontId="9" fillId="9" borderId="1" xfId="0" applyNumberFormat="1" applyFont="1" applyFill="1" applyBorder="1" applyAlignment="1">
      <alignment vertical="center" wrapText="1"/>
    </xf>
    <xf numFmtId="167" fontId="9" fillId="4" borderId="1" xfId="0" applyNumberFormat="1" applyFont="1" applyFill="1" applyBorder="1" applyAlignment="1">
      <alignment horizontal="center" vertical="center"/>
    </xf>
    <xf numFmtId="167" fontId="14" fillId="3" borderId="1" xfId="0" applyNumberFormat="1" applyFont="1" applyFill="1" applyBorder="1" applyAlignment="1">
      <alignment vertical="center"/>
    </xf>
    <xf numFmtId="167" fontId="14" fillId="4" borderId="1" xfId="0" applyNumberFormat="1" applyFont="1" applyFill="1" applyBorder="1" applyAlignment="1">
      <alignment vertical="center" wrapText="1"/>
    </xf>
    <xf numFmtId="167" fontId="9" fillId="15" borderId="1" xfId="0" applyNumberFormat="1" applyFont="1" applyFill="1" applyBorder="1" applyAlignment="1">
      <alignment horizontal="center" vertical="center" wrapText="1"/>
    </xf>
    <xf numFmtId="167" fontId="9" fillId="14" borderId="1" xfId="0" applyNumberFormat="1" applyFont="1" applyFill="1" applyBorder="1" applyAlignment="1">
      <alignment horizontal="center" vertical="center" wrapText="1"/>
    </xf>
    <xf numFmtId="167" fontId="9" fillId="5" borderId="0" xfId="0" applyNumberFormat="1" applyFont="1" applyFill="1"/>
    <xf numFmtId="167" fontId="9" fillId="3" borderId="0" xfId="0" applyNumberFormat="1" applyFont="1" applyFill="1"/>
    <xf numFmtId="167" fontId="9" fillId="8" borderId="1" xfId="0" applyNumberFormat="1" applyFont="1" applyFill="1" applyBorder="1" applyAlignment="1">
      <alignment horizontal="center" vertical="center" wrapText="1"/>
    </xf>
    <xf numFmtId="167" fontId="9" fillId="4" borderId="1" xfId="0" applyNumberFormat="1" applyFont="1" applyFill="1" applyBorder="1" applyAlignment="1">
      <alignment horizontal="center" vertical="center" wrapText="1"/>
    </xf>
    <xf numFmtId="167" fontId="9" fillId="10" borderId="1" xfId="0" applyNumberFormat="1" applyFont="1" applyFill="1" applyBorder="1" applyAlignment="1">
      <alignment horizontal="center" vertical="center"/>
    </xf>
    <xf numFmtId="167" fontId="9" fillId="10" borderId="1" xfId="0" applyNumberFormat="1" applyFont="1" applyFill="1" applyBorder="1" applyAlignment="1">
      <alignment vertical="center" wrapText="1"/>
    </xf>
    <xf numFmtId="167" fontId="9" fillId="8" borderId="1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7" fontId="9" fillId="3" borderId="1" xfId="0" applyNumberFormat="1" applyFont="1" applyFill="1" applyBorder="1" applyAlignment="1">
      <alignment horizontal="center" vertical="center" wrapText="1"/>
    </xf>
    <xf numFmtId="167" fontId="17" fillId="0" borderId="1" xfId="0" applyNumberFormat="1" applyFont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42" fillId="14" borderId="1" xfId="0" applyFont="1" applyFill="1" applyBorder="1" applyAlignment="1">
      <alignment horizontal="center" vertical="center"/>
    </xf>
    <xf numFmtId="167" fontId="9" fillId="14" borderId="1" xfId="0" applyNumberFormat="1" applyFont="1" applyFill="1" applyBorder="1" applyAlignment="1">
      <alignment vertical="center"/>
    </xf>
    <xf numFmtId="49" fontId="42" fillId="14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" fontId="5" fillId="14" borderId="1" xfId="0" applyNumberFormat="1" applyFont="1" applyFill="1" applyBorder="1" applyAlignment="1">
      <alignment horizontal="center" vertical="center"/>
    </xf>
    <xf numFmtId="2" fontId="5" fillId="14" borderId="1" xfId="0" applyNumberFormat="1" applyFont="1" applyFill="1" applyBorder="1" applyAlignment="1">
      <alignment horizontal="center" vertical="center" wrapText="1"/>
    </xf>
    <xf numFmtId="165" fontId="5" fillId="14" borderId="1" xfId="0" applyNumberFormat="1" applyFont="1" applyFill="1" applyBorder="1" applyAlignment="1">
      <alignment horizontal="center" vertical="center"/>
    </xf>
    <xf numFmtId="166" fontId="9" fillId="14" borderId="1" xfId="0" applyNumberFormat="1" applyFont="1" applyFill="1" applyBorder="1" applyAlignment="1">
      <alignment horizontal="center" vertical="center"/>
    </xf>
    <xf numFmtId="167" fontId="9" fillId="14" borderId="1" xfId="0" applyNumberFormat="1" applyFont="1" applyFill="1" applyBorder="1" applyAlignment="1">
      <alignment horizontal="center" vertical="center"/>
    </xf>
    <xf numFmtId="49" fontId="42" fillId="5" borderId="1" xfId="0" applyNumberFormat="1" applyFont="1" applyFill="1" applyBorder="1" applyAlignment="1">
      <alignment horizontal="center" vertical="center"/>
    </xf>
    <xf numFmtId="49" fontId="6" fillId="14" borderId="4" xfId="0" applyNumberFormat="1" applyFont="1" applyFill="1" applyBorder="1" applyAlignment="1">
      <alignment vertical="center"/>
    </xf>
    <xf numFmtId="167" fontId="17" fillId="5" borderId="1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49" fontId="12" fillId="5" borderId="4" xfId="0" applyNumberFormat="1" applyFont="1" applyFill="1" applyBorder="1" applyAlignment="1">
      <alignment vertical="center"/>
    </xf>
    <xf numFmtId="0" fontId="42" fillId="16" borderId="1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2" fontId="5" fillId="16" borderId="1" xfId="0" applyNumberFormat="1" applyFont="1" applyFill="1" applyBorder="1" applyAlignment="1">
      <alignment horizontal="center" vertical="center" wrapText="1"/>
    </xf>
    <xf numFmtId="165" fontId="5" fillId="16" borderId="1" xfId="0" applyNumberFormat="1" applyFont="1" applyFill="1" applyBorder="1" applyAlignment="1">
      <alignment horizontal="center" vertical="center"/>
    </xf>
    <xf numFmtId="166" fontId="9" fillId="16" borderId="1" xfId="0" applyNumberFormat="1" applyFont="1" applyFill="1" applyBorder="1" applyAlignment="1">
      <alignment horizontal="center" vertical="center"/>
    </xf>
    <xf numFmtId="167" fontId="9" fillId="16" borderId="1" xfId="0" applyNumberFormat="1" applyFont="1" applyFill="1" applyBorder="1" applyAlignment="1">
      <alignment horizontal="center" vertical="center"/>
    </xf>
    <xf numFmtId="166" fontId="46" fillId="5" borderId="1" xfId="6" applyNumberFormat="1" applyFont="1" applyFill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33" fillId="5" borderId="4" xfId="0" applyFont="1" applyFill="1" applyBorder="1" applyAlignment="1">
      <alignment horizontal="left" vertical="center" wrapText="1"/>
    </xf>
    <xf numFmtId="49" fontId="33" fillId="5" borderId="4" xfId="0" applyNumberFormat="1" applyFont="1" applyFill="1" applyBorder="1" applyAlignment="1">
      <alignment vertical="center"/>
    </xf>
    <xf numFmtId="0" fontId="49" fillId="0" borderId="1" xfId="8" quotePrefix="1" applyFont="1" applyBorder="1" applyAlignment="1">
      <alignment horizontal="center"/>
    </xf>
    <xf numFmtId="0" fontId="50" fillId="0" borderId="1" xfId="0" applyFont="1" applyBorder="1"/>
    <xf numFmtId="0" fontId="50" fillId="0" borderId="1" xfId="0" applyFont="1" applyBorder="1" applyAlignment="1">
      <alignment horizontal="center" vertical="center"/>
    </xf>
    <xf numFmtId="0" fontId="49" fillId="0" borderId="1" xfId="8" applyFont="1" applyBorder="1" applyAlignment="1">
      <alignment horizontal="center" vertical="center"/>
    </xf>
    <xf numFmtId="0" fontId="51" fillId="0" borderId="1" xfId="0" applyFont="1" applyBorder="1"/>
    <xf numFmtId="0" fontId="52" fillId="0" borderId="1" xfId="0" applyFont="1" applyBorder="1"/>
    <xf numFmtId="0" fontId="52" fillId="0" borderId="0" xfId="0" applyFont="1"/>
    <xf numFmtId="0" fontId="53" fillId="0" borderId="1" xfId="0" applyFont="1" applyBorder="1"/>
    <xf numFmtId="0" fontId="5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 wrapText="1"/>
    </xf>
    <xf numFmtId="0" fontId="48" fillId="0" borderId="1" xfId="8" applyBorder="1" applyAlignment="1">
      <alignment horizontal="center" vertical="center"/>
    </xf>
    <xf numFmtId="0" fontId="25" fillId="5" borderId="1" xfId="0" applyFont="1" applyFill="1" applyBorder="1"/>
    <xf numFmtId="0" fontId="25" fillId="5" borderId="0" xfId="0" applyFont="1" applyFill="1"/>
    <xf numFmtId="166" fontId="22" fillId="5" borderId="1" xfId="0" applyNumberFormat="1" applyFont="1" applyFill="1" applyBorder="1" applyAlignment="1">
      <alignment horizontal="center" vertical="center" wrapText="1"/>
    </xf>
    <xf numFmtId="2" fontId="22" fillId="5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vertical="center"/>
    </xf>
    <xf numFmtId="0" fontId="2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/>
    </xf>
    <xf numFmtId="166" fontId="22" fillId="5" borderId="0" xfId="0" applyNumberFormat="1" applyFont="1" applyFill="1" applyAlignment="1">
      <alignment horizontal="center" vertical="center" wrapText="1"/>
    </xf>
    <xf numFmtId="2" fontId="5" fillId="5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166" fontId="9" fillId="5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 wrapText="1"/>
    </xf>
    <xf numFmtId="49" fontId="42" fillId="0" borderId="1" xfId="0" applyNumberFormat="1" applyFont="1" applyBorder="1" applyAlignment="1">
      <alignment horizontal="center" vertical="center"/>
    </xf>
    <xf numFmtId="167" fontId="17" fillId="3" borderId="1" xfId="0" applyNumberFormat="1" applyFont="1" applyFill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167" fontId="5" fillId="14" borderId="1" xfId="0" applyNumberFormat="1" applyFont="1" applyFill="1" applyBorder="1" applyAlignment="1">
      <alignment horizontal="center" vertical="center"/>
    </xf>
    <xf numFmtId="2" fontId="9" fillId="14" borderId="1" xfId="0" applyNumberFormat="1" applyFont="1" applyFill="1" applyBorder="1" applyAlignment="1">
      <alignment vertical="center" wrapText="1"/>
    </xf>
    <xf numFmtId="49" fontId="20" fillId="4" borderId="4" xfId="0" applyNumberFormat="1" applyFont="1" applyFill="1" applyBorder="1" applyAlignment="1">
      <alignment vertical="center" wrapText="1"/>
    </xf>
    <xf numFmtId="0" fontId="57" fillId="7" borderId="1" xfId="0" applyFont="1" applyFill="1" applyBorder="1" applyAlignment="1">
      <alignment horizontal="left" vertical="center" wrapText="1" indent="1"/>
    </xf>
    <xf numFmtId="0" fontId="58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 applyProtection="1">
      <alignment horizontal="left" vertical="center" wrapText="1" shrinkToFit="1"/>
      <protection hidden="1"/>
    </xf>
    <xf numFmtId="0" fontId="52" fillId="5" borderId="0" xfId="0" applyFont="1" applyFill="1"/>
    <xf numFmtId="49" fontId="42" fillId="5" borderId="1" xfId="0" applyNumberFormat="1" applyFont="1" applyFill="1" applyBorder="1" applyAlignment="1">
      <alignment horizontal="center" vertical="center" wrapText="1"/>
    </xf>
    <xf numFmtId="2" fontId="17" fillId="5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/>
    </xf>
    <xf numFmtId="0" fontId="44" fillId="0" borderId="0" xfId="9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25" fillId="0" borderId="0" xfId="0" applyFont="1"/>
    <xf numFmtId="2" fontId="9" fillId="4" borderId="1" xfId="0" applyNumberFormat="1" applyFont="1" applyFill="1" applyBorder="1" applyAlignment="1">
      <alignment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vertical="center"/>
    </xf>
    <xf numFmtId="166" fontId="9" fillId="5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2" fontId="6" fillId="4" borderId="4" xfId="0" applyNumberFormat="1" applyFont="1" applyFill="1" applyBorder="1" applyAlignment="1">
      <alignment vertical="center" wrapText="1"/>
    </xf>
    <xf numFmtId="0" fontId="27" fillId="5" borderId="4" xfId="0" applyFont="1" applyFill="1" applyBorder="1" applyAlignment="1">
      <alignment vertical="center"/>
    </xf>
    <xf numFmtId="49" fontId="42" fillId="0" borderId="1" xfId="0" applyNumberFormat="1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/>
    </xf>
    <xf numFmtId="0" fontId="4" fillId="6" borderId="2" xfId="0" applyNumberFormat="1" applyFont="1" applyFill="1" applyBorder="1" applyAlignment="1" applyProtection="1">
      <alignment horizontal="right" vertical="center"/>
      <protection locked="0"/>
    </xf>
    <xf numFmtId="0" fontId="4" fillId="6" borderId="4" xfId="0" applyNumberFormat="1" applyFont="1" applyFill="1" applyBorder="1" applyAlignment="1" applyProtection="1">
      <alignment horizontal="right" vertical="center"/>
      <protection locked="0"/>
    </xf>
    <xf numFmtId="0" fontId="4" fillId="6" borderId="3" xfId="0" applyNumberFormat="1" applyFont="1" applyFill="1" applyBorder="1" applyAlignment="1" applyProtection="1">
      <alignment horizontal="right" vertical="center"/>
      <protection locked="0"/>
    </xf>
    <xf numFmtId="0" fontId="7" fillId="3" borderId="2" xfId="0" applyNumberFormat="1" applyFont="1" applyFill="1" applyBorder="1" applyAlignment="1" applyProtection="1">
      <alignment horizontal="right" vertical="center"/>
      <protection locked="0"/>
    </xf>
    <xf numFmtId="0" fontId="7" fillId="3" borderId="4" xfId="0" applyNumberFormat="1" applyFont="1" applyFill="1" applyBorder="1" applyAlignment="1" applyProtection="1">
      <alignment horizontal="right" vertical="center"/>
      <protection locked="0"/>
    </xf>
    <xf numFmtId="0" fontId="7" fillId="3" borderId="3" xfId="0" applyNumberFormat="1" applyFont="1" applyFill="1" applyBorder="1" applyAlignment="1" applyProtection="1">
      <alignment horizontal="right" vertical="center"/>
      <protection locked="0"/>
    </xf>
  </cellXfs>
  <cellStyles count="10">
    <cellStyle name="Гиперссылка" xfId="8" builtinId="8"/>
    <cellStyle name="Обычный" xfId="0" builtinId="0"/>
    <cellStyle name="Обычный 2" xfId="1" xr:uid="{00000000-0005-0000-0000-000001000000}"/>
    <cellStyle name="Обычный 2 2" xfId="4" xr:uid="{97B28483-63A9-4113-8D2E-11EDC08E00E9}"/>
    <cellStyle name="Обычный 3" xfId="3" xr:uid="{AFD070FF-D15A-4B9A-92C9-DCDBDA8D9020}"/>
    <cellStyle name="Обычный 3 2" xfId="9" xr:uid="{D07B03E5-56E1-4021-8653-1517567AF48D}"/>
    <cellStyle name="Обычный 4" xfId="5" xr:uid="{7E7B1869-37B9-4785-B88D-E7E07E2AA2A6}"/>
    <cellStyle name="Обычный 5" xfId="6" xr:uid="{A618DE7C-ABB1-4A86-8CDA-30DA67C6F3F3}"/>
    <cellStyle name="Обычный 6" xfId="7" xr:uid="{DBE0A42A-E1ED-44A6-9885-2161EE6A66B5}"/>
    <cellStyle name="Финансовый 2" xfId="2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37D8-D33F-4E78-A1C7-BD9FDF522CAB}">
  <sheetPr>
    <pageSetUpPr fitToPage="1"/>
  </sheetPr>
  <dimension ref="A1:W1893"/>
  <sheetViews>
    <sheetView view="pageBreakPreview" zoomScale="85" zoomScaleNormal="85" zoomScaleSheetLayoutView="85" workbookViewId="0">
      <pane ySplit="3" topLeftCell="A4" activePane="bottomLeft" state="frozen"/>
      <selection pane="bottomLeft" activeCell="A2" sqref="A2"/>
    </sheetView>
  </sheetViews>
  <sheetFormatPr defaultRowHeight="11.25" x14ac:dyDescent="0.2"/>
  <cols>
    <col min="1" max="1" width="12.83203125" customWidth="1"/>
    <col min="2" max="2" width="187.6640625" customWidth="1"/>
    <col min="3" max="3" width="17" customWidth="1"/>
    <col min="4" max="4" width="8.5" hidden="1" customWidth="1"/>
    <col min="5" max="5" width="17" customWidth="1"/>
    <col min="6" max="6" width="12" customWidth="1"/>
    <col min="7" max="7" width="18.33203125" customWidth="1"/>
    <col min="8" max="8" width="23.1640625" customWidth="1"/>
    <col min="9" max="9" width="12.83203125" style="83" customWidth="1"/>
    <col min="10" max="10" width="19.1640625" style="83" customWidth="1"/>
    <col min="11" max="11" width="14" style="83" customWidth="1"/>
    <col min="12" max="12" width="15.1640625" style="83" customWidth="1"/>
    <col min="13" max="13" width="15" style="83" customWidth="1"/>
    <col min="14" max="14" width="13" style="83" customWidth="1"/>
    <col min="15" max="15" width="15.1640625" style="83" customWidth="1"/>
    <col min="16" max="16" width="20.33203125" style="83" customWidth="1"/>
    <col min="17" max="17" width="10.33203125" style="83" customWidth="1"/>
    <col min="18" max="18" width="9.33203125" style="83" customWidth="1"/>
    <col min="19" max="19" width="13.83203125" style="83" customWidth="1"/>
    <col min="20" max="20" width="10.83203125" style="83" customWidth="1"/>
    <col min="21" max="21" width="15.83203125" style="83" customWidth="1"/>
    <col min="22" max="22" width="13.6640625" style="83" customWidth="1"/>
    <col min="23" max="23" width="9.33203125" style="83" customWidth="1"/>
    <col min="24" max="24" width="9.33203125" customWidth="1"/>
    <col min="25" max="25" width="10.33203125" customWidth="1"/>
    <col min="26" max="27" width="9.33203125" customWidth="1"/>
    <col min="29" max="29" width="12.83203125" customWidth="1"/>
  </cols>
  <sheetData>
    <row r="1" spans="1:23" ht="4.5" hidden="1" customHeight="1" x14ac:dyDescent="0.2">
      <c r="A1" s="283" t="s">
        <v>3396</v>
      </c>
    </row>
    <row r="2" spans="1:23" s="26" customFormat="1" ht="30" customHeight="1" x14ac:dyDescent="0.2">
      <c r="A2" s="106"/>
      <c r="B2" s="107" t="s">
        <v>806</v>
      </c>
      <c r="C2" s="29"/>
      <c r="D2" s="30"/>
      <c r="E2" s="30"/>
      <c r="F2" s="31"/>
      <c r="G2" s="69">
        <v>46235</v>
      </c>
      <c r="H2" s="76"/>
      <c r="I2" s="284"/>
      <c r="J2" s="284"/>
      <c r="K2" s="284"/>
      <c r="L2" s="284"/>
      <c r="M2" s="284"/>
      <c r="N2" s="285"/>
      <c r="O2" s="285"/>
      <c r="P2" s="285"/>
      <c r="Q2" s="285"/>
      <c r="R2" s="285"/>
      <c r="S2" s="285"/>
      <c r="T2" s="285"/>
      <c r="U2" s="285"/>
      <c r="V2" s="285"/>
      <c r="W2" s="285"/>
    </row>
    <row r="3" spans="1:23" s="26" customFormat="1" ht="68.25" customHeight="1" x14ac:dyDescent="0.2">
      <c r="A3" s="106" t="s">
        <v>599</v>
      </c>
      <c r="B3" s="108" t="s">
        <v>595</v>
      </c>
      <c r="C3" s="29" t="s">
        <v>785</v>
      </c>
      <c r="D3" s="30" t="s">
        <v>620</v>
      </c>
      <c r="E3" s="32" t="s">
        <v>936</v>
      </c>
      <c r="F3" s="31" t="s">
        <v>3</v>
      </c>
      <c r="G3" s="32" t="s">
        <v>35</v>
      </c>
      <c r="H3" s="32" t="s">
        <v>905</v>
      </c>
      <c r="I3" s="286" t="s">
        <v>925</v>
      </c>
      <c r="J3" s="287" t="s">
        <v>3</v>
      </c>
      <c r="K3" s="286" t="s">
        <v>35</v>
      </c>
      <c r="L3" s="288" t="s">
        <v>906</v>
      </c>
      <c r="M3" s="288" t="s">
        <v>907</v>
      </c>
      <c r="N3" s="285"/>
      <c r="O3" s="285"/>
      <c r="P3" s="285"/>
      <c r="Q3" s="285"/>
      <c r="R3" s="285"/>
      <c r="S3" s="285"/>
      <c r="T3" s="285"/>
      <c r="U3" s="285"/>
      <c r="V3" s="285"/>
      <c r="W3" s="285"/>
    </row>
    <row r="4" spans="1:23" s="26" customFormat="1" ht="30" customHeight="1" x14ac:dyDescent="0.2">
      <c r="A4" s="106"/>
      <c r="B4" s="81" t="s">
        <v>926</v>
      </c>
      <c r="C4" s="27"/>
      <c r="D4" s="27"/>
      <c r="E4" s="27"/>
      <c r="F4" s="27"/>
      <c r="G4" s="27"/>
      <c r="H4" s="27"/>
      <c r="I4" s="289"/>
      <c r="J4" s="289"/>
      <c r="K4" s="289"/>
      <c r="L4" s="289"/>
      <c r="M4" s="289"/>
      <c r="N4" s="285"/>
      <c r="O4" s="285"/>
      <c r="P4" s="285"/>
      <c r="Q4" s="285"/>
      <c r="R4" s="285"/>
      <c r="S4" s="285"/>
      <c r="T4" s="285"/>
      <c r="U4" s="285"/>
      <c r="V4" s="285"/>
      <c r="W4" s="285"/>
    </row>
    <row r="5" spans="1:23" s="26" customFormat="1" ht="30" customHeight="1" x14ac:dyDescent="0.2">
      <c r="A5" s="106" t="s">
        <v>1574</v>
      </c>
      <c r="B5" s="109" t="s">
        <v>570</v>
      </c>
      <c r="C5" s="49" t="s">
        <v>569</v>
      </c>
      <c r="D5" s="50">
        <v>1</v>
      </c>
      <c r="E5" s="51">
        <f t="shared" ref="E5:E18" si="0">G5/11</f>
        <v>1.636363636363636</v>
      </c>
      <c r="F5" s="23">
        <f t="shared" ref="F5:G5" si="1">J5</f>
        <v>0.61111111111111127</v>
      </c>
      <c r="G5" s="65">
        <f t="shared" si="1"/>
        <v>17.999999999999996</v>
      </c>
      <c r="H5" s="77">
        <v>33.333333333333336</v>
      </c>
      <c r="I5" s="71">
        <f t="shared" ref="I5:I14" si="2">M5/L5</f>
        <v>1.1000000000000001</v>
      </c>
      <c r="J5" s="23">
        <f t="shared" ref="J5:J14" si="3">11/K5</f>
        <v>0.61111111111111127</v>
      </c>
      <c r="K5" s="65">
        <f t="shared" ref="K5:K14" si="4">M5/(H5*I5)</f>
        <v>17.999999999999996</v>
      </c>
      <c r="L5" s="21">
        <v>600</v>
      </c>
      <c r="M5" s="21">
        <v>660</v>
      </c>
      <c r="N5" s="285"/>
      <c r="O5" s="285"/>
      <c r="P5" s="285"/>
      <c r="Q5" s="285"/>
      <c r="R5" s="285"/>
      <c r="S5" s="285"/>
      <c r="T5" s="285"/>
      <c r="U5" s="285"/>
      <c r="V5" s="285"/>
      <c r="W5" s="285"/>
    </row>
    <row r="6" spans="1:23" s="26" customFormat="1" ht="30" customHeight="1" x14ac:dyDescent="0.2">
      <c r="A6" s="106" t="s">
        <v>1575</v>
      </c>
      <c r="B6" s="110" t="s">
        <v>519</v>
      </c>
      <c r="C6" s="21" t="s">
        <v>520</v>
      </c>
      <c r="D6" s="22">
        <v>1</v>
      </c>
      <c r="E6" s="51">
        <f t="shared" si="0"/>
        <v>1</v>
      </c>
      <c r="F6" s="23">
        <f t="shared" ref="F6:F18" si="5">11/G6</f>
        <v>1</v>
      </c>
      <c r="G6" s="65">
        <f t="shared" ref="G6:G18" si="6">L6/H6</f>
        <v>11</v>
      </c>
      <c r="H6" s="77">
        <v>54.545454545454547</v>
      </c>
      <c r="I6" s="71">
        <f t="shared" si="2"/>
        <v>1.1000000000000001</v>
      </c>
      <c r="J6" s="23">
        <f t="shared" si="3"/>
        <v>1.0000000000000002</v>
      </c>
      <c r="K6" s="65">
        <f>M6/(H6*I6)</f>
        <v>10.999999999999998</v>
      </c>
      <c r="L6" s="21">
        <v>600</v>
      </c>
      <c r="M6" s="21">
        <v>660</v>
      </c>
      <c r="N6" s="285"/>
      <c r="O6" s="285"/>
      <c r="P6" s="285"/>
      <c r="Q6" s="285"/>
      <c r="R6" s="285"/>
      <c r="S6" s="285"/>
      <c r="T6" s="285"/>
      <c r="U6" s="285"/>
      <c r="V6" s="285"/>
      <c r="W6" s="285"/>
    </row>
    <row r="7" spans="1:23" s="26" customFormat="1" ht="30" customHeight="1" x14ac:dyDescent="0.2">
      <c r="A7" s="106" t="s">
        <v>1576</v>
      </c>
      <c r="B7" s="110" t="s">
        <v>526</v>
      </c>
      <c r="C7" s="21" t="s">
        <v>520</v>
      </c>
      <c r="D7" s="50">
        <v>1</v>
      </c>
      <c r="E7" s="51">
        <f t="shared" si="0"/>
        <v>1</v>
      </c>
      <c r="F7" s="23">
        <f t="shared" si="5"/>
        <v>1</v>
      </c>
      <c r="G7" s="65">
        <f t="shared" si="6"/>
        <v>11</v>
      </c>
      <c r="H7" s="77">
        <v>54.545454545454547</v>
      </c>
      <c r="I7" s="71">
        <f t="shared" si="2"/>
        <v>1.1000000000000001</v>
      </c>
      <c r="J7" s="23">
        <f t="shared" si="3"/>
        <v>1.0000000000000002</v>
      </c>
      <c r="K7" s="65">
        <f>M7/(H7*I7)</f>
        <v>10.999999999999998</v>
      </c>
      <c r="L7" s="21">
        <v>600</v>
      </c>
      <c r="M7" s="21">
        <v>660</v>
      </c>
      <c r="N7" s="285"/>
      <c r="O7" s="285"/>
      <c r="P7" s="285"/>
      <c r="Q7" s="285"/>
      <c r="R7" s="285"/>
      <c r="S7" s="285"/>
      <c r="T7" s="285"/>
      <c r="U7" s="285"/>
      <c r="V7" s="285"/>
      <c r="W7" s="285"/>
    </row>
    <row r="8" spans="1:23" s="26" customFormat="1" ht="30" customHeight="1" x14ac:dyDescent="0.2">
      <c r="A8" s="106" t="s">
        <v>1577</v>
      </c>
      <c r="B8" s="110" t="s">
        <v>525</v>
      </c>
      <c r="C8" s="21" t="s">
        <v>520</v>
      </c>
      <c r="D8" s="22">
        <v>1</v>
      </c>
      <c r="E8" s="51">
        <f t="shared" si="0"/>
        <v>1.0000000000000009</v>
      </c>
      <c r="F8" s="23">
        <f t="shared" si="5"/>
        <v>0.999999999999999</v>
      </c>
      <c r="G8" s="65">
        <f t="shared" si="6"/>
        <v>11.000000000000011</v>
      </c>
      <c r="H8" s="77">
        <v>54.545454545454497</v>
      </c>
      <c r="I8" s="71">
        <f t="shared" si="2"/>
        <v>1.1000000000000001</v>
      </c>
      <c r="J8" s="23">
        <f t="shared" si="3"/>
        <v>0.99999999999999922</v>
      </c>
      <c r="K8" s="65">
        <f t="shared" si="4"/>
        <v>11.000000000000009</v>
      </c>
      <c r="L8" s="21">
        <v>600</v>
      </c>
      <c r="M8" s="21">
        <v>660</v>
      </c>
      <c r="N8" s="285"/>
      <c r="O8" s="285"/>
      <c r="P8" s="285"/>
      <c r="Q8" s="285"/>
      <c r="R8" s="285"/>
      <c r="S8" s="285"/>
      <c r="T8" s="285"/>
      <c r="U8" s="285"/>
      <c r="V8" s="285"/>
      <c r="W8" s="285"/>
    </row>
    <row r="9" spans="1:23" s="26" customFormat="1" ht="30" customHeight="1" x14ac:dyDescent="0.2">
      <c r="A9" s="106" t="s">
        <v>1578</v>
      </c>
      <c r="B9" s="110" t="s">
        <v>524</v>
      </c>
      <c r="C9" s="21" t="s">
        <v>520</v>
      </c>
      <c r="D9" s="50">
        <v>1</v>
      </c>
      <c r="E9" s="51">
        <f t="shared" si="0"/>
        <v>1.0000000000000009</v>
      </c>
      <c r="F9" s="23">
        <f t="shared" si="5"/>
        <v>0.999999999999999</v>
      </c>
      <c r="G9" s="65">
        <f t="shared" si="6"/>
        <v>11.000000000000011</v>
      </c>
      <c r="H9" s="77">
        <v>54.545454545454497</v>
      </c>
      <c r="I9" s="71">
        <f t="shared" si="2"/>
        <v>1.1000000000000001</v>
      </c>
      <c r="J9" s="23">
        <f t="shared" si="3"/>
        <v>0.99999999999999922</v>
      </c>
      <c r="K9" s="65">
        <f t="shared" si="4"/>
        <v>11.000000000000009</v>
      </c>
      <c r="L9" s="21">
        <v>600</v>
      </c>
      <c r="M9" s="21">
        <v>660</v>
      </c>
      <c r="N9" s="285"/>
      <c r="O9" s="285"/>
      <c r="P9" s="285"/>
      <c r="Q9" s="285"/>
      <c r="R9" s="285"/>
      <c r="S9" s="285"/>
      <c r="T9" s="285"/>
      <c r="U9" s="285"/>
      <c r="V9" s="285"/>
      <c r="W9" s="285"/>
    </row>
    <row r="10" spans="1:23" s="26" customFormat="1" ht="30" customHeight="1" x14ac:dyDescent="0.2">
      <c r="A10" s="106" t="s">
        <v>1579</v>
      </c>
      <c r="B10" s="110" t="s">
        <v>523</v>
      </c>
      <c r="C10" s="21" t="s">
        <v>520</v>
      </c>
      <c r="D10" s="22">
        <v>1</v>
      </c>
      <c r="E10" s="51">
        <f t="shared" si="0"/>
        <v>1.0000000000000009</v>
      </c>
      <c r="F10" s="23">
        <f t="shared" si="5"/>
        <v>0.999999999999999</v>
      </c>
      <c r="G10" s="65">
        <f t="shared" si="6"/>
        <v>11.000000000000011</v>
      </c>
      <c r="H10" s="77">
        <v>54.545454545454497</v>
      </c>
      <c r="I10" s="71">
        <f t="shared" si="2"/>
        <v>1.1000000000000001</v>
      </c>
      <c r="J10" s="23">
        <f t="shared" si="3"/>
        <v>0.99999999999999922</v>
      </c>
      <c r="K10" s="65">
        <f t="shared" si="4"/>
        <v>11.000000000000009</v>
      </c>
      <c r="L10" s="21">
        <v>600</v>
      </c>
      <c r="M10" s="21">
        <v>660</v>
      </c>
      <c r="N10" s="285"/>
      <c r="O10" s="285"/>
      <c r="P10" s="285"/>
      <c r="Q10" s="285"/>
      <c r="R10" s="285"/>
      <c r="S10" s="285"/>
      <c r="T10" s="285"/>
      <c r="U10" s="285"/>
      <c r="V10" s="285"/>
      <c r="W10" s="285"/>
    </row>
    <row r="11" spans="1:23" s="26" customFormat="1" ht="30" customHeight="1" x14ac:dyDescent="0.2">
      <c r="A11" s="106" t="s">
        <v>1580</v>
      </c>
      <c r="B11" s="110" t="s">
        <v>522</v>
      </c>
      <c r="C11" s="21" t="s">
        <v>520</v>
      </c>
      <c r="D11" s="50">
        <v>1</v>
      </c>
      <c r="E11" s="51">
        <f t="shared" si="0"/>
        <v>1.0000000000000009</v>
      </c>
      <c r="F11" s="23">
        <f t="shared" si="5"/>
        <v>0.999999999999999</v>
      </c>
      <c r="G11" s="65">
        <f t="shared" si="6"/>
        <v>11.000000000000011</v>
      </c>
      <c r="H11" s="77">
        <v>54.545454545454497</v>
      </c>
      <c r="I11" s="71">
        <f t="shared" si="2"/>
        <v>1.1000000000000001</v>
      </c>
      <c r="J11" s="23">
        <f t="shared" si="3"/>
        <v>0.99999999999999922</v>
      </c>
      <c r="K11" s="65">
        <f t="shared" si="4"/>
        <v>11.000000000000009</v>
      </c>
      <c r="L11" s="21">
        <v>600</v>
      </c>
      <c r="M11" s="21">
        <v>660</v>
      </c>
      <c r="N11" s="285"/>
      <c r="O11" s="285"/>
      <c r="P11" s="285"/>
      <c r="Q11" s="285"/>
      <c r="R11" s="285"/>
      <c r="S11" s="285"/>
      <c r="T11" s="285"/>
      <c r="U11" s="285"/>
      <c r="V11" s="285"/>
      <c r="W11" s="285"/>
    </row>
    <row r="12" spans="1:23" s="26" customFormat="1" ht="30" customHeight="1" x14ac:dyDescent="0.2">
      <c r="A12" s="106" t="s">
        <v>1581</v>
      </c>
      <c r="B12" s="110" t="s">
        <v>592</v>
      </c>
      <c r="C12" s="21" t="s">
        <v>520</v>
      </c>
      <c r="D12" s="22">
        <v>1</v>
      </c>
      <c r="E12" s="51">
        <f t="shared" si="0"/>
        <v>1.0000000000000009</v>
      </c>
      <c r="F12" s="23">
        <f t="shared" si="5"/>
        <v>0.999999999999999</v>
      </c>
      <c r="G12" s="65">
        <f t="shared" si="6"/>
        <v>11.000000000000011</v>
      </c>
      <c r="H12" s="77">
        <v>54.545454545454497</v>
      </c>
      <c r="I12" s="71">
        <f t="shared" si="2"/>
        <v>1.1000000000000001</v>
      </c>
      <c r="J12" s="23">
        <f t="shared" si="3"/>
        <v>0.99999999999999922</v>
      </c>
      <c r="K12" s="65">
        <f t="shared" si="4"/>
        <v>11.000000000000009</v>
      </c>
      <c r="L12" s="21">
        <v>600</v>
      </c>
      <c r="M12" s="21">
        <v>660</v>
      </c>
      <c r="N12" s="285"/>
      <c r="O12" s="285"/>
      <c r="P12" s="285"/>
      <c r="Q12" s="285"/>
      <c r="R12" s="285"/>
      <c r="S12" s="285"/>
      <c r="T12" s="285"/>
      <c r="U12" s="285"/>
      <c r="V12" s="285"/>
      <c r="W12" s="285"/>
    </row>
    <row r="13" spans="1:23" s="26" customFormat="1" ht="30" customHeight="1" x14ac:dyDescent="0.2">
      <c r="A13" s="106" t="s">
        <v>1582</v>
      </c>
      <c r="B13" s="110" t="s">
        <v>535</v>
      </c>
      <c r="C13" s="21" t="s">
        <v>520</v>
      </c>
      <c r="D13" s="50">
        <v>1</v>
      </c>
      <c r="E13" s="51">
        <f t="shared" si="0"/>
        <v>1.0000000000000009</v>
      </c>
      <c r="F13" s="23">
        <f t="shared" si="5"/>
        <v>0.999999999999999</v>
      </c>
      <c r="G13" s="65">
        <f t="shared" si="6"/>
        <v>11.000000000000011</v>
      </c>
      <c r="H13" s="77">
        <v>54.545454545454497</v>
      </c>
      <c r="I13" s="71">
        <f t="shared" si="2"/>
        <v>1.1000000000000001</v>
      </c>
      <c r="J13" s="23">
        <f t="shared" si="3"/>
        <v>0.99999999999999922</v>
      </c>
      <c r="K13" s="65">
        <f t="shared" si="4"/>
        <v>11.000000000000009</v>
      </c>
      <c r="L13" s="21">
        <v>600</v>
      </c>
      <c r="M13" s="21">
        <v>660</v>
      </c>
      <c r="N13" s="285"/>
      <c r="O13" s="285"/>
      <c r="P13" s="285"/>
      <c r="Q13" s="285"/>
      <c r="R13" s="285"/>
      <c r="S13" s="285"/>
      <c r="T13" s="285"/>
      <c r="U13" s="285"/>
      <c r="V13" s="285"/>
      <c r="W13" s="285"/>
    </row>
    <row r="14" spans="1:23" s="26" customFormat="1" ht="30" customHeight="1" x14ac:dyDescent="0.2">
      <c r="A14" s="106" t="s">
        <v>1583</v>
      </c>
      <c r="B14" s="110" t="s">
        <v>593</v>
      </c>
      <c r="C14" s="21" t="s">
        <v>520</v>
      </c>
      <c r="D14" s="22">
        <v>1</v>
      </c>
      <c r="E14" s="51">
        <f t="shared" si="0"/>
        <v>1.0000000000000009</v>
      </c>
      <c r="F14" s="23">
        <f t="shared" si="5"/>
        <v>0.999999999999999</v>
      </c>
      <c r="G14" s="65">
        <f t="shared" si="6"/>
        <v>11.000000000000011</v>
      </c>
      <c r="H14" s="77">
        <v>54.545454545454497</v>
      </c>
      <c r="I14" s="71">
        <f t="shared" si="2"/>
        <v>1.1000000000000001</v>
      </c>
      <c r="J14" s="23">
        <f t="shared" si="3"/>
        <v>0.99999999999999922</v>
      </c>
      <c r="K14" s="65">
        <f t="shared" si="4"/>
        <v>11.000000000000009</v>
      </c>
      <c r="L14" s="21">
        <v>600</v>
      </c>
      <c r="M14" s="21">
        <v>660</v>
      </c>
      <c r="N14" s="285"/>
      <c r="O14" s="285"/>
      <c r="P14" s="285"/>
      <c r="Q14" s="285"/>
      <c r="R14" s="285"/>
      <c r="S14" s="285"/>
      <c r="T14" s="285"/>
      <c r="U14" s="285"/>
      <c r="V14" s="285"/>
      <c r="W14" s="285"/>
    </row>
    <row r="15" spans="1:23" s="26" customFormat="1" ht="30" customHeight="1" x14ac:dyDescent="0.2">
      <c r="A15" s="106" t="s">
        <v>1584</v>
      </c>
      <c r="B15" s="110" t="s">
        <v>976</v>
      </c>
      <c r="C15" s="21" t="s">
        <v>520</v>
      </c>
      <c r="D15" s="22">
        <v>1</v>
      </c>
      <c r="E15" s="51">
        <f t="shared" si="0"/>
        <v>1.0000000000000009</v>
      </c>
      <c r="F15" s="23">
        <f t="shared" si="5"/>
        <v>0.999999999999999</v>
      </c>
      <c r="G15" s="65">
        <f t="shared" si="6"/>
        <v>11.000000000000011</v>
      </c>
      <c r="H15" s="77">
        <v>54.545454545454497</v>
      </c>
      <c r="I15" s="71">
        <v>1.1000000000000001</v>
      </c>
      <c r="J15" s="23">
        <v>1.0000000000000002</v>
      </c>
      <c r="K15" s="65">
        <v>10.999999999999998</v>
      </c>
      <c r="L15" s="21">
        <v>600</v>
      </c>
      <c r="M15" s="21">
        <v>660</v>
      </c>
      <c r="N15" s="285"/>
      <c r="O15" s="285"/>
      <c r="P15" s="285"/>
      <c r="Q15" s="285"/>
      <c r="R15" s="285"/>
      <c r="S15" s="285"/>
      <c r="T15" s="285"/>
      <c r="U15" s="285"/>
      <c r="V15" s="285"/>
      <c r="W15" s="285"/>
    </row>
    <row r="16" spans="1:23" s="26" customFormat="1" ht="30" customHeight="1" x14ac:dyDescent="0.2">
      <c r="A16" s="106" t="s">
        <v>1585</v>
      </c>
      <c r="B16" s="110" t="s">
        <v>977</v>
      </c>
      <c r="C16" s="21" t="s">
        <v>520</v>
      </c>
      <c r="D16" s="50">
        <v>1</v>
      </c>
      <c r="E16" s="51">
        <f t="shared" si="0"/>
        <v>1.0000000000000009</v>
      </c>
      <c r="F16" s="23">
        <f t="shared" si="5"/>
        <v>0.999999999999999</v>
      </c>
      <c r="G16" s="65">
        <f t="shared" si="6"/>
        <v>11.000000000000011</v>
      </c>
      <c r="H16" s="77">
        <v>54.545454545454497</v>
      </c>
      <c r="I16" s="71">
        <v>1.1000000000000001</v>
      </c>
      <c r="J16" s="23">
        <v>1.0000000000000002</v>
      </c>
      <c r="K16" s="65">
        <v>10.999999999999998</v>
      </c>
      <c r="L16" s="21">
        <v>600</v>
      </c>
      <c r="M16" s="21">
        <v>660</v>
      </c>
      <c r="N16" s="285"/>
      <c r="O16" s="285"/>
      <c r="P16" s="285"/>
      <c r="Q16" s="285"/>
      <c r="R16" s="285"/>
      <c r="S16" s="285"/>
      <c r="T16" s="285"/>
      <c r="U16" s="285"/>
      <c r="V16" s="285"/>
      <c r="W16" s="285"/>
    </row>
    <row r="17" spans="1:23" s="26" customFormat="1" ht="30" customHeight="1" x14ac:dyDescent="0.2">
      <c r="A17" s="106" t="s">
        <v>1586</v>
      </c>
      <c r="B17" s="110" t="s">
        <v>972</v>
      </c>
      <c r="C17" s="21" t="s">
        <v>520</v>
      </c>
      <c r="D17" s="22">
        <v>1</v>
      </c>
      <c r="E17" s="51">
        <f t="shared" si="0"/>
        <v>1.0000000000000009</v>
      </c>
      <c r="F17" s="23">
        <f t="shared" si="5"/>
        <v>0.999999999999999</v>
      </c>
      <c r="G17" s="65">
        <f t="shared" si="6"/>
        <v>11.000000000000011</v>
      </c>
      <c r="H17" s="77">
        <v>54.545454545454497</v>
      </c>
      <c r="I17" s="71">
        <v>1.1000000000000001</v>
      </c>
      <c r="J17" s="23">
        <v>1.0000000000000002</v>
      </c>
      <c r="K17" s="65">
        <v>10.999999999999998</v>
      </c>
      <c r="L17" s="21">
        <v>600</v>
      </c>
      <c r="M17" s="21">
        <v>660</v>
      </c>
      <c r="N17" s="285"/>
      <c r="O17" s="285"/>
      <c r="P17" s="285"/>
      <c r="Q17" s="285"/>
      <c r="R17" s="285"/>
      <c r="S17" s="285"/>
      <c r="T17" s="285"/>
      <c r="U17" s="285"/>
      <c r="V17" s="285"/>
      <c r="W17" s="285"/>
    </row>
    <row r="18" spans="1:23" s="26" customFormat="1" ht="30" customHeight="1" x14ac:dyDescent="0.2">
      <c r="A18" s="106" t="s">
        <v>1587</v>
      </c>
      <c r="B18" s="110" t="s">
        <v>1588</v>
      </c>
      <c r="C18" s="49" t="s">
        <v>520</v>
      </c>
      <c r="D18" s="50">
        <v>1</v>
      </c>
      <c r="E18" s="51">
        <f t="shared" si="0"/>
        <v>1.0000000000000009</v>
      </c>
      <c r="F18" s="23">
        <f t="shared" si="5"/>
        <v>0.999999999999999</v>
      </c>
      <c r="G18" s="65">
        <f t="shared" si="6"/>
        <v>11.000000000000011</v>
      </c>
      <c r="H18" s="77">
        <v>54.545454545454497</v>
      </c>
      <c r="I18" s="71">
        <f t="shared" ref="I18:I27" si="7">M18/L18</f>
        <v>1.1000000000000001</v>
      </c>
      <c r="J18" s="23">
        <f t="shared" ref="J18:J27" si="8">11/K18</f>
        <v>0.99999999999999922</v>
      </c>
      <c r="K18" s="65">
        <f t="shared" ref="K18:K27" si="9">M18/(H18*I18)</f>
        <v>11.000000000000009</v>
      </c>
      <c r="L18" s="21">
        <v>600</v>
      </c>
      <c r="M18" s="21">
        <v>660</v>
      </c>
      <c r="N18" s="285"/>
      <c r="O18" s="285"/>
      <c r="P18" s="285"/>
      <c r="Q18" s="285"/>
      <c r="R18" s="285"/>
      <c r="S18" s="285"/>
      <c r="T18" s="285"/>
      <c r="U18" s="285"/>
      <c r="V18" s="285"/>
      <c r="W18" s="285"/>
    </row>
    <row r="19" spans="1:23" s="26" customFormat="1" ht="44.25" customHeight="1" x14ac:dyDescent="0.2">
      <c r="A19" s="204" t="s">
        <v>3329</v>
      </c>
      <c r="B19" s="203" t="s">
        <v>3333</v>
      </c>
      <c r="C19" s="49" t="s">
        <v>520</v>
      </c>
      <c r="D19" s="50">
        <v>1</v>
      </c>
      <c r="E19" s="51">
        <f t="shared" ref="E19" si="10">G19/11</f>
        <v>1.0000000000000009</v>
      </c>
      <c r="F19" s="23">
        <f t="shared" ref="F19" si="11">11/G19</f>
        <v>0.999999999999999</v>
      </c>
      <c r="G19" s="65">
        <f t="shared" ref="G19" si="12">L19/H19</f>
        <v>11.000000000000011</v>
      </c>
      <c r="H19" s="77">
        <v>54.545454545454497</v>
      </c>
      <c r="I19" s="71">
        <f t="shared" ref="I19" si="13">M19/L19</f>
        <v>1.1000000000000001</v>
      </c>
      <c r="J19" s="23">
        <f t="shared" ref="J19" si="14">11/K19</f>
        <v>0.99999999999999922</v>
      </c>
      <c r="K19" s="65">
        <f t="shared" ref="K19" si="15">M19/(H19*I19)</f>
        <v>11.000000000000009</v>
      </c>
      <c r="L19" s="21">
        <v>600</v>
      </c>
      <c r="M19" s="21">
        <v>660</v>
      </c>
      <c r="N19" s="285"/>
      <c r="O19" s="285"/>
      <c r="P19" s="285"/>
      <c r="Q19" s="285"/>
      <c r="R19" s="285"/>
      <c r="S19" s="285"/>
      <c r="T19" s="285"/>
      <c r="U19" s="285"/>
      <c r="V19" s="285"/>
      <c r="W19" s="285"/>
    </row>
    <row r="20" spans="1:23" s="26" customFormat="1" ht="44.25" customHeight="1" x14ac:dyDescent="0.2">
      <c r="A20" s="204" t="s">
        <v>3330</v>
      </c>
      <c r="B20" s="203" t="s">
        <v>3334</v>
      </c>
      <c r="C20" s="49" t="s">
        <v>520</v>
      </c>
      <c r="D20" s="50">
        <v>1</v>
      </c>
      <c r="E20" s="51">
        <f t="shared" ref="E20:E22" si="16">G20/11</f>
        <v>1.0000000000000009</v>
      </c>
      <c r="F20" s="23">
        <f t="shared" ref="F20:F22" si="17">11/G20</f>
        <v>0.999999999999999</v>
      </c>
      <c r="G20" s="65">
        <f t="shared" ref="G20:G22" si="18">L20/H20</f>
        <v>11.000000000000011</v>
      </c>
      <c r="H20" s="77">
        <v>54.545454545454497</v>
      </c>
      <c r="I20" s="71">
        <f t="shared" ref="I20:I22" si="19">M20/L20</f>
        <v>1.1000000000000001</v>
      </c>
      <c r="J20" s="23">
        <f t="shared" ref="J20:J22" si="20">11/K20</f>
        <v>0.99999999999999922</v>
      </c>
      <c r="K20" s="65">
        <f t="shared" ref="K20:K22" si="21">M20/(H20*I20)</f>
        <v>11.000000000000009</v>
      </c>
      <c r="L20" s="21">
        <v>600</v>
      </c>
      <c r="M20" s="21">
        <v>660</v>
      </c>
      <c r="N20" s="285"/>
      <c r="O20" s="285"/>
      <c r="P20" s="285"/>
      <c r="Q20" s="285"/>
      <c r="R20" s="285"/>
      <c r="S20" s="285"/>
      <c r="T20" s="285"/>
      <c r="U20" s="285"/>
      <c r="V20" s="285"/>
      <c r="W20" s="285"/>
    </row>
    <row r="21" spans="1:23" s="26" customFormat="1" ht="44.25" customHeight="1" x14ac:dyDescent="0.2">
      <c r="A21" s="204" t="s">
        <v>3331</v>
      </c>
      <c r="B21" s="203" t="s">
        <v>3335</v>
      </c>
      <c r="C21" s="49" t="s">
        <v>520</v>
      </c>
      <c r="D21" s="50">
        <v>1</v>
      </c>
      <c r="E21" s="51">
        <f t="shared" si="16"/>
        <v>1.0000000000000009</v>
      </c>
      <c r="F21" s="23">
        <f t="shared" si="17"/>
        <v>0.999999999999999</v>
      </c>
      <c r="G21" s="65">
        <f t="shared" si="18"/>
        <v>11.000000000000011</v>
      </c>
      <c r="H21" s="77">
        <v>54.545454545454497</v>
      </c>
      <c r="I21" s="71">
        <f t="shared" si="19"/>
        <v>1.1000000000000001</v>
      </c>
      <c r="J21" s="23">
        <f t="shared" si="20"/>
        <v>0.99999999999999922</v>
      </c>
      <c r="K21" s="65">
        <f t="shared" si="21"/>
        <v>11.000000000000009</v>
      </c>
      <c r="L21" s="21">
        <v>600</v>
      </c>
      <c r="M21" s="21">
        <v>660</v>
      </c>
      <c r="N21" s="285"/>
      <c r="O21" s="285"/>
      <c r="P21" s="285"/>
      <c r="Q21" s="285"/>
      <c r="R21" s="285"/>
      <c r="S21" s="285"/>
      <c r="T21" s="285"/>
      <c r="U21" s="285"/>
      <c r="V21" s="285"/>
      <c r="W21" s="285"/>
    </row>
    <row r="22" spans="1:23" s="26" customFormat="1" ht="44.25" customHeight="1" x14ac:dyDescent="0.2">
      <c r="A22" s="204" t="s">
        <v>3332</v>
      </c>
      <c r="B22" s="203" t="s">
        <v>3336</v>
      </c>
      <c r="C22" s="49" t="s">
        <v>520</v>
      </c>
      <c r="D22" s="50">
        <v>1</v>
      </c>
      <c r="E22" s="51">
        <f t="shared" si="16"/>
        <v>1.0000000000000009</v>
      </c>
      <c r="F22" s="23">
        <f t="shared" si="17"/>
        <v>0.999999999999999</v>
      </c>
      <c r="G22" s="65">
        <f t="shared" si="18"/>
        <v>11.000000000000011</v>
      </c>
      <c r="H22" s="77">
        <v>54.545454545454497</v>
      </c>
      <c r="I22" s="71">
        <f t="shared" si="19"/>
        <v>1.1000000000000001</v>
      </c>
      <c r="J22" s="23">
        <f t="shared" si="20"/>
        <v>0.99999999999999922</v>
      </c>
      <c r="K22" s="65">
        <f t="shared" si="21"/>
        <v>11.000000000000009</v>
      </c>
      <c r="L22" s="21">
        <v>600</v>
      </c>
      <c r="M22" s="21">
        <v>660</v>
      </c>
      <c r="N22" s="285"/>
      <c r="O22" s="285"/>
      <c r="P22" s="285"/>
      <c r="Q22" s="285"/>
      <c r="R22" s="285"/>
      <c r="S22" s="285"/>
      <c r="T22" s="285"/>
      <c r="U22" s="285"/>
      <c r="V22" s="285"/>
      <c r="W22" s="285"/>
    </row>
    <row r="23" spans="1:23" s="26" customFormat="1" ht="39.75" customHeight="1" x14ac:dyDescent="0.2">
      <c r="A23" s="204" t="s">
        <v>2925</v>
      </c>
      <c r="B23" s="110" t="s">
        <v>2923</v>
      </c>
      <c r="C23" s="49" t="s">
        <v>520</v>
      </c>
      <c r="D23" s="50">
        <v>1</v>
      </c>
      <c r="E23" s="51">
        <f t="shared" ref="E23:E27" si="22">G23/11</f>
        <v>1.0000000000000009</v>
      </c>
      <c r="F23" s="23">
        <f>11/G23</f>
        <v>0.999999999999999</v>
      </c>
      <c r="G23" s="65">
        <f>L23/H23</f>
        <v>11.000000000000011</v>
      </c>
      <c r="H23" s="77">
        <v>54.545454545454497</v>
      </c>
      <c r="I23" s="71">
        <f t="shared" si="7"/>
        <v>1.1000000000000001</v>
      </c>
      <c r="J23" s="23">
        <f t="shared" si="8"/>
        <v>0.99999999999999922</v>
      </c>
      <c r="K23" s="65">
        <f t="shared" si="9"/>
        <v>11.000000000000009</v>
      </c>
      <c r="L23" s="21">
        <v>600</v>
      </c>
      <c r="M23" s="21">
        <v>660</v>
      </c>
      <c r="N23" s="285"/>
      <c r="O23" s="285"/>
      <c r="P23" s="285"/>
      <c r="Q23" s="285"/>
      <c r="R23" s="285"/>
      <c r="S23" s="285"/>
      <c r="T23" s="285"/>
      <c r="U23" s="285"/>
      <c r="V23" s="285"/>
      <c r="W23" s="285"/>
    </row>
    <row r="24" spans="1:23" s="26" customFormat="1" ht="39.75" customHeight="1" x14ac:dyDescent="0.2">
      <c r="A24" s="204" t="s">
        <v>2956</v>
      </c>
      <c r="B24" s="211" t="s">
        <v>3115</v>
      </c>
      <c r="C24" s="49" t="s">
        <v>520</v>
      </c>
      <c r="D24" s="50">
        <v>1</v>
      </c>
      <c r="E24" s="51">
        <f t="shared" ref="E24" si="23">G24/11</f>
        <v>1.0000000000000009</v>
      </c>
      <c r="F24" s="23">
        <f>11/G24</f>
        <v>0.999999999999999</v>
      </c>
      <c r="G24" s="65">
        <f>L24/H24</f>
        <v>11.000000000000011</v>
      </c>
      <c r="H24" s="77">
        <v>54.545454545454497</v>
      </c>
      <c r="I24" s="71">
        <f t="shared" ref="I24" si="24">M24/L24</f>
        <v>1.1000000000000001</v>
      </c>
      <c r="J24" s="23">
        <f t="shared" ref="J24" si="25">11/K24</f>
        <v>0.99999999999999922</v>
      </c>
      <c r="K24" s="65">
        <f t="shared" ref="K24" si="26">M24/(H24*I24)</f>
        <v>11.000000000000009</v>
      </c>
      <c r="L24" s="21">
        <v>600</v>
      </c>
      <c r="M24" s="21">
        <v>660</v>
      </c>
      <c r="N24" s="285"/>
      <c r="O24" s="285"/>
      <c r="P24" s="285"/>
      <c r="Q24" s="285"/>
      <c r="R24" s="285"/>
      <c r="S24" s="285"/>
      <c r="T24" s="285"/>
      <c r="U24" s="285"/>
      <c r="V24" s="285"/>
      <c r="W24" s="285"/>
    </row>
    <row r="25" spans="1:23" s="26" customFormat="1" ht="38.25" customHeight="1" x14ac:dyDescent="0.2">
      <c r="A25" s="204" t="s">
        <v>2924</v>
      </c>
      <c r="B25" s="203" t="s">
        <v>2926</v>
      </c>
      <c r="C25" s="49" t="s">
        <v>520</v>
      </c>
      <c r="D25" s="50">
        <v>1</v>
      </c>
      <c r="E25" s="51">
        <f t="shared" si="22"/>
        <v>0.86580086580086568</v>
      </c>
      <c r="F25" s="23">
        <f t="shared" ref="F25:G25" si="27">J25</f>
        <v>1.1550000000000002</v>
      </c>
      <c r="G25" s="65">
        <f t="shared" si="27"/>
        <v>9.5238095238095219</v>
      </c>
      <c r="H25" s="77">
        <v>63</v>
      </c>
      <c r="I25" s="71">
        <f t="shared" si="7"/>
        <v>1.1000000000000001</v>
      </c>
      <c r="J25" s="23">
        <f t="shared" si="8"/>
        <v>1.1550000000000002</v>
      </c>
      <c r="K25" s="65">
        <f t="shared" si="9"/>
        <v>9.5238095238095219</v>
      </c>
      <c r="L25" s="21">
        <v>600</v>
      </c>
      <c r="M25" s="21">
        <v>660</v>
      </c>
      <c r="N25" s="285"/>
      <c r="O25" s="285"/>
      <c r="P25" s="285"/>
      <c r="Q25" s="285"/>
      <c r="R25" s="285"/>
      <c r="S25" s="285"/>
      <c r="T25" s="285"/>
      <c r="U25" s="285"/>
      <c r="V25" s="285"/>
      <c r="W25" s="285"/>
    </row>
    <row r="26" spans="1:23" s="26" customFormat="1" ht="38.25" customHeight="1" x14ac:dyDescent="0.2">
      <c r="A26" s="204" t="s">
        <v>3113</v>
      </c>
      <c r="B26" s="205" t="s">
        <v>3114</v>
      </c>
      <c r="C26" s="49" t="s">
        <v>520</v>
      </c>
      <c r="D26" s="50">
        <v>1</v>
      </c>
      <c r="E26" s="51">
        <v>1</v>
      </c>
      <c r="F26" s="23">
        <v>1</v>
      </c>
      <c r="G26" s="65">
        <v>11</v>
      </c>
      <c r="H26" s="77">
        <v>54.545454545454547</v>
      </c>
      <c r="I26" s="71"/>
      <c r="J26" s="23"/>
      <c r="K26" s="65"/>
      <c r="L26" s="21"/>
      <c r="M26" s="21"/>
      <c r="N26" s="285"/>
      <c r="O26" s="285"/>
      <c r="P26" s="285"/>
      <c r="Q26" s="285"/>
      <c r="R26" s="285"/>
      <c r="S26" s="285"/>
      <c r="T26" s="285"/>
      <c r="U26" s="285"/>
      <c r="V26" s="285"/>
      <c r="W26" s="285"/>
    </row>
    <row r="27" spans="1:23" s="26" customFormat="1" ht="30" customHeight="1" x14ac:dyDescent="0.2">
      <c r="A27" s="204" t="s">
        <v>1590</v>
      </c>
      <c r="B27" s="205" t="s">
        <v>2927</v>
      </c>
      <c r="C27" s="49" t="s">
        <v>520</v>
      </c>
      <c r="D27" s="50">
        <v>1</v>
      </c>
      <c r="E27" s="51">
        <f t="shared" si="22"/>
        <v>1</v>
      </c>
      <c r="F27" s="23">
        <f>11/G27</f>
        <v>1</v>
      </c>
      <c r="G27" s="65">
        <f>L27/H27</f>
        <v>11</v>
      </c>
      <c r="H27" s="77">
        <v>54.545454545454547</v>
      </c>
      <c r="I27" s="71">
        <f t="shared" si="7"/>
        <v>1.1000000000000001</v>
      </c>
      <c r="J27" s="23">
        <f t="shared" si="8"/>
        <v>1.0000000000000002</v>
      </c>
      <c r="K27" s="65">
        <f t="shared" si="9"/>
        <v>10.999999999999998</v>
      </c>
      <c r="L27" s="21">
        <v>600</v>
      </c>
      <c r="M27" s="21">
        <v>660</v>
      </c>
      <c r="N27" s="285"/>
      <c r="O27" s="285"/>
      <c r="P27" s="285"/>
      <c r="Q27" s="285"/>
      <c r="R27" s="285"/>
      <c r="S27" s="285"/>
      <c r="T27" s="285"/>
      <c r="U27" s="285"/>
      <c r="V27" s="285"/>
      <c r="W27" s="285"/>
    </row>
    <row r="28" spans="1:23" s="26" customFormat="1" ht="39.75" customHeight="1" x14ac:dyDescent="0.2">
      <c r="A28" s="204" t="s">
        <v>3064</v>
      </c>
      <c r="B28" s="205" t="s">
        <v>3065</v>
      </c>
      <c r="C28" s="49" t="s">
        <v>520</v>
      </c>
      <c r="D28" s="50">
        <v>1</v>
      </c>
      <c r="E28" s="51">
        <f t="shared" ref="E28" si="28">G28/11</f>
        <v>1</v>
      </c>
      <c r="F28" s="23">
        <f>11/G28</f>
        <v>1</v>
      </c>
      <c r="G28" s="65">
        <f>L28/H28</f>
        <v>11</v>
      </c>
      <c r="H28" s="77">
        <v>54.545454545454547</v>
      </c>
      <c r="I28" s="71">
        <f t="shared" ref="I28" si="29">M28/L28</f>
        <v>1.1000000000000001</v>
      </c>
      <c r="J28" s="23">
        <f t="shared" ref="J28" si="30">11/K28</f>
        <v>1.0000000000000002</v>
      </c>
      <c r="K28" s="65">
        <f t="shared" ref="K28" si="31">M28/(H28*I28)</f>
        <v>10.999999999999998</v>
      </c>
      <c r="L28" s="21">
        <v>600</v>
      </c>
      <c r="M28" s="21">
        <v>660</v>
      </c>
      <c r="N28" s="285"/>
      <c r="O28" s="285"/>
      <c r="P28" s="285"/>
      <c r="Q28" s="285"/>
      <c r="R28" s="285"/>
      <c r="S28" s="285"/>
      <c r="T28" s="285"/>
      <c r="U28" s="285"/>
      <c r="V28" s="285"/>
      <c r="W28" s="285"/>
    </row>
    <row r="29" spans="1:23" s="26" customFormat="1" ht="30" customHeight="1" x14ac:dyDescent="0.2">
      <c r="A29" s="106"/>
      <c r="B29" s="112" t="s">
        <v>703</v>
      </c>
      <c r="C29" s="34"/>
      <c r="D29" s="34"/>
      <c r="E29" s="34"/>
      <c r="F29" s="34"/>
      <c r="G29" s="34"/>
      <c r="H29" s="223"/>
      <c r="I29" s="64"/>
      <c r="J29" s="64"/>
      <c r="K29" s="64"/>
      <c r="L29" s="64"/>
      <c r="M29" s="64"/>
      <c r="N29" s="285"/>
      <c r="O29" s="285"/>
      <c r="P29" s="285"/>
      <c r="Q29" s="285"/>
      <c r="R29" s="285"/>
      <c r="S29" s="285"/>
      <c r="T29" s="285"/>
      <c r="U29" s="285"/>
      <c r="V29" s="285"/>
      <c r="W29" s="285"/>
    </row>
    <row r="30" spans="1:23" s="26" customFormat="1" ht="30" customHeight="1" x14ac:dyDescent="0.2">
      <c r="A30" s="204" t="s">
        <v>2993</v>
      </c>
      <c r="B30" s="113" t="s">
        <v>1271</v>
      </c>
      <c r="C30" s="21" t="s">
        <v>1</v>
      </c>
      <c r="D30" s="50">
        <v>1</v>
      </c>
      <c r="E30" s="51">
        <f t="shared" ref="E30:E96" si="32">G30/11</f>
        <v>12.73115680901107</v>
      </c>
      <c r="F30" s="23">
        <f>11/G30</f>
        <v>7.854745762711865E-2</v>
      </c>
      <c r="G30" s="65">
        <f>L30/H30</f>
        <v>140.04272489912177</v>
      </c>
      <c r="H30" s="77">
        <v>4.2130000000000001</v>
      </c>
      <c r="I30" s="71">
        <f>M30/L30</f>
        <v>1.1186440677966101</v>
      </c>
      <c r="J30" s="23">
        <f>11/K30</f>
        <v>7.854745762711865E-2</v>
      </c>
      <c r="K30" s="65">
        <f>M30/(H30*I30)</f>
        <v>140.04272489912177</v>
      </c>
      <c r="L30" s="21">
        <v>590</v>
      </c>
      <c r="M30" s="21">
        <v>660</v>
      </c>
      <c r="N30" s="285"/>
      <c r="O30" s="285"/>
      <c r="P30" s="285"/>
      <c r="Q30" s="285"/>
      <c r="R30" s="285"/>
      <c r="S30" s="285"/>
      <c r="T30" s="285"/>
      <c r="U30" s="285"/>
      <c r="V30" s="285"/>
      <c r="W30" s="285"/>
    </row>
    <row r="31" spans="1:23" s="26" customFormat="1" ht="30" customHeight="1" x14ac:dyDescent="0.2">
      <c r="A31" s="204" t="s">
        <v>3066</v>
      </c>
      <c r="B31" s="113" t="s">
        <v>3126</v>
      </c>
      <c r="C31" s="21" t="s">
        <v>1</v>
      </c>
      <c r="D31" s="50">
        <v>1</v>
      </c>
      <c r="E31" s="51">
        <f t="shared" ref="E31" si="33">G31/11</f>
        <v>10.727272727272727</v>
      </c>
      <c r="F31" s="23">
        <f>11/G31</f>
        <v>9.3220338983050849E-2</v>
      </c>
      <c r="G31" s="65">
        <f>L31/H31</f>
        <v>118</v>
      </c>
      <c r="H31" s="77">
        <v>5</v>
      </c>
      <c r="I31" s="71">
        <f>M31/L31</f>
        <v>1.1186440677966101</v>
      </c>
      <c r="J31" s="23">
        <f>11/K31</f>
        <v>9.3220338983050835E-2</v>
      </c>
      <c r="K31" s="65">
        <f>M31/(H31*I31)</f>
        <v>118.00000000000001</v>
      </c>
      <c r="L31" s="21">
        <v>590</v>
      </c>
      <c r="M31" s="21">
        <v>660</v>
      </c>
      <c r="N31" s="285"/>
      <c r="O31" s="285"/>
      <c r="P31" s="285"/>
      <c r="Q31" s="285"/>
      <c r="R31" s="285"/>
      <c r="S31" s="285"/>
      <c r="T31" s="285"/>
      <c r="U31" s="285"/>
      <c r="V31" s="285"/>
      <c r="W31" s="285"/>
    </row>
    <row r="32" spans="1:23" s="26" customFormat="1" ht="30" customHeight="1" x14ac:dyDescent="0.2">
      <c r="A32" s="106"/>
      <c r="B32" s="114" t="s">
        <v>349</v>
      </c>
      <c r="C32" s="38"/>
      <c r="D32" s="38"/>
      <c r="E32" s="38"/>
      <c r="F32" s="38"/>
      <c r="G32" s="38"/>
      <c r="H32" s="224"/>
      <c r="I32" s="63"/>
      <c r="J32" s="63"/>
      <c r="K32" s="63"/>
      <c r="L32" s="63"/>
      <c r="M32" s="63"/>
      <c r="N32" s="285"/>
      <c r="O32" s="285"/>
      <c r="P32" s="285"/>
      <c r="Q32" s="285"/>
      <c r="R32" s="285"/>
      <c r="S32" s="285"/>
      <c r="T32" s="285"/>
      <c r="U32" s="285"/>
      <c r="V32" s="285"/>
      <c r="W32" s="285"/>
    </row>
    <row r="33" spans="1:23" s="26" customFormat="1" ht="30" customHeight="1" x14ac:dyDescent="0.2">
      <c r="A33" s="106" t="s">
        <v>1591</v>
      </c>
      <c r="B33" s="115" t="s">
        <v>1272</v>
      </c>
      <c r="C33" s="21" t="s">
        <v>1</v>
      </c>
      <c r="D33" s="50">
        <v>1</v>
      </c>
      <c r="E33" s="51">
        <f t="shared" si="32"/>
        <v>42.175602175602172</v>
      </c>
      <c r="F33" s="23">
        <f>11/G33</f>
        <v>2.3710390567428151E-2</v>
      </c>
      <c r="G33" s="65">
        <f>L33/H33</f>
        <v>463.9316239316239</v>
      </c>
      <c r="H33" s="77">
        <v>1.2717391304347827</v>
      </c>
      <c r="I33" s="71">
        <f>M33/L33</f>
        <v>1.1186440677966101</v>
      </c>
      <c r="J33" s="23">
        <f>11/K33</f>
        <v>2.391304347826087E-2</v>
      </c>
      <c r="K33" s="65">
        <v>460</v>
      </c>
      <c r="L33" s="21">
        <v>590</v>
      </c>
      <c r="M33" s="21">
        <v>660</v>
      </c>
      <c r="N33" s="285"/>
      <c r="O33" s="285"/>
      <c r="P33" s="285"/>
      <c r="Q33" s="285"/>
      <c r="R33" s="285"/>
      <c r="S33" s="285"/>
      <c r="T33" s="285"/>
      <c r="U33" s="285"/>
      <c r="V33" s="285"/>
      <c r="W33" s="285"/>
    </row>
    <row r="34" spans="1:23" s="26" customFormat="1" ht="30" customHeight="1" x14ac:dyDescent="0.2">
      <c r="A34" s="106" t="s">
        <v>1592</v>
      </c>
      <c r="B34" s="115" t="s">
        <v>1273</v>
      </c>
      <c r="C34" s="21" t="s">
        <v>1</v>
      </c>
      <c r="D34" s="22">
        <v>1</v>
      </c>
      <c r="E34" s="51">
        <f t="shared" si="32"/>
        <v>36.674436674436677</v>
      </c>
      <c r="F34" s="23">
        <f>11/G34</f>
        <v>2.726694915254237E-2</v>
      </c>
      <c r="G34" s="65">
        <f t="shared" ref="G34:G97" si="34">L34/H34</f>
        <v>403.41880341880346</v>
      </c>
      <c r="H34" s="77">
        <v>1.4624999999999999</v>
      </c>
      <c r="I34" s="71">
        <f t="shared" ref="I34:I65" si="35">M34/L34</f>
        <v>1.1186440677966101</v>
      </c>
      <c r="J34" s="23">
        <f t="shared" ref="J34:J62" si="36">11/K34</f>
        <v>2.75E-2</v>
      </c>
      <c r="K34" s="65">
        <v>400</v>
      </c>
      <c r="L34" s="21">
        <v>590</v>
      </c>
      <c r="M34" s="21">
        <v>660</v>
      </c>
      <c r="N34" s="285"/>
      <c r="O34" s="285"/>
      <c r="P34" s="285"/>
      <c r="Q34" s="285"/>
      <c r="R34" s="285"/>
      <c r="S34" s="285"/>
      <c r="T34" s="285"/>
      <c r="U34" s="285"/>
      <c r="V34" s="285"/>
      <c r="W34" s="285"/>
    </row>
    <row r="35" spans="1:23" s="26" customFormat="1" ht="30" customHeight="1" x14ac:dyDescent="0.2">
      <c r="A35" s="106" t="s">
        <v>1593</v>
      </c>
      <c r="B35" s="115" t="s">
        <v>1274</v>
      </c>
      <c r="C35" s="21" t="s">
        <v>1</v>
      </c>
      <c r="D35" s="50">
        <v>1</v>
      </c>
      <c r="E35" s="51">
        <f t="shared" si="32"/>
        <v>33.46542346542347</v>
      </c>
      <c r="F35" s="23">
        <f t="shared" ref="F35:F112" si="37">11/G35</f>
        <v>2.98815881123752E-2</v>
      </c>
      <c r="G35" s="65">
        <f t="shared" si="34"/>
        <v>368.11965811965814</v>
      </c>
      <c r="H35" s="77">
        <v>1.6027397260273972</v>
      </c>
      <c r="I35" s="71">
        <f t="shared" si="35"/>
        <v>1.1186440677966101</v>
      </c>
      <c r="J35" s="23">
        <f t="shared" si="36"/>
        <v>3.0136986301369864E-2</v>
      </c>
      <c r="K35" s="65">
        <v>365</v>
      </c>
      <c r="L35" s="21">
        <v>590</v>
      </c>
      <c r="M35" s="21">
        <v>660</v>
      </c>
      <c r="N35" s="285"/>
      <c r="O35" s="285"/>
      <c r="P35" s="285"/>
      <c r="Q35" s="285"/>
      <c r="R35" s="285"/>
      <c r="S35" s="285"/>
      <c r="T35" s="285"/>
      <c r="U35" s="285"/>
      <c r="V35" s="285"/>
      <c r="W35" s="285"/>
    </row>
    <row r="36" spans="1:23" s="26" customFormat="1" ht="30" customHeight="1" x14ac:dyDescent="0.2">
      <c r="A36" s="106" t="s">
        <v>1594</v>
      </c>
      <c r="B36" s="115" t="s">
        <v>1275</v>
      </c>
      <c r="C36" s="21" t="s">
        <v>1</v>
      </c>
      <c r="D36" s="22">
        <v>1</v>
      </c>
      <c r="E36" s="51">
        <f t="shared" si="32"/>
        <v>31.173271173271175</v>
      </c>
      <c r="F36" s="23">
        <f t="shared" si="37"/>
        <v>3.207876370887338E-2</v>
      </c>
      <c r="G36" s="65">
        <f t="shared" si="34"/>
        <v>342.90598290598291</v>
      </c>
      <c r="H36" s="77">
        <v>1.7205882352941178</v>
      </c>
      <c r="I36" s="71">
        <f t="shared" si="35"/>
        <v>1.1186440677966101</v>
      </c>
      <c r="J36" s="23">
        <f t="shared" si="36"/>
        <v>3.2352941176470591E-2</v>
      </c>
      <c r="K36" s="65">
        <v>340</v>
      </c>
      <c r="L36" s="21">
        <v>590</v>
      </c>
      <c r="M36" s="21">
        <v>660</v>
      </c>
      <c r="N36" s="285"/>
      <c r="O36" s="285"/>
      <c r="P36" s="285"/>
      <c r="Q36" s="285"/>
      <c r="R36" s="285"/>
      <c r="S36" s="285"/>
      <c r="T36" s="285"/>
      <c r="U36" s="285"/>
      <c r="V36" s="285"/>
      <c r="W36" s="285"/>
    </row>
    <row r="37" spans="1:23" s="26" customFormat="1" ht="30" customHeight="1" x14ac:dyDescent="0.2">
      <c r="A37" s="106" t="s">
        <v>1595</v>
      </c>
      <c r="B37" s="115" t="s">
        <v>1276</v>
      </c>
      <c r="C37" s="21" t="s">
        <v>1</v>
      </c>
      <c r="D37" s="50">
        <v>1</v>
      </c>
      <c r="E37" s="51">
        <f t="shared" si="32"/>
        <v>27.505827505827508</v>
      </c>
      <c r="F37" s="23">
        <f t="shared" si="37"/>
        <v>3.6355932203389826E-2</v>
      </c>
      <c r="G37" s="65">
        <f t="shared" si="34"/>
        <v>302.5641025641026</v>
      </c>
      <c r="H37" s="77">
        <v>1.95</v>
      </c>
      <c r="I37" s="71">
        <f t="shared" si="35"/>
        <v>1.1186440677966101</v>
      </c>
      <c r="J37" s="23">
        <f t="shared" si="36"/>
        <v>3.6666666666666667E-2</v>
      </c>
      <c r="K37" s="65">
        <v>300</v>
      </c>
      <c r="L37" s="21">
        <v>590</v>
      </c>
      <c r="M37" s="21">
        <v>660</v>
      </c>
      <c r="N37" s="285"/>
      <c r="O37" s="285"/>
      <c r="P37" s="285"/>
      <c r="Q37" s="285"/>
      <c r="R37" s="285"/>
      <c r="S37" s="285"/>
      <c r="T37" s="285"/>
      <c r="U37" s="285"/>
      <c r="V37" s="285"/>
      <c r="W37" s="285"/>
    </row>
    <row r="38" spans="1:23" s="26" customFormat="1" ht="30" customHeight="1" x14ac:dyDescent="0.2">
      <c r="A38" s="106" t="s">
        <v>1596</v>
      </c>
      <c r="B38" s="115" t="s">
        <v>1277</v>
      </c>
      <c r="C38" s="21" t="s">
        <v>1</v>
      </c>
      <c r="D38" s="50">
        <v>1</v>
      </c>
      <c r="E38" s="51">
        <f t="shared" si="32"/>
        <v>22.004662004662006</v>
      </c>
      <c r="F38" s="23">
        <f t="shared" si="37"/>
        <v>4.5444915254237286E-2</v>
      </c>
      <c r="G38" s="65">
        <f t="shared" si="34"/>
        <v>242.05128205128204</v>
      </c>
      <c r="H38" s="77">
        <v>2.4375</v>
      </c>
      <c r="I38" s="71">
        <f t="shared" si="35"/>
        <v>1.1186440677966101</v>
      </c>
      <c r="J38" s="23">
        <f t="shared" si="36"/>
        <v>4.583333333333333E-2</v>
      </c>
      <c r="K38" s="65">
        <v>240</v>
      </c>
      <c r="L38" s="21">
        <v>590</v>
      </c>
      <c r="M38" s="21">
        <v>660</v>
      </c>
      <c r="N38" s="285"/>
      <c r="O38" s="285"/>
      <c r="P38" s="285"/>
      <c r="Q38" s="285"/>
      <c r="R38" s="285"/>
      <c r="S38" s="285"/>
      <c r="T38" s="285"/>
      <c r="U38" s="285"/>
      <c r="V38" s="285"/>
      <c r="W38" s="285"/>
    </row>
    <row r="39" spans="1:23" s="26" customFormat="1" ht="30" customHeight="1" x14ac:dyDescent="0.2">
      <c r="A39" s="106" t="s">
        <v>1597</v>
      </c>
      <c r="B39" s="115" t="s">
        <v>1278</v>
      </c>
      <c r="C39" s="21" t="s">
        <v>1</v>
      </c>
      <c r="D39" s="22">
        <v>1</v>
      </c>
      <c r="E39" s="51">
        <f t="shared" si="32"/>
        <v>23.379953379953381</v>
      </c>
      <c r="F39" s="23">
        <f t="shared" si="37"/>
        <v>4.2771684945164506E-2</v>
      </c>
      <c r="G39" s="65">
        <f t="shared" si="34"/>
        <v>257.17948717948718</v>
      </c>
      <c r="H39" s="77">
        <v>2.2941176470588234</v>
      </c>
      <c r="I39" s="71">
        <f t="shared" si="35"/>
        <v>1.1186440677966101</v>
      </c>
      <c r="J39" s="23">
        <f t="shared" si="36"/>
        <v>4.3137254901960784E-2</v>
      </c>
      <c r="K39" s="65">
        <v>255</v>
      </c>
      <c r="L39" s="21">
        <v>590</v>
      </c>
      <c r="M39" s="21">
        <v>660</v>
      </c>
      <c r="N39" s="285"/>
      <c r="O39" s="285"/>
      <c r="P39" s="285"/>
      <c r="Q39" s="285"/>
      <c r="R39" s="285"/>
      <c r="S39" s="285"/>
      <c r="T39" s="285"/>
      <c r="U39" s="285"/>
      <c r="V39" s="285"/>
      <c r="W39" s="285"/>
    </row>
    <row r="40" spans="1:23" s="26" customFormat="1" ht="30" customHeight="1" x14ac:dyDescent="0.2">
      <c r="A40" s="106" t="s">
        <v>1598</v>
      </c>
      <c r="B40" s="115" t="s">
        <v>1279</v>
      </c>
      <c r="C40" s="21" t="s">
        <v>1</v>
      </c>
      <c r="D40" s="50">
        <v>1</v>
      </c>
      <c r="E40" s="51">
        <f t="shared" si="32"/>
        <v>18.337218337218339</v>
      </c>
      <c r="F40" s="23">
        <f t="shared" si="37"/>
        <v>5.453389830508474E-2</v>
      </c>
      <c r="G40" s="65">
        <f t="shared" si="34"/>
        <v>201.70940170940173</v>
      </c>
      <c r="H40" s="77">
        <v>2.9249999999999998</v>
      </c>
      <c r="I40" s="71">
        <f t="shared" si="35"/>
        <v>1.1186440677966101</v>
      </c>
      <c r="J40" s="23">
        <f t="shared" si="36"/>
        <v>5.5E-2</v>
      </c>
      <c r="K40" s="65">
        <v>200</v>
      </c>
      <c r="L40" s="21">
        <v>590</v>
      </c>
      <c r="M40" s="21">
        <v>660</v>
      </c>
      <c r="N40" s="285"/>
      <c r="O40" s="285"/>
      <c r="P40" s="285"/>
      <c r="Q40" s="285"/>
      <c r="R40" s="285"/>
      <c r="S40" s="285"/>
      <c r="T40" s="285"/>
      <c r="U40" s="285"/>
      <c r="V40" s="285"/>
      <c r="W40" s="285"/>
    </row>
    <row r="41" spans="1:23" s="26" customFormat="1" ht="30" customHeight="1" x14ac:dyDescent="0.2">
      <c r="A41" s="106" t="s">
        <v>1599</v>
      </c>
      <c r="B41" s="115" t="s">
        <v>1280</v>
      </c>
      <c r="C41" s="21" t="s">
        <v>1</v>
      </c>
      <c r="D41" s="22">
        <v>1</v>
      </c>
      <c r="E41" s="51">
        <f t="shared" si="32"/>
        <v>17.420357420357419</v>
      </c>
      <c r="F41" s="23">
        <f t="shared" si="37"/>
        <v>5.7404103479036579E-2</v>
      </c>
      <c r="G41" s="65">
        <f t="shared" si="34"/>
        <v>191.62393162393161</v>
      </c>
      <c r="H41" s="77">
        <v>3.0789473684210527</v>
      </c>
      <c r="I41" s="71">
        <f t="shared" si="35"/>
        <v>1.1186440677966101</v>
      </c>
      <c r="J41" s="23">
        <f t="shared" si="36"/>
        <v>5.7894736842105263E-2</v>
      </c>
      <c r="K41" s="65">
        <v>190</v>
      </c>
      <c r="L41" s="21">
        <v>590</v>
      </c>
      <c r="M41" s="21">
        <v>660</v>
      </c>
      <c r="N41" s="285"/>
      <c r="O41" s="285"/>
      <c r="P41" s="285"/>
      <c r="Q41" s="285"/>
      <c r="R41" s="285"/>
      <c r="S41" s="285"/>
      <c r="T41" s="285"/>
      <c r="U41" s="285"/>
      <c r="V41" s="285"/>
      <c r="W41" s="285"/>
    </row>
    <row r="42" spans="1:23" s="26" customFormat="1" ht="30" customHeight="1" x14ac:dyDescent="0.2">
      <c r="A42" s="106" t="s">
        <v>1600</v>
      </c>
      <c r="B42" s="115" t="s">
        <v>1281</v>
      </c>
      <c r="C42" s="21" t="s">
        <v>1</v>
      </c>
      <c r="D42" s="50">
        <v>1</v>
      </c>
      <c r="E42" s="51">
        <f t="shared" si="32"/>
        <v>15.586635586635587</v>
      </c>
      <c r="F42" s="23">
        <f t="shared" si="37"/>
        <v>6.415752741774676E-2</v>
      </c>
      <c r="G42" s="65">
        <f t="shared" si="34"/>
        <v>171.45299145299145</v>
      </c>
      <c r="H42" s="77">
        <v>3.4411764705882355</v>
      </c>
      <c r="I42" s="71">
        <f t="shared" si="35"/>
        <v>1.1186440677966101</v>
      </c>
      <c r="J42" s="23">
        <f t="shared" si="36"/>
        <v>6.4705882352941183E-2</v>
      </c>
      <c r="K42" s="65">
        <v>170</v>
      </c>
      <c r="L42" s="21">
        <v>590</v>
      </c>
      <c r="M42" s="21">
        <v>660</v>
      </c>
      <c r="N42" s="285"/>
      <c r="O42" s="285"/>
      <c r="P42" s="285"/>
      <c r="Q42" s="285"/>
      <c r="R42" s="285"/>
      <c r="S42" s="285"/>
      <c r="T42" s="285"/>
      <c r="U42" s="285"/>
      <c r="V42" s="285"/>
      <c r="W42" s="285"/>
    </row>
    <row r="43" spans="1:23" s="26" customFormat="1" ht="30" customHeight="1" x14ac:dyDescent="0.2">
      <c r="A43" s="106" t="s">
        <v>1601</v>
      </c>
      <c r="B43" s="115" t="s">
        <v>1282</v>
      </c>
      <c r="C43" s="21" t="s">
        <v>1</v>
      </c>
      <c r="D43" s="50">
        <v>1</v>
      </c>
      <c r="E43" s="51">
        <f t="shared" si="32"/>
        <v>14.247159090909092</v>
      </c>
      <c r="F43" s="23">
        <f t="shared" si="37"/>
        <v>7.0189431704885341E-2</v>
      </c>
      <c r="G43" s="65">
        <f t="shared" si="34"/>
        <v>156.71875</v>
      </c>
      <c r="H43" s="77">
        <v>3.7647058823529411</v>
      </c>
      <c r="I43" s="71">
        <f t="shared" si="35"/>
        <v>1.1186440677966101</v>
      </c>
      <c r="J43" s="23">
        <f t="shared" si="36"/>
        <v>7.078934137757667E-2</v>
      </c>
      <c r="K43" s="65">
        <v>155.390625</v>
      </c>
      <c r="L43" s="21">
        <v>590</v>
      </c>
      <c r="M43" s="21">
        <v>660</v>
      </c>
      <c r="N43" s="285"/>
      <c r="O43" s="285"/>
      <c r="P43" s="285"/>
      <c r="Q43" s="285"/>
      <c r="R43" s="285"/>
      <c r="S43" s="285"/>
      <c r="T43" s="285"/>
      <c r="U43" s="285"/>
      <c r="V43" s="285"/>
      <c r="W43" s="285"/>
    </row>
    <row r="44" spans="1:23" s="26" customFormat="1" ht="30" customHeight="1" x14ac:dyDescent="0.2">
      <c r="A44" s="106" t="s">
        <v>1602</v>
      </c>
      <c r="B44" s="116" t="s">
        <v>1283</v>
      </c>
      <c r="C44" s="59" t="s">
        <v>1</v>
      </c>
      <c r="D44" s="97">
        <v>1</v>
      </c>
      <c r="E44" s="51">
        <f t="shared" si="32"/>
        <v>36.674436674436684</v>
      </c>
      <c r="F44" s="23">
        <f t="shared" si="37"/>
        <v>2.7266949152542366E-2</v>
      </c>
      <c r="G44" s="65">
        <f t="shared" si="34"/>
        <v>403.41880341880352</v>
      </c>
      <c r="H44" s="101">
        <v>1.4624999999999997</v>
      </c>
      <c r="I44" s="71">
        <f t="shared" si="35"/>
        <v>1.1186440677966101</v>
      </c>
      <c r="J44" s="23">
        <f t="shared" si="36"/>
        <v>2.7499999999999997E-2</v>
      </c>
      <c r="K44" s="117">
        <v>400.00000000000006</v>
      </c>
      <c r="L44" s="21">
        <v>590</v>
      </c>
      <c r="M44" s="21">
        <v>660</v>
      </c>
      <c r="N44" s="285"/>
      <c r="O44" s="285"/>
      <c r="P44" s="285"/>
      <c r="Q44" s="285"/>
      <c r="R44" s="285"/>
      <c r="S44" s="285"/>
      <c r="T44" s="285"/>
      <c r="U44" s="285"/>
      <c r="V44" s="285"/>
      <c r="W44" s="285"/>
    </row>
    <row r="45" spans="1:23" s="26" customFormat="1" ht="30" customHeight="1" x14ac:dyDescent="0.2">
      <c r="A45" s="106" t="s">
        <v>1603</v>
      </c>
      <c r="B45" s="116" t="s">
        <v>1284</v>
      </c>
      <c r="C45" s="59" t="s">
        <v>1</v>
      </c>
      <c r="D45" s="102">
        <v>1</v>
      </c>
      <c r="E45" s="51">
        <f t="shared" si="32"/>
        <v>31.890814499510153</v>
      </c>
      <c r="F45" s="23">
        <f t="shared" si="37"/>
        <v>3.1356991525423726E-2</v>
      </c>
      <c r="G45" s="65">
        <f t="shared" si="34"/>
        <v>350.79895949461167</v>
      </c>
      <c r="H45" s="101">
        <v>1.681875</v>
      </c>
      <c r="I45" s="71">
        <f t="shared" si="35"/>
        <v>1.1186440677966101</v>
      </c>
      <c r="J45" s="23">
        <f t="shared" si="36"/>
        <v>3.1625E-2</v>
      </c>
      <c r="K45" s="117">
        <v>347.82608695652175</v>
      </c>
      <c r="L45" s="21">
        <v>590</v>
      </c>
      <c r="M45" s="21">
        <v>660</v>
      </c>
      <c r="N45" s="285"/>
      <c r="O45" s="285"/>
      <c r="P45" s="285"/>
      <c r="Q45" s="285"/>
      <c r="R45" s="285"/>
      <c r="S45" s="285"/>
      <c r="T45" s="285"/>
      <c r="U45" s="285"/>
      <c r="V45" s="285"/>
      <c r="W45" s="285"/>
    </row>
    <row r="46" spans="1:23" s="26" customFormat="1" ht="30" customHeight="1" x14ac:dyDescent="0.2">
      <c r="A46" s="106" t="s">
        <v>1604</v>
      </c>
      <c r="B46" s="116" t="s">
        <v>1285</v>
      </c>
      <c r="C46" s="59" t="s">
        <v>1</v>
      </c>
      <c r="D46" s="97">
        <v>1</v>
      </c>
      <c r="E46" s="51">
        <f t="shared" si="32"/>
        <v>29.100368230803017</v>
      </c>
      <c r="F46" s="23">
        <f t="shared" si="37"/>
        <v>3.4363826329231482E-2</v>
      </c>
      <c r="G46" s="65">
        <f t="shared" si="34"/>
        <v>320.10405053883318</v>
      </c>
      <c r="H46" s="101">
        <v>1.8431506849315067</v>
      </c>
      <c r="I46" s="71">
        <f t="shared" si="35"/>
        <v>1.1186440677966101</v>
      </c>
      <c r="J46" s="23">
        <f t="shared" si="36"/>
        <v>3.465753424657534E-2</v>
      </c>
      <c r="K46" s="117">
        <v>317.39130434782612</v>
      </c>
      <c r="L46" s="21">
        <v>590</v>
      </c>
      <c r="M46" s="21">
        <v>660</v>
      </c>
      <c r="N46" s="285"/>
      <c r="O46" s="285"/>
      <c r="P46" s="285"/>
      <c r="Q46" s="285"/>
      <c r="R46" s="285"/>
      <c r="S46" s="285"/>
      <c r="T46" s="285"/>
      <c r="U46" s="285"/>
      <c r="V46" s="285"/>
      <c r="W46" s="285"/>
    </row>
    <row r="47" spans="1:23" s="26" customFormat="1" ht="30" customHeight="1" x14ac:dyDescent="0.2">
      <c r="A47" s="106" t="s">
        <v>1605</v>
      </c>
      <c r="B47" s="116" t="s">
        <v>1286</v>
      </c>
      <c r="C47" s="59" t="s">
        <v>1</v>
      </c>
      <c r="D47" s="102">
        <v>1</v>
      </c>
      <c r="E47" s="51">
        <f t="shared" si="32"/>
        <v>27.107192324583629</v>
      </c>
      <c r="F47" s="23">
        <f t="shared" si="37"/>
        <v>3.6890578265204386E-2</v>
      </c>
      <c r="G47" s="65">
        <f t="shared" si="34"/>
        <v>298.17911557041992</v>
      </c>
      <c r="H47" s="101">
        <v>1.9786764705882351</v>
      </c>
      <c r="I47" s="71">
        <f t="shared" si="35"/>
        <v>1.1186440677966101</v>
      </c>
      <c r="J47" s="23">
        <f t="shared" si="36"/>
        <v>3.7205882352941172E-2</v>
      </c>
      <c r="K47" s="117">
        <v>295.6521739130435</v>
      </c>
      <c r="L47" s="21">
        <v>590</v>
      </c>
      <c r="M47" s="21">
        <v>660</v>
      </c>
      <c r="N47" s="285"/>
      <c r="O47" s="285"/>
      <c r="P47" s="285"/>
      <c r="Q47" s="285"/>
      <c r="R47" s="285"/>
      <c r="S47" s="285"/>
      <c r="T47" s="285"/>
      <c r="U47" s="285"/>
      <c r="V47" s="285"/>
      <c r="W47" s="285"/>
    </row>
    <row r="48" spans="1:23" s="26" customFormat="1" ht="30" customHeight="1" x14ac:dyDescent="0.2">
      <c r="A48" s="106" t="s">
        <v>1606</v>
      </c>
      <c r="B48" s="116" t="s">
        <v>1287</v>
      </c>
      <c r="C48" s="59" t="s">
        <v>1</v>
      </c>
      <c r="D48" s="102">
        <v>1</v>
      </c>
      <c r="E48" s="51">
        <f t="shared" si="32"/>
        <v>23.918110874632614</v>
      </c>
      <c r="F48" s="23">
        <f t="shared" si="37"/>
        <v>4.1809322033898304E-2</v>
      </c>
      <c r="G48" s="65">
        <f t="shared" si="34"/>
        <v>263.09921962095876</v>
      </c>
      <c r="H48" s="101">
        <v>2.2424999999999997</v>
      </c>
      <c r="I48" s="71">
        <f t="shared" si="35"/>
        <v>1.1186440677966101</v>
      </c>
      <c r="J48" s="23">
        <f t="shared" si="36"/>
        <v>4.2166666666666665E-2</v>
      </c>
      <c r="K48" s="117">
        <v>260.86956521739131</v>
      </c>
      <c r="L48" s="21">
        <v>590</v>
      </c>
      <c r="M48" s="21">
        <v>660</v>
      </c>
      <c r="N48" s="285"/>
      <c r="O48" s="285"/>
      <c r="P48" s="285"/>
      <c r="Q48" s="285"/>
      <c r="R48" s="285"/>
      <c r="S48" s="285"/>
      <c r="T48" s="285"/>
      <c r="U48" s="285"/>
      <c r="V48" s="285"/>
      <c r="W48" s="285"/>
    </row>
    <row r="49" spans="1:23" s="26" customFormat="1" ht="30" customHeight="1" x14ac:dyDescent="0.2">
      <c r="A49" s="106" t="s">
        <v>1607</v>
      </c>
      <c r="B49" s="116" t="s">
        <v>1288</v>
      </c>
      <c r="C49" s="59" t="s">
        <v>1</v>
      </c>
      <c r="D49" s="97">
        <v>1</v>
      </c>
      <c r="E49" s="51">
        <f t="shared" si="32"/>
        <v>19.134488699706093</v>
      </c>
      <c r="F49" s="23">
        <f t="shared" si="37"/>
        <v>5.2261652542372874E-2</v>
      </c>
      <c r="G49" s="65">
        <f t="shared" si="34"/>
        <v>210.47937569676702</v>
      </c>
      <c r="H49" s="101">
        <v>2.8031249999999996</v>
      </c>
      <c r="I49" s="71">
        <f t="shared" si="35"/>
        <v>1.1186440677966101</v>
      </c>
      <c r="J49" s="23">
        <f t="shared" si="36"/>
        <v>5.2708333333333329E-2</v>
      </c>
      <c r="K49" s="117">
        <v>208.69565217391306</v>
      </c>
      <c r="L49" s="21">
        <v>590</v>
      </c>
      <c r="M49" s="21">
        <v>660</v>
      </c>
      <c r="N49" s="285"/>
      <c r="O49" s="285"/>
      <c r="P49" s="285"/>
      <c r="Q49" s="285"/>
      <c r="R49" s="285"/>
      <c r="S49" s="285"/>
      <c r="T49" s="285"/>
      <c r="U49" s="285"/>
      <c r="V49" s="285"/>
      <c r="W49" s="285"/>
    </row>
    <row r="50" spans="1:23" s="26" customFormat="1" ht="30" customHeight="1" x14ac:dyDescent="0.2">
      <c r="A50" s="106" t="s">
        <v>1608</v>
      </c>
      <c r="B50" s="116" t="s">
        <v>1289</v>
      </c>
      <c r="C50" s="59" t="s">
        <v>1</v>
      </c>
      <c r="D50" s="102">
        <v>1</v>
      </c>
      <c r="E50" s="51">
        <f t="shared" si="32"/>
        <v>20.33039424343772</v>
      </c>
      <c r="F50" s="23">
        <f t="shared" si="37"/>
        <v>4.9187437686939187E-2</v>
      </c>
      <c r="G50" s="65">
        <f t="shared" si="34"/>
        <v>223.63433667781493</v>
      </c>
      <c r="H50" s="101">
        <v>2.638235294117647</v>
      </c>
      <c r="I50" s="71">
        <f t="shared" si="35"/>
        <v>1.1186440677966101</v>
      </c>
      <c r="J50" s="23">
        <f t="shared" si="36"/>
        <v>4.9607843137254901E-2</v>
      </c>
      <c r="K50" s="117">
        <v>221.73913043478262</v>
      </c>
      <c r="L50" s="21">
        <v>590</v>
      </c>
      <c r="M50" s="21">
        <v>660</v>
      </c>
      <c r="N50" s="285"/>
      <c r="O50" s="285"/>
      <c r="P50" s="285"/>
      <c r="Q50" s="285"/>
      <c r="R50" s="285"/>
      <c r="S50" s="285"/>
      <c r="T50" s="285"/>
      <c r="U50" s="285"/>
      <c r="V50" s="285"/>
      <c r="W50" s="285"/>
    </row>
    <row r="51" spans="1:23" s="26" customFormat="1" ht="30" customHeight="1" x14ac:dyDescent="0.2">
      <c r="A51" s="106" t="s">
        <v>1609</v>
      </c>
      <c r="B51" s="116" t="s">
        <v>1290</v>
      </c>
      <c r="C51" s="59" t="s">
        <v>1</v>
      </c>
      <c r="D51" s="97">
        <v>1</v>
      </c>
      <c r="E51" s="51">
        <f t="shared" si="32"/>
        <v>15.945407249755077</v>
      </c>
      <c r="F51" s="23">
        <f t="shared" si="37"/>
        <v>6.2713983050847452E-2</v>
      </c>
      <c r="G51" s="65">
        <f t="shared" si="34"/>
        <v>175.39947974730583</v>
      </c>
      <c r="H51" s="101">
        <v>3.36375</v>
      </c>
      <c r="I51" s="71">
        <f t="shared" si="35"/>
        <v>1.1186440677966101</v>
      </c>
      <c r="J51" s="23">
        <f t="shared" si="36"/>
        <v>6.3250000000000001E-2</v>
      </c>
      <c r="K51" s="117">
        <v>173.91304347826087</v>
      </c>
      <c r="L51" s="21">
        <v>590</v>
      </c>
      <c r="M51" s="21">
        <v>660</v>
      </c>
      <c r="N51" s="285"/>
      <c r="O51" s="285"/>
      <c r="P51" s="285"/>
      <c r="Q51" s="285"/>
      <c r="R51" s="285"/>
      <c r="S51" s="285"/>
      <c r="T51" s="285"/>
      <c r="U51" s="285"/>
      <c r="V51" s="285"/>
      <c r="W51" s="285"/>
    </row>
    <row r="52" spans="1:23" s="26" customFormat="1" ht="30" customHeight="1" x14ac:dyDescent="0.2">
      <c r="A52" s="106" t="s">
        <v>1610</v>
      </c>
      <c r="B52" s="116" t="s">
        <v>1291</v>
      </c>
      <c r="C52" s="59" t="s">
        <v>1</v>
      </c>
      <c r="D52" s="102">
        <v>1</v>
      </c>
      <c r="E52" s="51">
        <f t="shared" si="32"/>
        <v>15.148136887267322</v>
      </c>
      <c r="F52" s="23">
        <f t="shared" si="37"/>
        <v>6.6014719000892064E-2</v>
      </c>
      <c r="G52" s="65">
        <f t="shared" si="34"/>
        <v>166.62950575994054</v>
      </c>
      <c r="H52" s="101">
        <v>3.5407894736842103</v>
      </c>
      <c r="I52" s="71">
        <f t="shared" si="35"/>
        <v>1.1186440677966101</v>
      </c>
      <c r="J52" s="23">
        <f t="shared" si="36"/>
        <v>6.6578947368421043E-2</v>
      </c>
      <c r="K52" s="117">
        <v>165.21739130434784</v>
      </c>
      <c r="L52" s="21">
        <v>590</v>
      </c>
      <c r="M52" s="21">
        <v>660</v>
      </c>
      <c r="N52" s="285"/>
      <c r="O52" s="285"/>
      <c r="P52" s="285"/>
      <c r="Q52" s="285"/>
      <c r="R52" s="285"/>
      <c r="S52" s="285"/>
      <c r="T52" s="285"/>
      <c r="U52" s="285"/>
      <c r="V52" s="285"/>
      <c r="W52" s="285"/>
    </row>
    <row r="53" spans="1:23" s="26" customFormat="1" ht="30" customHeight="1" x14ac:dyDescent="0.2">
      <c r="A53" s="106" t="s">
        <v>1611</v>
      </c>
      <c r="B53" s="116" t="s">
        <v>1292</v>
      </c>
      <c r="C53" s="59" t="s">
        <v>1</v>
      </c>
      <c r="D53" s="102">
        <v>1</v>
      </c>
      <c r="E53" s="51">
        <f t="shared" si="32"/>
        <v>13.553596162291814</v>
      </c>
      <c r="F53" s="23">
        <f t="shared" si="37"/>
        <v>7.3781156530408773E-2</v>
      </c>
      <c r="G53" s="65">
        <f t="shared" si="34"/>
        <v>149.08955778520996</v>
      </c>
      <c r="H53" s="101">
        <v>3.9573529411764703</v>
      </c>
      <c r="I53" s="71">
        <f t="shared" si="35"/>
        <v>1.1186440677966101</v>
      </c>
      <c r="J53" s="23">
        <f t="shared" si="36"/>
        <v>7.4411764705882344E-2</v>
      </c>
      <c r="K53" s="117">
        <v>147.82608695652175</v>
      </c>
      <c r="L53" s="21">
        <v>590</v>
      </c>
      <c r="M53" s="21">
        <v>660</v>
      </c>
      <c r="N53" s="285"/>
      <c r="O53" s="285"/>
      <c r="P53" s="285"/>
      <c r="Q53" s="285"/>
      <c r="R53" s="285"/>
      <c r="S53" s="285"/>
      <c r="T53" s="285"/>
      <c r="U53" s="285"/>
      <c r="V53" s="285"/>
      <c r="W53" s="285"/>
    </row>
    <row r="54" spans="1:23" s="26" customFormat="1" ht="30" customHeight="1" x14ac:dyDescent="0.2">
      <c r="A54" s="106" t="s">
        <v>1612</v>
      </c>
      <c r="B54" s="116" t="s">
        <v>1293</v>
      </c>
      <c r="C54" s="59" t="s">
        <v>1</v>
      </c>
      <c r="D54" s="97">
        <v>1</v>
      </c>
      <c r="E54" s="51">
        <f t="shared" si="32"/>
        <v>12.388833992094863</v>
      </c>
      <c r="F54" s="23">
        <f t="shared" si="37"/>
        <v>8.0717846460618137E-2</v>
      </c>
      <c r="G54" s="65">
        <f t="shared" si="34"/>
        <v>136.2771739130435</v>
      </c>
      <c r="H54" s="101">
        <v>4.3294117647058821</v>
      </c>
      <c r="I54" s="71">
        <f t="shared" si="35"/>
        <v>1.1186440677966101</v>
      </c>
      <c r="J54" s="23">
        <f t="shared" si="36"/>
        <v>8.1407742584213169E-2</v>
      </c>
      <c r="K54" s="117">
        <v>135.12228260869566</v>
      </c>
      <c r="L54" s="21">
        <v>590</v>
      </c>
      <c r="M54" s="21">
        <v>660</v>
      </c>
      <c r="N54" s="285"/>
      <c r="O54" s="285"/>
      <c r="P54" s="285"/>
      <c r="Q54" s="285"/>
      <c r="R54" s="285"/>
      <c r="S54" s="285"/>
      <c r="T54" s="285"/>
      <c r="U54" s="285"/>
      <c r="V54" s="285"/>
      <c r="W54" s="285"/>
    </row>
    <row r="55" spans="1:23" s="26" customFormat="1" ht="30" customHeight="1" x14ac:dyDescent="0.2">
      <c r="A55" s="106" t="s">
        <v>1613</v>
      </c>
      <c r="B55" s="116" t="s">
        <v>1294</v>
      </c>
      <c r="C55" s="59" t="s">
        <v>1</v>
      </c>
      <c r="D55" s="102">
        <v>1</v>
      </c>
      <c r="E55" s="51">
        <f t="shared" si="32"/>
        <v>31.890814499510157</v>
      </c>
      <c r="F55" s="23">
        <f t="shared" si="37"/>
        <v>3.1356991525423726E-2</v>
      </c>
      <c r="G55" s="65">
        <f t="shared" si="34"/>
        <v>350.79895949461172</v>
      </c>
      <c r="H55" s="101">
        <v>1.6818749999999998</v>
      </c>
      <c r="I55" s="71">
        <f t="shared" si="35"/>
        <v>1.1186440677966101</v>
      </c>
      <c r="J55" s="23">
        <f t="shared" si="36"/>
        <v>3.1624999999999993E-2</v>
      </c>
      <c r="K55" s="290">
        <v>347.82608695652181</v>
      </c>
      <c r="L55" s="21">
        <v>590</v>
      </c>
      <c r="M55" s="21">
        <v>660</v>
      </c>
      <c r="N55" s="285"/>
      <c r="O55" s="285"/>
      <c r="P55" s="285"/>
      <c r="Q55" s="285"/>
      <c r="R55" s="285"/>
      <c r="S55" s="285"/>
      <c r="T55" s="285"/>
      <c r="U55" s="285"/>
      <c r="V55" s="285"/>
      <c r="W55" s="285"/>
    </row>
    <row r="56" spans="1:23" s="26" customFormat="1" ht="30" customHeight="1" x14ac:dyDescent="0.2">
      <c r="A56" s="106" t="s">
        <v>1614</v>
      </c>
      <c r="B56" s="116" t="s">
        <v>1295</v>
      </c>
      <c r="C56" s="59" t="s">
        <v>1</v>
      </c>
      <c r="D56" s="97">
        <v>1</v>
      </c>
      <c r="E56" s="51">
        <f t="shared" si="32"/>
        <v>27.731143043052306</v>
      </c>
      <c r="F56" s="23">
        <f t="shared" si="37"/>
        <v>3.6060540254237286E-2</v>
      </c>
      <c r="G56" s="65">
        <f t="shared" si="34"/>
        <v>305.04257347357537</v>
      </c>
      <c r="H56" s="101">
        <v>1.9341562499999998</v>
      </c>
      <c r="I56" s="71">
        <f t="shared" si="35"/>
        <v>1.1186440677966101</v>
      </c>
      <c r="J56" s="23">
        <f t="shared" si="36"/>
        <v>3.6368749999999991E-2</v>
      </c>
      <c r="K56" s="290">
        <v>302.4574669187146</v>
      </c>
      <c r="L56" s="21">
        <v>590</v>
      </c>
      <c r="M56" s="21">
        <v>660</v>
      </c>
      <c r="N56" s="285"/>
      <c r="O56" s="285"/>
      <c r="P56" s="285"/>
      <c r="Q56" s="285"/>
      <c r="R56" s="285"/>
      <c r="S56" s="285"/>
      <c r="T56" s="285"/>
      <c r="U56" s="285"/>
      <c r="V56" s="285"/>
      <c r="W56" s="285"/>
    </row>
    <row r="57" spans="1:23" s="26" customFormat="1" ht="30" customHeight="1" x14ac:dyDescent="0.2">
      <c r="A57" s="106" t="s">
        <v>1615</v>
      </c>
      <c r="B57" s="116" t="s">
        <v>1296</v>
      </c>
      <c r="C57" s="59" t="s">
        <v>1</v>
      </c>
      <c r="D57" s="102">
        <v>1</v>
      </c>
      <c r="E57" s="51">
        <f t="shared" si="32"/>
        <v>25.304668026785237</v>
      </c>
      <c r="F57" s="23">
        <f t="shared" si="37"/>
        <v>3.9518400278616195E-2</v>
      </c>
      <c r="G57" s="65">
        <f t="shared" si="34"/>
        <v>278.3513482946376</v>
      </c>
      <c r="H57" s="101">
        <v>2.1196232876712324</v>
      </c>
      <c r="I57" s="71">
        <f t="shared" si="35"/>
        <v>1.1186440677966101</v>
      </c>
      <c r="J57" s="23">
        <f t="shared" si="36"/>
        <v>3.9856164383561633E-2</v>
      </c>
      <c r="K57" s="290">
        <v>275.99243856332708</v>
      </c>
      <c r="L57" s="21">
        <v>590</v>
      </c>
      <c r="M57" s="21">
        <v>660</v>
      </c>
      <c r="N57" s="285"/>
      <c r="O57" s="285"/>
      <c r="P57" s="285"/>
      <c r="Q57" s="285"/>
      <c r="R57" s="285"/>
      <c r="S57" s="285"/>
      <c r="T57" s="285"/>
      <c r="U57" s="285"/>
      <c r="V57" s="285"/>
      <c r="W57" s="285"/>
    </row>
    <row r="58" spans="1:23" s="26" customFormat="1" ht="30" customHeight="1" x14ac:dyDescent="0.2">
      <c r="A58" s="106" t="s">
        <v>1616</v>
      </c>
      <c r="B58" s="116" t="s">
        <v>1297</v>
      </c>
      <c r="C58" s="59" t="s">
        <v>1</v>
      </c>
      <c r="D58" s="102">
        <v>1</v>
      </c>
      <c r="E58" s="51">
        <f t="shared" si="32"/>
        <v>23.571471586594463</v>
      </c>
      <c r="F58" s="23">
        <f t="shared" si="37"/>
        <v>4.242416500498504E-2</v>
      </c>
      <c r="G58" s="65">
        <f t="shared" si="34"/>
        <v>259.28618745253908</v>
      </c>
      <c r="H58" s="101">
        <v>2.2754779411764705</v>
      </c>
      <c r="I58" s="71">
        <f t="shared" si="35"/>
        <v>1.1186440677966101</v>
      </c>
      <c r="J58" s="23">
        <f t="shared" si="36"/>
        <v>4.2786764705882351E-2</v>
      </c>
      <c r="K58" s="290">
        <v>257.0888468809074</v>
      </c>
      <c r="L58" s="21">
        <v>590</v>
      </c>
      <c r="M58" s="21">
        <v>660</v>
      </c>
      <c r="N58" s="285"/>
      <c r="O58" s="285"/>
      <c r="P58" s="285"/>
      <c r="Q58" s="285"/>
      <c r="R58" s="285"/>
      <c r="S58" s="285"/>
      <c r="T58" s="285"/>
      <c r="U58" s="285"/>
      <c r="V58" s="285"/>
      <c r="W58" s="285"/>
    </row>
    <row r="59" spans="1:23" s="26" customFormat="1" ht="30" customHeight="1" x14ac:dyDescent="0.2">
      <c r="A59" s="106" t="s">
        <v>1617</v>
      </c>
      <c r="B59" s="116" t="s">
        <v>1298</v>
      </c>
      <c r="C59" s="59" t="s">
        <v>1</v>
      </c>
      <c r="D59" s="97">
        <v>1</v>
      </c>
      <c r="E59" s="51">
        <f t="shared" si="32"/>
        <v>20.798357282289235</v>
      </c>
      <c r="F59" s="23">
        <f t="shared" si="37"/>
        <v>4.8080720338983043E-2</v>
      </c>
      <c r="G59" s="65">
        <f t="shared" si="34"/>
        <v>228.78193010518157</v>
      </c>
      <c r="H59" s="101">
        <v>2.5788749999999996</v>
      </c>
      <c r="I59" s="71">
        <f t="shared" si="35"/>
        <v>1.1186440677966101</v>
      </c>
      <c r="J59" s="23">
        <f t="shared" si="36"/>
        <v>4.8491666666666662E-2</v>
      </c>
      <c r="K59" s="290">
        <v>226.84310018903594</v>
      </c>
      <c r="L59" s="21">
        <v>590</v>
      </c>
      <c r="M59" s="21">
        <v>660</v>
      </c>
      <c r="N59" s="285"/>
      <c r="O59" s="285"/>
      <c r="P59" s="285"/>
      <c r="Q59" s="285"/>
      <c r="R59" s="285"/>
      <c r="S59" s="285"/>
      <c r="T59" s="285"/>
      <c r="U59" s="285"/>
      <c r="V59" s="285"/>
      <c r="W59" s="285"/>
    </row>
    <row r="60" spans="1:23" s="26" customFormat="1" ht="30" customHeight="1" x14ac:dyDescent="0.2">
      <c r="A60" s="106" t="s">
        <v>1618</v>
      </c>
      <c r="B60" s="116" t="s">
        <v>1299</v>
      </c>
      <c r="C60" s="59" t="s">
        <v>1</v>
      </c>
      <c r="D60" s="102">
        <v>1</v>
      </c>
      <c r="E60" s="51">
        <f t="shared" si="32"/>
        <v>16.638685825831388</v>
      </c>
      <c r="F60" s="23">
        <f t="shared" si="37"/>
        <v>6.0100900423728801E-2</v>
      </c>
      <c r="G60" s="65">
        <f t="shared" si="34"/>
        <v>183.02554408414525</v>
      </c>
      <c r="H60" s="101">
        <v>3.2235937499999996</v>
      </c>
      <c r="I60" s="71">
        <f t="shared" si="35"/>
        <v>1.1186440677966101</v>
      </c>
      <c r="J60" s="23">
        <f t="shared" si="36"/>
        <v>6.0614583333333326E-2</v>
      </c>
      <c r="K60" s="290">
        <v>181.47448015122876</v>
      </c>
      <c r="L60" s="21">
        <v>590</v>
      </c>
      <c r="M60" s="21">
        <v>660</v>
      </c>
      <c r="N60" s="285"/>
      <c r="O60" s="285"/>
      <c r="P60" s="285"/>
      <c r="Q60" s="285"/>
      <c r="R60" s="285"/>
      <c r="S60" s="285"/>
      <c r="T60" s="285"/>
      <c r="U60" s="285"/>
      <c r="V60" s="285"/>
      <c r="W60" s="285"/>
    </row>
    <row r="61" spans="1:23" s="26" customFormat="1" ht="30" customHeight="1" x14ac:dyDescent="0.2">
      <c r="A61" s="106" t="s">
        <v>1619</v>
      </c>
      <c r="B61" s="116" t="s">
        <v>1300</v>
      </c>
      <c r="C61" s="59" t="s">
        <v>1</v>
      </c>
      <c r="D61" s="97">
        <v>1</v>
      </c>
      <c r="E61" s="51">
        <f t="shared" si="32"/>
        <v>17.678603689945849</v>
      </c>
      <c r="F61" s="23">
        <f t="shared" si="37"/>
        <v>5.6565553339980049E-2</v>
      </c>
      <c r="G61" s="65">
        <f t="shared" si="34"/>
        <v>194.46464058940433</v>
      </c>
      <c r="H61" s="101">
        <v>3.0339705882352934</v>
      </c>
      <c r="I61" s="71">
        <f t="shared" si="35"/>
        <v>1.1186440677966101</v>
      </c>
      <c r="J61" s="23">
        <f t="shared" si="36"/>
        <v>5.7049019607843129E-2</v>
      </c>
      <c r="K61" s="290">
        <v>192.81663516068056</v>
      </c>
      <c r="L61" s="21">
        <v>590</v>
      </c>
      <c r="M61" s="21">
        <v>660</v>
      </c>
      <c r="N61" s="285"/>
      <c r="O61" s="285"/>
      <c r="P61" s="285"/>
      <c r="Q61" s="285"/>
      <c r="R61" s="285"/>
      <c r="S61" s="285"/>
      <c r="T61" s="285"/>
      <c r="U61" s="285"/>
      <c r="V61" s="285"/>
      <c r="W61" s="285"/>
    </row>
    <row r="62" spans="1:23" s="26" customFormat="1" ht="30" customHeight="1" x14ac:dyDescent="0.2">
      <c r="A62" s="106" t="s">
        <v>1620</v>
      </c>
      <c r="B62" s="116" t="s">
        <v>1301</v>
      </c>
      <c r="C62" s="59" t="s">
        <v>1</v>
      </c>
      <c r="D62" s="102">
        <v>1</v>
      </c>
      <c r="E62" s="51">
        <f t="shared" si="32"/>
        <v>13.865571521526153</v>
      </c>
      <c r="F62" s="23">
        <f t="shared" si="37"/>
        <v>7.2121080508474572E-2</v>
      </c>
      <c r="G62" s="65">
        <f t="shared" si="34"/>
        <v>152.52128673678769</v>
      </c>
      <c r="H62" s="101">
        <v>3.8683124999999996</v>
      </c>
      <c r="I62" s="71">
        <f t="shared" si="35"/>
        <v>1.1186440677966101</v>
      </c>
      <c r="J62" s="23">
        <f t="shared" si="36"/>
        <v>7.2737499999999983E-2</v>
      </c>
      <c r="K62" s="290">
        <v>151.2287334593573</v>
      </c>
      <c r="L62" s="21">
        <v>590</v>
      </c>
      <c r="M62" s="21">
        <v>660</v>
      </c>
      <c r="N62" s="285"/>
      <c r="O62" s="285"/>
      <c r="P62" s="285"/>
      <c r="Q62" s="285"/>
      <c r="R62" s="285"/>
      <c r="S62" s="285"/>
      <c r="T62" s="285"/>
      <c r="U62" s="285"/>
      <c r="V62" s="285"/>
      <c r="W62" s="285"/>
    </row>
    <row r="63" spans="1:23" s="26" customFormat="1" ht="30" customHeight="1" x14ac:dyDescent="0.2">
      <c r="A63" s="106" t="s">
        <v>1621</v>
      </c>
      <c r="B63" s="116" t="s">
        <v>1302</v>
      </c>
      <c r="C63" s="59" t="s">
        <v>1</v>
      </c>
      <c r="D63" s="102">
        <v>1</v>
      </c>
      <c r="E63" s="51">
        <f t="shared" si="32"/>
        <v>13.172292945449847</v>
      </c>
      <c r="F63" s="23">
        <f t="shared" si="37"/>
        <v>7.5916926851025857E-2</v>
      </c>
      <c r="G63" s="65">
        <f t="shared" si="34"/>
        <v>144.89522239994832</v>
      </c>
      <c r="H63" s="101">
        <v>4.0719078947368414</v>
      </c>
      <c r="I63" s="71">
        <f t="shared" si="35"/>
        <v>1.1186440677966101</v>
      </c>
      <c r="J63" s="298"/>
      <c r="K63" s="302"/>
      <c r="L63" s="21">
        <v>590</v>
      </c>
      <c r="M63" s="21">
        <v>660</v>
      </c>
      <c r="N63" s="285"/>
      <c r="O63" s="285"/>
      <c r="P63" s="285"/>
      <c r="Q63" s="285"/>
      <c r="R63" s="285"/>
      <c r="S63" s="285"/>
      <c r="T63" s="285"/>
      <c r="U63" s="285"/>
      <c r="V63" s="285"/>
      <c r="W63" s="285"/>
    </row>
    <row r="64" spans="1:23" s="26" customFormat="1" ht="30" customHeight="1" x14ac:dyDescent="0.2">
      <c r="A64" s="106" t="s">
        <v>1622</v>
      </c>
      <c r="B64" s="116" t="s">
        <v>1303</v>
      </c>
      <c r="C64" s="59" t="s">
        <v>1</v>
      </c>
      <c r="D64" s="97">
        <v>1</v>
      </c>
      <c r="E64" s="51">
        <f t="shared" si="32"/>
        <v>11.785735793297231</v>
      </c>
      <c r="F64" s="23">
        <f t="shared" si="37"/>
        <v>8.484833000997008E-2</v>
      </c>
      <c r="G64" s="65">
        <f t="shared" si="34"/>
        <v>129.64309372626954</v>
      </c>
      <c r="H64" s="101">
        <v>4.550955882352941</v>
      </c>
      <c r="I64" s="71">
        <f t="shared" si="35"/>
        <v>1.1186440677966101</v>
      </c>
      <c r="J64" s="298"/>
      <c r="K64" s="302"/>
      <c r="L64" s="21">
        <v>590</v>
      </c>
      <c r="M64" s="21">
        <v>660</v>
      </c>
      <c r="N64" s="285"/>
      <c r="O64" s="285"/>
      <c r="P64" s="285"/>
      <c r="Q64" s="285"/>
      <c r="R64" s="285"/>
      <c r="S64" s="285"/>
      <c r="T64" s="285"/>
      <c r="U64" s="285"/>
      <c r="V64" s="285"/>
      <c r="W64" s="285"/>
    </row>
    <row r="65" spans="1:23" s="26" customFormat="1" ht="30" customHeight="1" x14ac:dyDescent="0.2">
      <c r="A65" s="106" t="s">
        <v>1623</v>
      </c>
      <c r="B65" s="116" t="s">
        <v>1304</v>
      </c>
      <c r="C65" s="59" t="s">
        <v>1</v>
      </c>
      <c r="D65" s="102">
        <v>1</v>
      </c>
      <c r="E65" s="51">
        <f t="shared" si="32"/>
        <v>10.77289912356075</v>
      </c>
      <c r="F65" s="23">
        <f t="shared" si="37"/>
        <v>9.2825523429710871E-2</v>
      </c>
      <c r="G65" s="65">
        <f t="shared" si="34"/>
        <v>118.50189035916824</v>
      </c>
      <c r="H65" s="101">
        <v>4.9788235294117644</v>
      </c>
      <c r="I65" s="71">
        <f t="shared" si="35"/>
        <v>1.1186440677966101</v>
      </c>
      <c r="J65" s="298"/>
      <c r="K65" s="302"/>
      <c r="L65" s="21">
        <v>590</v>
      </c>
      <c r="M65" s="21">
        <v>660</v>
      </c>
      <c r="N65" s="285"/>
      <c r="O65" s="285"/>
      <c r="P65" s="285"/>
      <c r="Q65" s="285"/>
      <c r="R65" s="285"/>
      <c r="S65" s="285"/>
      <c r="T65" s="285"/>
      <c r="U65" s="285"/>
      <c r="V65" s="285"/>
      <c r="W65" s="285"/>
    </row>
    <row r="66" spans="1:23" s="26" customFormat="1" ht="30" customHeight="1" x14ac:dyDescent="0.2">
      <c r="A66" s="106" t="s">
        <v>1624</v>
      </c>
      <c r="B66" s="115" t="s">
        <v>1305</v>
      </c>
      <c r="C66" s="21" t="s">
        <v>1</v>
      </c>
      <c r="D66" s="102">
        <v>1</v>
      </c>
      <c r="E66" s="51">
        <f t="shared" si="32"/>
        <v>33.740481740481741</v>
      </c>
      <c r="F66" s="23">
        <f t="shared" si="37"/>
        <v>2.963798820928519E-2</v>
      </c>
      <c r="G66" s="65">
        <f t="shared" si="34"/>
        <v>371.14529914529913</v>
      </c>
      <c r="H66" s="77">
        <v>1.5896739130434783</v>
      </c>
      <c r="I66" s="71">
        <f t="shared" ref="I66:I98" si="38">M66/L66</f>
        <v>1.1186440677966101</v>
      </c>
      <c r="J66" s="298"/>
      <c r="K66" s="302"/>
      <c r="L66" s="21">
        <v>590</v>
      </c>
      <c r="M66" s="21">
        <v>660</v>
      </c>
      <c r="N66" s="285"/>
      <c r="O66" s="285"/>
      <c r="P66" s="285"/>
      <c r="Q66" s="285"/>
      <c r="R66" s="285"/>
      <c r="S66" s="285"/>
      <c r="T66" s="285"/>
      <c r="U66" s="285"/>
      <c r="V66" s="285"/>
      <c r="W66" s="285"/>
    </row>
    <row r="67" spans="1:23" s="26" customFormat="1" ht="30" customHeight="1" x14ac:dyDescent="0.2">
      <c r="A67" s="106" t="s">
        <v>1625</v>
      </c>
      <c r="B67" s="115" t="s">
        <v>1306</v>
      </c>
      <c r="C67" s="21" t="s">
        <v>1</v>
      </c>
      <c r="D67" s="102">
        <v>1</v>
      </c>
      <c r="E67" s="51">
        <f t="shared" si="32"/>
        <v>31.540015540015542</v>
      </c>
      <c r="F67" s="23">
        <f t="shared" si="37"/>
        <v>3.1705754828537644E-2</v>
      </c>
      <c r="G67" s="65">
        <f t="shared" si="34"/>
        <v>346.94017094017096</v>
      </c>
      <c r="H67" s="77">
        <v>1.7005813953488371</v>
      </c>
      <c r="I67" s="71">
        <f t="shared" si="38"/>
        <v>1.1186440677966101</v>
      </c>
      <c r="J67" s="298"/>
      <c r="K67" s="302"/>
      <c r="L67" s="21">
        <v>590</v>
      </c>
      <c r="M67" s="21">
        <v>660</v>
      </c>
      <c r="N67" s="285"/>
      <c r="O67" s="285"/>
      <c r="P67" s="285"/>
      <c r="Q67" s="285"/>
      <c r="R67" s="285"/>
      <c r="S67" s="285"/>
      <c r="T67" s="285"/>
      <c r="U67" s="285"/>
      <c r="V67" s="285"/>
      <c r="W67" s="285"/>
    </row>
    <row r="68" spans="1:23" s="26" customFormat="1" ht="30" customHeight="1" x14ac:dyDescent="0.2">
      <c r="A68" s="106" t="s">
        <v>1626</v>
      </c>
      <c r="B68" s="115" t="s">
        <v>1307</v>
      </c>
      <c r="C68" s="21" t="s">
        <v>1</v>
      </c>
      <c r="D68" s="102">
        <v>1</v>
      </c>
      <c r="E68" s="51">
        <f t="shared" si="32"/>
        <v>29.33954933954934</v>
      </c>
      <c r="F68" s="23">
        <f t="shared" si="37"/>
        <v>3.4083686440677968E-2</v>
      </c>
      <c r="G68" s="65">
        <f t="shared" si="34"/>
        <v>322.73504273504273</v>
      </c>
      <c r="H68" s="77">
        <v>1.828125</v>
      </c>
      <c r="I68" s="71">
        <f t="shared" si="38"/>
        <v>1.1186440677966101</v>
      </c>
      <c r="J68" s="298"/>
      <c r="K68" s="302"/>
      <c r="L68" s="21">
        <v>590</v>
      </c>
      <c r="M68" s="21">
        <v>660</v>
      </c>
      <c r="N68" s="285"/>
      <c r="O68" s="285"/>
      <c r="P68" s="285"/>
      <c r="Q68" s="285"/>
      <c r="R68" s="285"/>
      <c r="S68" s="285"/>
      <c r="T68" s="285"/>
      <c r="U68" s="285"/>
      <c r="V68" s="285"/>
      <c r="W68" s="285"/>
    </row>
    <row r="69" spans="1:23" s="26" customFormat="1" ht="30" customHeight="1" x14ac:dyDescent="0.2">
      <c r="A69" s="106" t="s">
        <v>1627</v>
      </c>
      <c r="B69" s="115" t="s">
        <v>1308</v>
      </c>
      <c r="C69" s="21" t="s">
        <v>1</v>
      </c>
      <c r="D69" s="102">
        <v>1</v>
      </c>
      <c r="E69" s="51">
        <f t="shared" si="32"/>
        <v>26.772338772338774</v>
      </c>
      <c r="F69" s="23">
        <f t="shared" si="37"/>
        <v>3.7351985140469002E-2</v>
      </c>
      <c r="G69" s="65">
        <f t="shared" si="34"/>
        <v>294.4957264957265</v>
      </c>
      <c r="H69" s="77">
        <v>2.0034246575342465</v>
      </c>
      <c r="I69" s="71">
        <f t="shared" si="38"/>
        <v>1.1186440677966101</v>
      </c>
      <c r="J69" s="298"/>
      <c r="K69" s="302"/>
      <c r="L69" s="21">
        <v>590</v>
      </c>
      <c r="M69" s="21">
        <v>660</v>
      </c>
      <c r="N69" s="285"/>
      <c r="O69" s="285"/>
      <c r="P69" s="285"/>
      <c r="Q69" s="285"/>
      <c r="R69" s="285"/>
      <c r="S69" s="285"/>
      <c r="T69" s="285"/>
      <c r="U69" s="285"/>
      <c r="V69" s="285"/>
      <c r="W69" s="285"/>
    </row>
    <row r="70" spans="1:23" s="26" customFormat="1" ht="30" customHeight="1" x14ac:dyDescent="0.2">
      <c r="A70" s="106" t="s">
        <v>1628</v>
      </c>
      <c r="B70" s="115" t="s">
        <v>1309</v>
      </c>
      <c r="C70" s="21" t="s">
        <v>1</v>
      </c>
      <c r="D70" s="102">
        <v>1</v>
      </c>
      <c r="E70" s="51">
        <f t="shared" si="32"/>
        <v>24.938616938616939</v>
      </c>
      <c r="F70" s="23">
        <f t="shared" si="37"/>
        <v>4.0098454636091727E-2</v>
      </c>
      <c r="G70" s="65">
        <f t="shared" si="34"/>
        <v>274.32478632478632</v>
      </c>
      <c r="H70" s="77">
        <v>2.1507352941176472</v>
      </c>
      <c r="I70" s="71">
        <f t="shared" si="38"/>
        <v>1.1186440677966101</v>
      </c>
      <c r="J70" s="298"/>
      <c r="K70" s="302"/>
      <c r="L70" s="21">
        <v>590</v>
      </c>
      <c r="M70" s="21">
        <v>660</v>
      </c>
      <c r="N70" s="285"/>
      <c r="O70" s="285"/>
      <c r="P70" s="285"/>
      <c r="Q70" s="285"/>
      <c r="R70" s="285"/>
      <c r="S70" s="285"/>
      <c r="T70" s="285"/>
      <c r="U70" s="285"/>
      <c r="V70" s="285"/>
      <c r="W70" s="285"/>
    </row>
    <row r="71" spans="1:23" s="26" customFormat="1" ht="30" customHeight="1" x14ac:dyDescent="0.2">
      <c r="A71" s="106" t="s">
        <v>1629</v>
      </c>
      <c r="B71" s="115" t="s">
        <v>1310</v>
      </c>
      <c r="C71" s="21" t="s">
        <v>1</v>
      </c>
      <c r="D71" s="102">
        <v>1</v>
      </c>
      <c r="E71" s="51">
        <f t="shared" si="32"/>
        <v>22.004662004662006</v>
      </c>
      <c r="F71" s="23">
        <f t="shared" si="37"/>
        <v>4.5444915254237286E-2</v>
      </c>
      <c r="G71" s="65">
        <f t="shared" si="34"/>
        <v>242.05128205128204</v>
      </c>
      <c r="H71" s="77">
        <v>2.4375</v>
      </c>
      <c r="I71" s="71">
        <f t="shared" si="38"/>
        <v>1.1186440677966101</v>
      </c>
      <c r="J71" s="298"/>
      <c r="K71" s="302"/>
      <c r="L71" s="21">
        <v>590</v>
      </c>
      <c r="M71" s="21">
        <v>660</v>
      </c>
      <c r="N71" s="285"/>
      <c r="O71" s="285"/>
      <c r="P71" s="285"/>
      <c r="Q71" s="285"/>
      <c r="R71" s="285"/>
      <c r="S71" s="285"/>
      <c r="T71" s="285"/>
      <c r="U71" s="285"/>
      <c r="V71" s="285"/>
      <c r="W71" s="285"/>
    </row>
    <row r="72" spans="1:23" s="26" customFormat="1" ht="30" customHeight="1" x14ac:dyDescent="0.2">
      <c r="A72" s="106" t="s">
        <v>1630</v>
      </c>
      <c r="B72" s="115" t="s">
        <v>1311</v>
      </c>
      <c r="C72" s="21" t="s">
        <v>1</v>
      </c>
      <c r="D72" s="102">
        <v>1</v>
      </c>
      <c r="E72" s="51">
        <f t="shared" si="32"/>
        <v>17.603729603729604</v>
      </c>
      <c r="F72" s="23">
        <f t="shared" si="37"/>
        <v>5.6806144067796611E-2</v>
      </c>
      <c r="G72" s="65">
        <f t="shared" si="34"/>
        <v>193.64102564102564</v>
      </c>
      <c r="H72" s="77">
        <v>3.046875</v>
      </c>
      <c r="I72" s="71">
        <f t="shared" si="38"/>
        <v>1.1186440677966101</v>
      </c>
      <c r="J72" s="298"/>
      <c r="K72" s="302"/>
      <c r="L72" s="21">
        <v>590</v>
      </c>
      <c r="M72" s="21">
        <v>660</v>
      </c>
      <c r="N72" s="285"/>
      <c r="O72" s="285"/>
      <c r="P72" s="285"/>
      <c r="Q72" s="285"/>
      <c r="R72" s="285"/>
      <c r="S72" s="285"/>
      <c r="T72" s="285"/>
      <c r="U72" s="285"/>
      <c r="V72" s="285"/>
      <c r="W72" s="285"/>
    </row>
    <row r="73" spans="1:23" s="26" customFormat="1" ht="30" customHeight="1" x14ac:dyDescent="0.2">
      <c r="A73" s="106" t="s">
        <v>1631</v>
      </c>
      <c r="B73" s="115" t="s">
        <v>1312</v>
      </c>
      <c r="C73" s="21" t="s">
        <v>1</v>
      </c>
      <c r="D73" s="102">
        <v>1</v>
      </c>
      <c r="E73" s="51">
        <f t="shared" si="32"/>
        <v>14.66977466977467</v>
      </c>
      <c r="F73" s="23">
        <f t="shared" si="37"/>
        <v>6.8167372881355937E-2</v>
      </c>
      <c r="G73" s="65">
        <f t="shared" si="34"/>
        <v>161.36752136752136</v>
      </c>
      <c r="H73" s="77">
        <v>3.65625</v>
      </c>
      <c r="I73" s="71">
        <f t="shared" si="38"/>
        <v>1.1186440677966101</v>
      </c>
      <c r="J73" s="298"/>
      <c r="K73" s="302"/>
      <c r="L73" s="21">
        <v>590</v>
      </c>
      <c r="M73" s="21">
        <v>660</v>
      </c>
      <c r="N73" s="285"/>
      <c r="O73" s="285"/>
      <c r="P73" s="285"/>
      <c r="Q73" s="285"/>
      <c r="R73" s="285"/>
      <c r="S73" s="285"/>
      <c r="T73" s="285"/>
      <c r="U73" s="285"/>
      <c r="V73" s="285"/>
      <c r="W73" s="285"/>
    </row>
    <row r="74" spans="1:23" s="26" customFormat="1" ht="30" customHeight="1" x14ac:dyDescent="0.2">
      <c r="A74" s="106" t="s">
        <v>1632</v>
      </c>
      <c r="B74" s="115" t="s">
        <v>1313</v>
      </c>
      <c r="C74" s="21" t="s">
        <v>1</v>
      </c>
      <c r="D74" s="102">
        <v>1</v>
      </c>
      <c r="E74" s="51">
        <f t="shared" si="32"/>
        <v>13.936285936285936</v>
      </c>
      <c r="F74" s="23">
        <f t="shared" si="37"/>
        <v>7.1755129348795715E-2</v>
      </c>
      <c r="G74" s="65">
        <f t="shared" si="34"/>
        <v>153.29914529914529</v>
      </c>
      <c r="H74" s="77">
        <v>3.8486842105263159</v>
      </c>
      <c r="I74" s="71">
        <f t="shared" si="38"/>
        <v>1.1186440677966101</v>
      </c>
      <c r="J74" s="298"/>
      <c r="K74" s="302"/>
      <c r="L74" s="21">
        <v>590</v>
      </c>
      <c r="M74" s="21">
        <v>660</v>
      </c>
      <c r="N74" s="285"/>
      <c r="O74" s="285"/>
      <c r="P74" s="285"/>
      <c r="Q74" s="285"/>
      <c r="R74" s="285"/>
      <c r="S74" s="285"/>
      <c r="T74" s="285"/>
      <c r="U74" s="285"/>
      <c r="V74" s="285"/>
      <c r="W74" s="285"/>
    </row>
    <row r="75" spans="1:23" s="26" customFormat="1" ht="30" customHeight="1" x14ac:dyDescent="0.2">
      <c r="A75" s="106" t="s">
        <v>1633</v>
      </c>
      <c r="B75" s="115" t="s">
        <v>1314</v>
      </c>
      <c r="C75" s="21" t="s">
        <v>1</v>
      </c>
      <c r="D75" s="102">
        <v>1</v>
      </c>
      <c r="E75" s="51">
        <f t="shared" si="32"/>
        <v>12.469308469308469</v>
      </c>
      <c r="F75" s="23">
        <f t="shared" si="37"/>
        <v>8.0196909272183453E-2</v>
      </c>
      <c r="G75" s="65">
        <f t="shared" si="34"/>
        <v>137.16239316239316</v>
      </c>
      <c r="H75" s="77">
        <v>4.3014705882352944</v>
      </c>
      <c r="I75" s="71">
        <f t="shared" si="38"/>
        <v>1.1186440677966101</v>
      </c>
      <c r="J75" s="298"/>
      <c r="K75" s="302"/>
      <c r="L75" s="21">
        <v>590</v>
      </c>
      <c r="M75" s="21">
        <v>660</v>
      </c>
      <c r="N75" s="285"/>
      <c r="O75" s="285"/>
      <c r="P75" s="285"/>
      <c r="Q75" s="285"/>
      <c r="R75" s="285"/>
      <c r="S75" s="285"/>
      <c r="T75" s="285"/>
      <c r="U75" s="285"/>
      <c r="V75" s="285"/>
      <c r="W75" s="285"/>
    </row>
    <row r="76" spans="1:23" s="26" customFormat="1" ht="30" customHeight="1" x14ac:dyDescent="0.2">
      <c r="A76" s="106" t="s">
        <v>1634</v>
      </c>
      <c r="B76" s="115" t="s">
        <v>1315</v>
      </c>
      <c r="C76" s="21" t="s">
        <v>1</v>
      </c>
      <c r="D76" s="102">
        <v>1</v>
      </c>
      <c r="E76" s="51">
        <f t="shared" si="32"/>
        <v>11.397727272727273</v>
      </c>
      <c r="F76" s="23">
        <f t="shared" si="37"/>
        <v>8.7736789631106676E-2</v>
      </c>
      <c r="G76" s="65">
        <f t="shared" si="34"/>
        <v>125.375</v>
      </c>
      <c r="H76" s="77">
        <v>4.7058823529411766</v>
      </c>
      <c r="I76" s="71">
        <f t="shared" si="38"/>
        <v>1.1186440677966101</v>
      </c>
      <c r="J76" s="298"/>
      <c r="K76" s="302"/>
      <c r="L76" s="21">
        <v>590</v>
      </c>
      <c r="M76" s="21">
        <v>660</v>
      </c>
      <c r="N76" s="285"/>
      <c r="O76" s="285"/>
      <c r="P76" s="285"/>
      <c r="Q76" s="285"/>
      <c r="R76" s="285"/>
      <c r="S76" s="285"/>
      <c r="T76" s="285"/>
      <c r="U76" s="285"/>
      <c r="V76" s="285"/>
      <c r="W76" s="285"/>
    </row>
    <row r="77" spans="1:23" s="26" customFormat="1" ht="30" customHeight="1" x14ac:dyDescent="0.2">
      <c r="A77" s="106" t="s">
        <v>1635</v>
      </c>
      <c r="B77" s="115" t="s">
        <v>1316</v>
      </c>
      <c r="C77" s="21" t="s">
        <v>1</v>
      </c>
      <c r="D77" s="102">
        <v>1</v>
      </c>
      <c r="E77" s="51">
        <f t="shared" si="32"/>
        <v>28.117068117068118</v>
      </c>
      <c r="F77" s="23">
        <f t="shared" si="37"/>
        <v>3.5565585851142223E-2</v>
      </c>
      <c r="G77" s="65">
        <f t="shared" si="34"/>
        <v>309.28774928774931</v>
      </c>
      <c r="H77" s="77">
        <v>1.9076086956521738</v>
      </c>
      <c r="I77" s="71">
        <f t="shared" si="38"/>
        <v>1.1186440677966101</v>
      </c>
      <c r="J77" s="298"/>
      <c r="K77" s="302"/>
      <c r="L77" s="21">
        <v>590</v>
      </c>
      <c r="M77" s="21">
        <v>660</v>
      </c>
      <c r="N77" s="285"/>
      <c r="O77" s="285"/>
      <c r="P77" s="285"/>
      <c r="Q77" s="285"/>
      <c r="R77" s="285"/>
      <c r="S77" s="285"/>
      <c r="T77" s="285"/>
      <c r="U77" s="285"/>
      <c r="V77" s="285"/>
      <c r="W77" s="285"/>
    </row>
    <row r="78" spans="1:23" s="26" customFormat="1" ht="30" customHeight="1" x14ac:dyDescent="0.2">
      <c r="A78" s="106" t="s">
        <v>1636</v>
      </c>
      <c r="B78" s="115" t="s">
        <v>1317</v>
      </c>
      <c r="C78" s="21" t="s">
        <v>1</v>
      </c>
      <c r="D78" s="102">
        <v>1</v>
      </c>
      <c r="E78" s="51">
        <f t="shared" si="32"/>
        <v>26.283346283346283</v>
      </c>
      <c r="F78" s="23">
        <f t="shared" si="37"/>
        <v>3.8046905794245169E-2</v>
      </c>
      <c r="G78" s="65">
        <f t="shared" si="34"/>
        <v>289.11680911680912</v>
      </c>
      <c r="H78" s="77">
        <v>2.0406976744186047</v>
      </c>
      <c r="I78" s="71">
        <f t="shared" si="38"/>
        <v>1.1186440677966101</v>
      </c>
      <c r="J78" s="298"/>
      <c r="K78" s="302"/>
      <c r="L78" s="21">
        <v>590</v>
      </c>
      <c r="M78" s="21">
        <v>660</v>
      </c>
      <c r="N78" s="285"/>
      <c r="O78" s="285"/>
      <c r="P78" s="285"/>
      <c r="Q78" s="285"/>
      <c r="R78" s="285"/>
      <c r="S78" s="285"/>
      <c r="T78" s="285"/>
      <c r="U78" s="285"/>
      <c r="V78" s="285"/>
      <c r="W78" s="285"/>
    </row>
    <row r="79" spans="1:23" s="26" customFormat="1" ht="30" customHeight="1" x14ac:dyDescent="0.2">
      <c r="A79" s="106" t="s">
        <v>1637</v>
      </c>
      <c r="B79" s="115" t="s">
        <v>1318</v>
      </c>
      <c r="C79" s="21" t="s">
        <v>1</v>
      </c>
      <c r="D79" s="102">
        <v>1</v>
      </c>
      <c r="E79" s="51">
        <f t="shared" si="32"/>
        <v>24.449624449624455</v>
      </c>
      <c r="F79" s="23">
        <f t="shared" si="37"/>
        <v>4.0900423728813549E-2</v>
      </c>
      <c r="G79" s="65">
        <f t="shared" si="34"/>
        <v>268.94586894586899</v>
      </c>
      <c r="H79" s="77">
        <v>2.1937499999999996</v>
      </c>
      <c r="I79" s="71">
        <f t="shared" si="38"/>
        <v>1.1186440677966101</v>
      </c>
      <c r="J79" s="298"/>
      <c r="K79" s="302"/>
      <c r="L79" s="21">
        <v>590</v>
      </c>
      <c r="M79" s="21">
        <v>660</v>
      </c>
      <c r="N79" s="285"/>
      <c r="O79" s="285"/>
      <c r="P79" s="285"/>
      <c r="Q79" s="285"/>
      <c r="R79" s="285"/>
      <c r="S79" s="285"/>
      <c r="T79" s="285"/>
      <c r="U79" s="285"/>
      <c r="V79" s="285"/>
      <c r="W79" s="285"/>
    </row>
    <row r="80" spans="1:23" s="26" customFormat="1" ht="30" customHeight="1" x14ac:dyDescent="0.2">
      <c r="A80" s="106" t="s">
        <v>1638</v>
      </c>
      <c r="B80" s="115" t="s">
        <v>1319</v>
      </c>
      <c r="C80" s="21" t="s">
        <v>1</v>
      </c>
      <c r="D80" s="102">
        <v>1</v>
      </c>
      <c r="E80" s="51">
        <f t="shared" si="32"/>
        <v>22.310282310282307</v>
      </c>
      <c r="F80" s="23">
        <f t="shared" si="37"/>
        <v>4.482238216856281E-2</v>
      </c>
      <c r="G80" s="65">
        <f t="shared" si="34"/>
        <v>245.4131054131054</v>
      </c>
      <c r="H80" s="77">
        <v>2.404109589041096</v>
      </c>
      <c r="I80" s="71">
        <f t="shared" si="38"/>
        <v>1.1186440677966101</v>
      </c>
      <c r="J80" s="298"/>
      <c r="K80" s="302"/>
      <c r="L80" s="21">
        <v>590</v>
      </c>
      <c r="M80" s="21">
        <v>660</v>
      </c>
      <c r="N80" s="285"/>
      <c r="O80" s="285"/>
      <c r="P80" s="285"/>
      <c r="Q80" s="285"/>
      <c r="R80" s="285"/>
      <c r="S80" s="285"/>
      <c r="T80" s="285"/>
      <c r="U80" s="285"/>
      <c r="V80" s="285"/>
      <c r="W80" s="285"/>
    </row>
    <row r="81" spans="1:23" s="26" customFormat="1" ht="30" customHeight="1" x14ac:dyDescent="0.2">
      <c r="A81" s="106" t="s">
        <v>1639</v>
      </c>
      <c r="B81" s="115" t="s">
        <v>1320</v>
      </c>
      <c r="C81" s="21" t="s">
        <v>1</v>
      </c>
      <c r="D81" s="102">
        <v>1</v>
      </c>
      <c r="E81" s="51">
        <f t="shared" si="32"/>
        <v>20.782180782180784</v>
      </c>
      <c r="F81" s="23">
        <f t="shared" si="37"/>
        <v>4.8118145563310066E-2</v>
      </c>
      <c r="G81" s="65">
        <f t="shared" si="34"/>
        <v>228.60398860398863</v>
      </c>
      <c r="H81" s="77">
        <v>2.5808823529411762</v>
      </c>
      <c r="I81" s="71">
        <f t="shared" si="38"/>
        <v>1.1186440677966101</v>
      </c>
      <c r="J81" s="298"/>
      <c r="K81" s="302"/>
      <c r="L81" s="21">
        <v>590</v>
      </c>
      <c r="M81" s="21">
        <v>660</v>
      </c>
      <c r="N81" s="285"/>
      <c r="O81" s="285"/>
      <c r="P81" s="285"/>
      <c r="Q81" s="285"/>
      <c r="R81" s="285"/>
      <c r="S81" s="285"/>
      <c r="T81" s="285"/>
      <c r="U81" s="285"/>
      <c r="V81" s="285"/>
      <c r="W81" s="285"/>
    </row>
    <row r="82" spans="1:23" s="26" customFormat="1" ht="30" customHeight="1" x14ac:dyDescent="0.2">
      <c r="A82" s="106" t="s">
        <v>1640</v>
      </c>
      <c r="B82" s="115" t="s">
        <v>1321</v>
      </c>
      <c r="C82" s="21" t="s">
        <v>1</v>
      </c>
      <c r="D82" s="102">
        <v>1</v>
      </c>
      <c r="E82" s="51">
        <f t="shared" si="32"/>
        <v>18.337218337218339</v>
      </c>
      <c r="F82" s="23">
        <f t="shared" si="37"/>
        <v>5.453389830508474E-2</v>
      </c>
      <c r="G82" s="65">
        <f t="shared" si="34"/>
        <v>201.70940170940173</v>
      </c>
      <c r="H82" s="77">
        <v>2.9249999999999998</v>
      </c>
      <c r="I82" s="71">
        <f t="shared" si="38"/>
        <v>1.1186440677966101</v>
      </c>
      <c r="J82" s="298"/>
      <c r="K82" s="302"/>
      <c r="L82" s="21">
        <v>590</v>
      </c>
      <c r="M82" s="21">
        <v>660</v>
      </c>
      <c r="N82" s="285"/>
      <c r="O82" s="285"/>
      <c r="P82" s="285"/>
      <c r="Q82" s="285"/>
      <c r="R82" s="285"/>
      <c r="S82" s="285"/>
      <c r="T82" s="285"/>
      <c r="U82" s="285"/>
      <c r="V82" s="285"/>
      <c r="W82" s="285"/>
    </row>
    <row r="83" spans="1:23" s="26" customFormat="1" ht="30" customHeight="1" x14ac:dyDescent="0.2">
      <c r="A83" s="106" t="s">
        <v>1641</v>
      </c>
      <c r="B83" s="115" t="s">
        <v>1322</v>
      </c>
      <c r="C83" s="21" t="s">
        <v>1</v>
      </c>
      <c r="D83" s="102">
        <v>1</v>
      </c>
      <c r="E83" s="51">
        <f t="shared" si="32"/>
        <v>14.66977466977467</v>
      </c>
      <c r="F83" s="23">
        <f t="shared" si="37"/>
        <v>6.8167372881355937E-2</v>
      </c>
      <c r="G83" s="65">
        <f t="shared" si="34"/>
        <v>161.36752136752136</v>
      </c>
      <c r="H83" s="77">
        <v>3.65625</v>
      </c>
      <c r="I83" s="71">
        <f t="shared" si="38"/>
        <v>1.1186440677966101</v>
      </c>
      <c r="J83" s="298"/>
      <c r="K83" s="302"/>
      <c r="L83" s="21">
        <v>590</v>
      </c>
      <c r="M83" s="21">
        <v>660</v>
      </c>
      <c r="N83" s="285"/>
      <c r="O83" s="285"/>
      <c r="P83" s="285"/>
      <c r="Q83" s="285"/>
      <c r="R83" s="285"/>
      <c r="S83" s="285"/>
      <c r="T83" s="285"/>
      <c r="U83" s="285"/>
      <c r="V83" s="285"/>
      <c r="W83" s="285"/>
    </row>
    <row r="84" spans="1:23" s="26" customFormat="1" ht="30" customHeight="1" x14ac:dyDescent="0.2">
      <c r="A84" s="106" t="s">
        <v>1642</v>
      </c>
      <c r="B84" s="115" t="s">
        <v>1323</v>
      </c>
      <c r="C84" s="21" t="s">
        <v>1</v>
      </c>
      <c r="D84" s="102">
        <v>1</v>
      </c>
      <c r="E84" s="51">
        <f t="shared" si="32"/>
        <v>12.224812224812228</v>
      </c>
      <c r="F84" s="23">
        <f t="shared" si="37"/>
        <v>8.1800847457627099E-2</v>
      </c>
      <c r="G84" s="65">
        <f t="shared" si="34"/>
        <v>134.4729344729345</v>
      </c>
      <c r="H84" s="77">
        <v>4.3874999999999993</v>
      </c>
      <c r="I84" s="71">
        <f t="shared" si="38"/>
        <v>1.1186440677966101</v>
      </c>
      <c r="J84" s="298"/>
      <c r="K84" s="302"/>
      <c r="L84" s="21">
        <v>590</v>
      </c>
      <c r="M84" s="21">
        <v>660</v>
      </c>
      <c r="N84" s="285"/>
      <c r="O84" s="285"/>
      <c r="P84" s="285"/>
      <c r="Q84" s="285"/>
      <c r="R84" s="285"/>
      <c r="S84" s="285"/>
      <c r="T84" s="285"/>
      <c r="U84" s="285"/>
      <c r="V84" s="285"/>
      <c r="W84" s="285"/>
    </row>
    <row r="85" spans="1:23" s="26" customFormat="1" ht="30" customHeight="1" x14ac:dyDescent="0.2">
      <c r="A85" s="106" t="s">
        <v>1643</v>
      </c>
      <c r="B85" s="115" t="s">
        <v>1324</v>
      </c>
      <c r="C85" s="21" t="s">
        <v>1</v>
      </c>
      <c r="D85" s="102">
        <v>1</v>
      </c>
      <c r="E85" s="51">
        <f t="shared" si="32"/>
        <v>11.613571613571615</v>
      </c>
      <c r="F85" s="23">
        <f t="shared" si="37"/>
        <v>8.6106155218554858E-2</v>
      </c>
      <c r="G85" s="65">
        <f t="shared" si="34"/>
        <v>127.74928774928776</v>
      </c>
      <c r="H85" s="77">
        <v>4.6184210526315788</v>
      </c>
      <c r="I85" s="71">
        <f t="shared" si="38"/>
        <v>1.1186440677966101</v>
      </c>
      <c r="J85" s="298"/>
      <c r="K85" s="302"/>
      <c r="L85" s="21">
        <v>590</v>
      </c>
      <c r="M85" s="21">
        <v>660</v>
      </c>
      <c r="N85" s="285"/>
      <c r="O85" s="285"/>
      <c r="P85" s="285"/>
      <c r="Q85" s="285"/>
      <c r="R85" s="285"/>
      <c r="S85" s="285"/>
      <c r="T85" s="285"/>
      <c r="U85" s="285"/>
      <c r="V85" s="285"/>
      <c r="W85" s="285"/>
    </row>
    <row r="86" spans="1:23" s="26" customFormat="1" ht="30" customHeight="1" x14ac:dyDescent="0.2">
      <c r="A86" s="106" t="s">
        <v>1644</v>
      </c>
      <c r="B86" s="115" t="s">
        <v>1325</v>
      </c>
      <c r="C86" s="21" t="s">
        <v>1</v>
      </c>
      <c r="D86" s="102">
        <v>1</v>
      </c>
      <c r="E86" s="51">
        <f t="shared" si="32"/>
        <v>10.391090391090392</v>
      </c>
      <c r="F86" s="23">
        <f t="shared" si="37"/>
        <v>9.6236291126620133E-2</v>
      </c>
      <c r="G86" s="65">
        <f t="shared" si="34"/>
        <v>114.30199430199431</v>
      </c>
      <c r="H86" s="77">
        <v>5.1617647058823524</v>
      </c>
      <c r="I86" s="71">
        <f t="shared" si="38"/>
        <v>1.1186440677966101</v>
      </c>
      <c r="J86" s="298"/>
      <c r="K86" s="302"/>
      <c r="L86" s="21">
        <v>590</v>
      </c>
      <c r="M86" s="21">
        <v>660</v>
      </c>
      <c r="N86" s="285"/>
      <c r="O86" s="285"/>
      <c r="P86" s="285"/>
      <c r="Q86" s="285"/>
      <c r="R86" s="285"/>
      <c r="S86" s="285"/>
      <c r="T86" s="285"/>
      <c r="U86" s="285"/>
      <c r="V86" s="285"/>
      <c r="W86" s="285"/>
    </row>
    <row r="87" spans="1:23" s="26" customFormat="1" ht="30" customHeight="1" x14ac:dyDescent="0.2">
      <c r="A87" s="106" t="s">
        <v>1645</v>
      </c>
      <c r="B87" s="115" t="s">
        <v>1326</v>
      </c>
      <c r="C87" s="21" t="s">
        <v>1</v>
      </c>
      <c r="D87" s="102">
        <v>1</v>
      </c>
      <c r="E87" s="51">
        <f t="shared" si="32"/>
        <v>9.4981060606060606</v>
      </c>
      <c r="F87" s="23">
        <f t="shared" si="37"/>
        <v>0.10528414755732803</v>
      </c>
      <c r="G87" s="65">
        <f t="shared" si="34"/>
        <v>104.47916666666666</v>
      </c>
      <c r="H87" s="77">
        <v>5.6470588235294121</v>
      </c>
      <c r="I87" s="71">
        <f t="shared" si="38"/>
        <v>1.1186440677966101</v>
      </c>
      <c r="J87" s="298"/>
      <c r="K87" s="302"/>
      <c r="L87" s="21">
        <v>590</v>
      </c>
      <c r="M87" s="21">
        <v>660</v>
      </c>
      <c r="N87" s="285"/>
      <c r="O87" s="285"/>
      <c r="P87" s="285"/>
      <c r="Q87" s="285"/>
      <c r="R87" s="285"/>
      <c r="S87" s="285"/>
      <c r="T87" s="285"/>
      <c r="U87" s="285"/>
      <c r="V87" s="285"/>
      <c r="W87" s="285"/>
    </row>
    <row r="88" spans="1:23" s="26" customFormat="1" ht="30" customHeight="1" x14ac:dyDescent="0.2">
      <c r="A88" s="106" t="s">
        <v>1646</v>
      </c>
      <c r="B88" s="115" t="s">
        <v>1327</v>
      </c>
      <c r="C88" s="21" t="s">
        <v>1</v>
      </c>
      <c r="D88" s="102">
        <v>1</v>
      </c>
      <c r="E88" s="51">
        <f t="shared" si="32"/>
        <v>23.430890097556766</v>
      </c>
      <c r="F88" s="23">
        <f t="shared" si="37"/>
        <v>4.2678703021370668E-2</v>
      </c>
      <c r="G88" s="65">
        <f t="shared" si="34"/>
        <v>257.73979107312442</v>
      </c>
      <c r="H88" s="77">
        <v>2.2891304347826087</v>
      </c>
      <c r="I88" s="71">
        <f t="shared" si="38"/>
        <v>1.1186440677966101</v>
      </c>
      <c r="J88" s="298"/>
      <c r="K88" s="302"/>
      <c r="L88" s="21">
        <v>590</v>
      </c>
      <c r="M88" s="21">
        <v>660</v>
      </c>
      <c r="N88" s="285"/>
      <c r="O88" s="285"/>
      <c r="P88" s="285"/>
      <c r="Q88" s="285"/>
      <c r="R88" s="285"/>
      <c r="S88" s="285"/>
      <c r="T88" s="285"/>
      <c r="U88" s="285"/>
      <c r="V88" s="285"/>
      <c r="W88" s="285"/>
    </row>
    <row r="89" spans="1:23" s="26" customFormat="1" ht="30" customHeight="1" x14ac:dyDescent="0.2">
      <c r="A89" s="106" t="s">
        <v>1647</v>
      </c>
      <c r="B89" s="115" t="s">
        <v>1328</v>
      </c>
      <c r="C89" s="21" t="s">
        <v>1</v>
      </c>
      <c r="D89" s="102">
        <v>1</v>
      </c>
      <c r="E89" s="51">
        <f t="shared" si="32"/>
        <v>21.90278856945524</v>
      </c>
      <c r="F89" s="23">
        <f>11/G89</f>
        <v>4.5656286953094198E-2</v>
      </c>
      <c r="G89" s="65">
        <f t="shared" si="34"/>
        <v>240.93067426400762</v>
      </c>
      <c r="H89" s="77">
        <v>2.4488372093023254</v>
      </c>
      <c r="I89" s="71">
        <f t="shared" si="38"/>
        <v>1.1186440677966101</v>
      </c>
      <c r="J89" s="298"/>
      <c r="K89" s="302"/>
      <c r="L89" s="21">
        <v>590</v>
      </c>
      <c r="M89" s="21">
        <v>660</v>
      </c>
      <c r="N89" s="285"/>
      <c r="O89" s="285"/>
      <c r="P89" s="285"/>
      <c r="Q89" s="285"/>
      <c r="R89" s="285"/>
      <c r="S89" s="285"/>
      <c r="T89" s="285"/>
      <c r="U89" s="285"/>
      <c r="V89" s="285"/>
      <c r="W89" s="285"/>
    </row>
    <row r="90" spans="1:23" s="26" customFormat="1" ht="30" customHeight="1" x14ac:dyDescent="0.2">
      <c r="A90" s="106" t="s">
        <v>1648</v>
      </c>
      <c r="B90" s="115" t="s">
        <v>1329</v>
      </c>
      <c r="C90" s="21" t="s">
        <v>1</v>
      </c>
      <c r="D90" s="102">
        <v>1</v>
      </c>
      <c r="E90" s="51">
        <f t="shared" si="32"/>
        <v>20.374687041353713</v>
      </c>
      <c r="F90" s="23">
        <f t="shared" si="37"/>
        <v>4.9080508474576255E-2</v>
      </c>
      <c r="G90" s="65">
        <f t="shared" si="34"/>
        <v>224.12155745489085</v>
      </c>
      <c r="H90" s="77">
        <v>2.6324999999999994</v>
      </c>
      <c r="I90" s="71">
        <f t="shared" si="38"/>
        <v>1.1186440677966101</v>
      </c>
      <c r="J90" s="298"/>
      <c r="K90" s="302"/>
      <c r="L90" s="21">
        <v>590</v>
      </c>
      <c r="M90" s="21">
        <v>660</v>
      </c>
      <c r="N90" s="285"/>
      <c r="O90" s="285"/>
      <c r="P90" s="285"/>
      <c r="Q90" s="285"/>
      <c r="R90" s="285"/>
      <c r="S90" s="285"/>
      <c r="T90" s="285"/>
      <c r="U90" s="285"/>
      <c r="V90" s="285"/>
      <c r="W90" s="285"/>
    </row>
    <row r="91" spans="1:23" s="26" customFormat="1" ht="30" customHeight="1" x14ac:dyDescent="0.2">
      <c r="A91" s="106" t="s">
        <v>1649</v>
      </c>
      <c r="B91" s="115" t="s">
        <v>1330</v>
      </c>
      <c r="C91" s="21" t="s">
        <v>1</v>
      </c>
      <c r="D91" s="102">
        <v>1</v>
      </c>
      <c r="E91" s="51">
        <f t="shared" si="32"/>
        <v>18.591901925235259</v>
      </c>
      <c r="F91" s="23">
        <f t="shared" si="37"/>
        <v>5.3786858602275368E-2</v>
      </c>
      <c r="G91" s="65">
        <f t="shared" si="34"/>
        <v>204.51092117758785</v>
      </c>
      <c r="H91" s="77">
        <v>2.8849315068493149</v>
      </c>
      <c r="I91" s="71">
        <f t="shared" si="38"/>
        <v>1.1186440677966101</v>
      </c>
      <c r="J91" s="298"/>
      <c r="K91" s="302"/>
      <c r="L91" s="21">
        <v>590</v>
      </c>
      <c r="M91" s="21">
        <v>660</v>
      </c>
      <c r="N91" s="285"/>
      <c r="O91" s="285"/>
      <c r="P91" s="285"/>
      <c r="Q91" s="285"/>
      <c r="R91" s="285"/>
      <c r="S91" s="285"/>
      <c r="T91" s="285"/>
      <c r="U91" s="285"/>
      <c r="V91" s="285"/>
      <c r="W91" s="285"/>
    </row>
    <row r="92" spans="1:23" s="26" customFormat="1" ht="30" customHeight="1" x14ac:dyDescent="0.2">
      <c r="A92" s="106" t="s">
        <v>1650</v>
      </c>
      <c r="B92" s="115" t="s">
        <v>1331</v>
      </c>
      <c r="C92" s="21" t="s">
        <v>1</v>
      </c>
      <c r="D92" s="102">
        <v>1</v>
      </c>
      <c r="E92" s="51">
        <f t="shared" si="32"/>
        <v>17.318483985150653</v>
      </c>
      <c r="F92" s="23">
        <f t="shared" si="37"/>
        <v>5.774177467597208E-2</v>
      </c>
      <c r="G92" s="65">
        <f t="shared" si="34"/>
        <v>190.50332383665719</v>
      </c>
      <c r="H92" s="77">
        <v>3.0970588235294114</v>
      </c>
      <c r="I92" s="71">
        <f t="shared" si="38"/>
        <v>1.1186440677966101</v>
      </c>
      <c r="J92" s="298"/>
      <c r="K92" s="302"/>
      <c r="L92" s="21">
        <v>590</v>
      </c>
      <c r="M92" s="21">
        <v>660</v>
      </c>
      <c r="N92" s="285"/>
      <c r="O92" s="285"/>
      <c r="P92" s="285"/>
      <c r="Q92" s="285"/>
      <c r="R92" s="285"/>
      <c r="S92" s="285"/>
      <c r="T92" s="285"/>
      <c r="U92" s="285"/>
      <c r="V92" s="285"/>
      <c r="W92" s="285"/>
    </row>
    <row r="93" spans="1:23" s="26" customFormat="1" ht="30" customHeight="1" x14ac:dyDescent="0.2">
      <c r="A93" s="106" t="s">
        <v>1651</v>
      </c>
      <c r="B93" s="115" t="s">
        <v>1332</v>
      </c>
      <c r="C93" s="21" t="s">
        <v>1</v>
      </c>
      <c r="D93" s="102">
        <v>1</v>
      </c>
      <c r="E93" s="51">
        <f t="shared" si="32"/>
        <v>15.281015281015282</v>
      </c>
      <c r="F93" s="23">
        <f t="shared" si="37"/>
        <v>6.5440677966101687E-2</v>
      </c>
      <c r="G93" s="65">
        <f t="shared" si="34"/>
        <v>168.0911680911681</v>
      </c>
      <c r="H93" s="77">
        <v>3.51</v>
      </c>
      <c r="I93" s="71">
        <f t="shared" si="38"/>
        <v>1.1186440677966101</v>
      </c>
      <c r="J93" s="298"/>
      <c r="K93" s="302"/>
      <c r="L93" s="21">
        <v>590</v>
      </c>
      <c r="M93" s="21">
        <v>660</v>
      </c>
      <c r="N93" s="285"/>
      <c r="O93" s="285"/>
      <c r="P93" s="285"/>
      <c r="Q93" s="285"/>
      <c r="R93" s="285"/>
      <c r="S93" s="285"/>
      <c r="T93" s="285"/>
      <c r="U93" s="285"/>
      <c r="V93" s="285"/>
      <c r="W93" s="285"/>
    </row>
    <row r="94" spans="1:23" s="26" customFormat="1" ht="30" customHeight="1" x14ac:dyDescent="0.2">
      <c r="A94" s="106" t="s">
        <v>1652</v>
      </c>
      <c r="B94" s="115" t="s">
        <v>1333</v>
      </c>
      <c r="C94" s="21" t="s">
        <v>1</v>
      </c>
      <c r="D94" s="102">
        <v>1</v>
      </c>
      <c r="E94" s="51">
        <f t="shared" si="32"/>
        <v>12.224812224812228</v>
      </c>
      <c r="F94" s="23">
        <f t="shared" si="37"/>
        <v>8.1800847457627099E-2</v>
      </c>
      <c r="G94" s="65">
        <f t="shared" si="34"/>
        <v>134.4729344729345</v>
      </c>
      <c r="H94" s="77">
        <v>4.3874999999999993</v>
      </c>
      <c r="I94" s="71">
        <f t="shared" si="38"/>
        <v>1.1186440677966101</v>
      </c>
      <c r="J94" s="298"/>
      <c r="K94" s="302"/>
      <c r="L94" s="21">
        <v>590</v>
      </c>
      <c r="M94" s="21">
        <v>660</v>
      </c>
      <c r="N94" s="285"/>
      <c r="O94" s="285"/>
      <c r="P94" s="285"/>
      <c r="Q94" s="285"/>
      <c r="R94" s="285"/>
      <c r="S94" s="285"/>
      <c r="T94" s="285"/>
      <c r="U94" s="285"/>
      <c r="V94" s="285"/>
      <c r="W94" s="285"/>
    </row>
    <row r="95" spans="1:23" s="26" customFormat="1" ht="30" customHeight="1" x14ac:dyDescent="0.2">
      <c r="A95" s="106" t="s">
        <v>1653</v>
      </c>
      <c r="B95" s="115" t="s">
        <v>1334</v>
      </c>
      <c r="C95" s="21" t="s">
        <v>1</v>
      </c>
      <c r="D95" s="102">
        <v>1</v>
      </c>
      <c r="E95" s="51">
        <f t="shared" si="32"/>
        <v>10.187343520676857</v>
      </c>
      <c r="F95" s="23">
        <f t="shared" si="37"/>
        <v>9.816101694915251E-2</v>
      </c>
      <c r="G95" s="65">
        <f t="shared" si="34"/>
        <v>112.06077872744542</v>
      </c>
      <c r="H95" s="77">
        <v>5.2649999999999988</v>
      </c>
      <c r="I95" s="71">
        <f t="shared" si="38"/>
        <v>1.1186440677966101</v>
      </c>
      <c r="J95" s="298"/>
      <c r="K95" s="302"/>
      <c r="L95" s="21">
        <v>590</v>
      </c>
      <c r="M95" s="21">
        <v>660</v>
      </c>
      <c r="N95" s="285"/>
      <c r="O95" s="285"/>
      <c r="P95" s="285"/>
      <c r="Q95" s="285"/>
      <c r="R95" s="285"/>
      <c r="S95" s="285"/>
      <c r="T95" s="285"/>
      <c r="U95" s="285"/>
      <c r="V95" s="285"/>
      <c r="W95" s="285"/>
    </row>
    <row r="96" spans="1:23" s="26" customFormat="1" ht="30" customHeight="1" x14ac:dyDescent="0.2">
      <c r="A96" s="106" t="s">
        <v>1654</v>
      </c>
      <c r="B96" s="115" t="s">
        <v>1335</v>
      </c>
      <c r="C96" s="21" t="s">
        <v>1</v>
      </c>
      <c r="D96" s="102">
        <v>1</v>
      </c>
      <c r="E96" s="51">
        <f t="shared" si="32"/>
        <v>9.677976344643012</v>
      </c>
      <c r="F96" s="23">
        <f t="shared" si="37"/>
        <v>0.10332738626226584</v>
      </c>
      <c r="G96" s="65">
        <f t="shared" si="34"/>
        <v>106.45773979107312</v>
      </c>
      <c r="H96" s="77">
        <v>5.5421052631578949</v>
      </c>
      <c r="I96" s="71">
        <f t="shared" si="38"/>
        <v>1.1186440677966101</v>
      </c>
      <c r="J96" s="298"/>
      <c r="K96" s="302"/>
      <c r="L96" s="21">
        <v>590</v>
      </c>
      <c r="M96" s="21">
        <v>660</v>
      </c>
      <c r="N96" s="285"/>
      <c r="O96" s="285"/>
      <c r="P96" s="285"/>
      <c r="Q96" s="285"/>
      <c r="R96" s="285"/>
      <c r="S96" s="285"/>
      <c r="T96" s="285"/>
      <c r="U96" s="285"/>
      <c r="V96" s="285"/>
      <c r="W96" s="285"/>
    </row>
    <row r="97" spans="1:23" s="26" customFormat="1" ht="30" customHeight="1" x14ac:dyDescent="0.2">
      <c r="A97" s="106" t="s">
        <v>1655</v>
      </c>
      <c r="B97" s="115" t="s">
        <v>1336</v>
      </c>
      <c r="C97" s="21" t="s">
        <v>1</v>
      </c>
      <c r="D97" s="102">
        <v>1</v>
      </c>
      <c r="E97" s="51">
        <f t="shared" ref="E97" si="39">G97/11</f>
        <v>8.6592419925753266</v>
      </c>
      <c r="F97" s="23">
        <f t="shared" si="37"/>
        <v>0.11548354935194416</v>
      </c>
      <c r="G97" s="65">
        <f t="shared" si="34"/>
        <v>95.251661918328594</v>
      </c>
      <c r="H97" s="77">
        <v>6.1941176470588228</v>
      </c>
      <c r="I97" s="71">
        <f t="shared" si="38"/>
        <v>1.1186440677966101</v>
      </c>
      <c r="J97" s="298"/>
      <c r="K97" s="302"/>
      <c r="L97" s="21">
        <v>590</v>
      </c>
      <c r="M97" s="21">
        <v>660</v>
      </c>
      <c r="N97" s="285"/>
      <c r="O97" s="285"/>
      <c r="P97" s="285"/>
      <c r="Q97" s="285"/>
      <c r="R97" s="285"/>
      <c r="S97" s="285"/>
      <c r="T97" s="285"/>
      <c r="U97" s="285"/>
      <c r="V97" s="285"/>
      <c r="W97" s="285"/>
    </row>
    <row r="98" spans="1:23" s="26" customFormat="1" ht="30" customHeight="1" x14ac:dyDescent="0.2">
      <c r="A98" s="106" t="s">
        <v>1656</v>
      </c>
      <c r="B98" s="115" t="s">
        <v>1337</v>
      </c>
      <c r="C98" s="21" t="s">
        <v>1</v>
      </c>
      <c r="D98" s="102">
        <v>1</v>
      </c>
      <c r="E98" s="51">
        <f>G98/11</f>
        <v>7.9150883838383841</v>
      </c>
      <c r="F98" s="23">
        <f t="shared" si="37"/>
        <v>0.1263409770687936</v>
      </c>
      <c r="G98" s="65">
        <f>L98/H98</f>
        <v>87.065972222222229</v>
      </c>
      <c r="H98" s="77">
        <v>6.776470588235294</v>
      </c>
      <c r="I98" s="71">
        <f t="shared" si="38"/>
        <v>1.1186440677966101</v>
      </c>
      <c r="J98" s="298"/>
      <c r="K98" s="302"/>
      <c r="L98" s="21">
        <v>590</v>
      </c>
      <c r="M98" s="21">
        <v>660</v>
      </c>
      <c r="N98" s="285"/>
      <c r="O98" s="285"/>
      <c r="P98" s="285"/>
      <c r="Q98" s="285"/>
      <c r="R98" s="285"/>
      <c r="S98" s="285"/>
      <c r="T98" s="285"/>
      <c r="U98" s="285"/>
      <c r="V98" s="285"/>
      <c r="W98" s="285"/>
    </row>
    <row r="99" spans="1:23" s="26" customFormat="1" ht="30" customHeight="1" x14ac:dyDescent="0.2">
      <c r="A99" s="106"/>
      <c r="B99" s="118" t="s">
        <v>2932</v>
      </c>
      <c r="C99" s="28"/>
      <c r="D99" s="28"/>
      <c r="E99" s="28"/>
      <c r="F99" s="28"/>
      <c r="G99" s="28"/>
      <c r="H99" s="225"/>
      <c r="I99" s="63"/>
      <c r="J99" s="298"/>
      <c r="K99" s="302"/>
      <c r="L99" s="63"/>
      <c r="M99" s="63"/>
      <c r="N99" s="285"/>
      <c r="O99" s="285"/>
      <c r="P99" s="285"/>
      <c r="Q99" s="285"/>
      <c r="R99" s="285"/>
      <c r="S99" s="285"/>
      <c r="T99" s="285"/>
      <c r="U99" s="285"/>
      <c r="V99" s="285"/>
      <c r="W99" s="285"/>
    </row>
    <row r="100" spans="1:23" s="26" customFormat="1" ht="30" customHeight="1" x14ac:dyDescent="0.2">
      <c r="A100" s="204" t="s">
        <v>2944</v>
      </c>
      <c r="B100" s="120" t="s">
        <v>2933</v>
      </c>
      <c r="C100" s="21" t="s">
        <v>1</v>
      </c>
      <c r="D100" s="102">
        <v>1</v>
      </c>
      <c r="E100" s="51">
        <f t="shared" ref="E100:E101" si="40">G100/11</f>
        <v>81.338661338661353</v>
      </c>
      <c r="F100" s="23">
        <f t="shared" ref="F100:F102" si="41">11/G100</f>
        <v>1.2294276590518299E-2</v>
      </c>
      <c r="G100" s="65">
        <f t="shared" ref="G100:G101" si="42">L100/H100</f>
        <v>894.72527472527486</v>
      </c>
      <c r="H100" s="79">
        <v>0.65942028985507239</v>
      </c>
      <c r="I100" s="71">
        <f t="shared" ref="I100:I102" si="43">M100/L100</f>
        <v>1.1186440677966101</v>
      </c>
      <c r="J100" s="298"/>
      <c r="K100" s="302"/>
      <c r="L100" s="21">
        <v>590</v>
      </c>
      <c r="M100" s="21">
        <v>660</v>
      </c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</row>
    <row r="101" spans="1:23" s="26" customFormat="1" ht="30" customHeight="1" x14ac:dyDescent="0.2">
      <c r="A101" s="204" t="s">
        <v>2945</v>
      </c>
      <c r="B101" s="120" t="s">
        <v>2934</v>
      </c>
      <c r="C101" s="21" t="s">
        <v>1</v>
      </c>
      <c r="D101" s="102">
        <v>1</v>
      </c>
      <c r="E101" s="51">
        <f t="shared" si="40"/>
        <v>75.120957473898656</v>
      </c>
      <c r="F101" s="23">
        <f t="shared" si="41"/>
        <v>1.3311864406779662E-2</v>
      </c>
      <c r="G101" s="65">
        <f t="shared" si="42"/>
        <v>826.33053221288515</v>
      </c>
      <c r="H101" s="79">
        <v>0.71399999999999997</v>
      </c>
      <c r="I101" s="71">
        <f t="shared" si="43"/>
        <v>1.1186440677966101</v>
      </c>
      <c r="J101" s="298"/>
      <c r="K101" s="302"/>
      <c r="L101" s="21">
        <v>590</v>
      </c>
      <c r="M101" s="21">
        <v>660</v>
      </c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</row>
    <row r="102" spans="1:23" s="26" customFormat="1" ht="30" customHeight="1" x14ac:dyDescent="0.2">
      <c r="A102" s="204" t="s">
        <v>2946</v>
      </c>
      <c r="B102" s="120" t="s">
        <v>2935</v>
      </c>
      <c r="C102" s="21" t="s">
        <v>1</v>
      </c>
      <c r="D102" s="102">
        <v>1</v>
      </c>
      <c r="E102" s="51">
        <f>G102/11</f>
        <v>69.65761511216057</v>
      </c>
      <c r="F102" s="23">
        <f t="shared" si="41"/>
        <v>1.4355932203389831E-2</v>
      </c>
      <c r="G102" s="65">
        <f>L102/H102</f>
        <v>766.23376623376623</v>
      </c>
      <c r="H102" s="79">
        <v>0.77</v>
      </c>
      <c r="I102" s="71">
        <f t="shared" si="43"/>
        <v>1.1186440677966101</v>
      </c>
      <c r="J102" s="298"/>
      <c r="K102" s="302"/>
      <c r="L102" s="21">
        <v>590</v>
      </c>
      <c r="M102" s="21">
        <v>660</v>
      </c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</row>
    <row r="103" spans="1:23" s="26" customFormat="1" ht="30" customHeight="1" x14ac:dyDescent="0.2">
      <c r="A103" s="204" t="s">
        <v>2947</v>
      </c>
      <c r="B103" s="120" t="s">
        <v>2936</v>
      </c>
      <c r="C103" s="21" t="s">
        <v>1</v>
      </c>
      <c r="D103" s="102">
        <v>1</v>
      </c>
      <c r="E103" s="51">
        <f t="shared" ref="E103:E109" si="44">G103/11</f>
        <v>64.82519172874504</v>
      </c>
      <c r="F103" s="23">
        <f t="shared" ref="F103:F109" si="45">11/G103</f>
        <v>1.5426101694915251E-2</v>
      </c>
      <c r="G103" s="65">
        <f t="shared" ref="G103:G109" si="46">L103/H103</f>
        <v>713.07710901619544</v>
      </c>
      <c r="H103" s="79">
        <v>0.82739999999999991</v>
      </c>
      <c r="I103" s="71">
        <f t="shared" ref="I103:I110" si="47">M103/L103</f>
        <v>1.1186440677966101</v>
      </c>
      <c r="J103" s="298"/>
      <c r="K103" s="302"/>
      <c r="L103" s="21">
        <v>590</v>
      </c>
      <c r="M103" s="21">
        <v>660</v>
      </c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</row>
    <row r="104" spans="1:23" s="26" customFormat="1" ht="30" customHeight="1" x14ac:dyDescent="0.2">
      <c r="A104" s="204" t="s">
        <v>2948</v>
      </c>
      <c r="B104" s="120" t="s">
        <v>2943</v>
      </c>
      <c r="C104" s="21" t="s">
        <v>1</v>
      </c>
      <c r="D104" s="102">
        <v>1</v>
      </c>
      <c r="E104" s="51">
        <f t="shared" ref="E104" si="48">G104/11</f>
        <v>62.414652014652027</v>
      </c>
      <c r="F104" s="23">
        <f t="shared" ref="F104" si="49">11/G104</f>
        <v>1.6021878961453587E-2</v>
      </c>
      <c r="G104" s="65">
        <f t="shared" ref="G104" si="50">L104/H104</f>
        <v>686.56117216117229</v>
      </c>
      <c r="H104" s="79">
        <v>0.85935532611432874</v>
      </c>
      <c r="I104" s="71">
        <f t="shared" ref="I104" si="51">M104/L104</f>
        <v>1.1186440677966101</v>
      </c>
      <c r="J104" s="298"/>
      <c r="K104" s="302"/>
      <c r="L104" s="21">
        <v>590</v>
      </c>
      <c r="M104" s="21">
        <v>660</v>
      </c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</row>
    <row r="105" spans="1:23" s="26" customFormat="1" ht="30" customHeight="1" x14ac:dyDescent="0.2">
      <c r="A105" s="204" t="s">
        <v>2949</v>
      </c>
      <c r="B105" s="120" t="s">
        <v>2937</v>
      </c>
      <c r="C105" s="21" t="s">
        <v>1</v>
      </c>
      <c r="D105" s="102">
        <v>1</v>
      </c>
      <c r="E105" s="51">
        <f t="shared" si="44"/>
        <v>58.265201465201471</v>
      </c>
      <c r="F105" s="23">
        <f t="shared" si="45"/>
        <v>1.7162902982447315E-2</v>
      </c>
      <c r="G105" s="65">
        <f t="shared" si="46"/>
        <v>640.91721611721619</v>
      </c>
      <c r="H105" s="79">
        <v>0.92055570542217424</v>
      </c>
      <c r="I105" s="71">
        <f t="shared" si="47"/>
        <v>1.1186440677966101</v>
      </c>
      <c r="J105" s="298"/>
      <c r="K105" s="302"/>
      <c r="L105" s="21">
        <v>590</v>
      </c>
      <c r="M105" s="21">
        <v>660</v>
      </c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</row>
    <row r="106" spans="1:23" s="26" customFormat="1" ht="30" customHeight="1" x14ac:dyDescent="0.2">
      <c r="A106" s="204" t="s">
        <v>2950</v>
      </c>
      <c r="B106" s="120" t="s">
        <v>2938</v>
      </c>
      <c r="C106" s="21" t="s">
        <v>1</v>
      </c>
      <c r="D106" s="102">
        <v>1</v>
      </c>
      <c r="E106" s="51">
        <f t="shared" si="44"/>
        <v>36.826373626373623</v>
      </c>
      <c r="F106" s="23">
        <f t="shared" si="45"/>
        <v>2.7154452136548102E-2</v>
      </c>
      <c r="G106" s="65">
        <f t="shared" si="46"/>
        <v>405.09010989010989</v>
      </c>
      <c r="H106" s="79">
        <v>1.4564660691421254</v>
      </c>
      <c r="I106" s="71">
        <f t="shared" si="47"/>
        <v>1.1186440677966101</v>
      </c>
      <c r="J106" s="298"/>
      <c r="K106" s="302"/>
      <c r="L106" s="21">
        <v>590</v>
      </c>
      <c r="M106" s="21">
        <v>660</v>
      </c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</row>
    <row r="107" spans="1:23" s="26" customFormat="1" ht="30" customHeight="1" x14ac:dyDescent="0.2">
      <c r="A107" s="204" t="s">
        <v>2951</v>
      </c>
      <c r="B107" s="120" t="s">
        <v>2939</v>
      </c>
      <c r="C107" s="21" t="s">
        <v>1</v>
      </c>
      <c r="D107" s="102">
        <v>1</v>
      </c>
      <c r="E107" s="51">
        <f t="shared" si="44"/>
        <v>31.380219780219782</v>
      </c>
      <c r="F107" s="23">
        <f t="shared" si="45"/>
        <v>3.1867208292477939E-2</v>
      </c>
      <c r="G107" s="65">
        <f t="shared" si="46"/>
        <v>345.1824175824176</v>
      </c>
      <c r="H107" s="79">
        <v>1.7092411720510894</v>
      </c>
      <c r="I107" s="71">
        <f t="shared" si="47"/>
        <v>1.1186440677966101</v>
      </c>
      <c r="J107" s="298"/>
      <c r="K107" s="302"/>
      <c r="L107" s="21">
        <v>590</v>
      </c>
      <c r="M107" s="21">
        <v>660</v>
      </c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</row>
    <row r="108" spans="1:23" s="26" customFormat="1" ht="30" customHeight="1" x14ac:dyDescent="0.2">
      <c r="A108" s="204" t="s">
        <v>2952</v>
      </c>
      <c r="B108" s="120" t="s">
        <v>2940</v>
      </c>
      <c r="C108" s="21" t="s">
        <v>1</v>
      </c>
      <c r="D108" s="102">
        <v>1</v>
      </c>
      <c r="E108" s="51">
        <f t="shared" si="44"/>
        <v>25.761172161172166</v>
      </c>
      <c r="F108" s="23">
        <f t="shared" si="45"/>
        <v>3.881810943009896E-2</v>
      </c>
      <c r="G108" s="65">
        <f t="shared" si="46"/>
        <v>283.3728937728938</v>
      </c>
      <c r="H108" s="79">
        <v>2.0820622330689442</v>
      </c>
      <c r="I108" s="71">
        <f t="shared" si="47"/>
        <v>1.1186440677966101</v>
      </c>
      <c r="J108" s="298"/>
      <c r="K108" s="302"/>
      <c r="L108" s="21">
        <v>590</v>
      </c>
      <c r="M108" s="21">
        <v>660</v>
      </c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</row>
    <row r="109" spans="1:23" s="26" customFormat="1" ht="30" customHeight="1" x14ac:dyDescent="0.2">
      <c r="A109" s="204" t="s">
        <v>2953</v>
      </c>
      <c r="B109" s="120" t="s">
        <v>2941</v>
      </c>
      <c r="C109" s="21" t="s">
        <v>1</v>
      </c>
      <c r="D109" s="102">
        <v>1</v>
      </c>
      <c r="E109" s="51">
        <f t="shared" si="44"/>
        <v>17.02741702741703</v>
      </c>
      <c r="F109" s="23">
        <f t="shared" si="45"/>
        <v>5.8728813559322031E-2</v>
      </c>
      <c r="G109" s="65">
        <f t="shared" si="46"/>
        <v>187.30158730158732</v>
      </c>
      <c r="H109" s="79">
        <v>3.15</v>
      </c>
      <c r="I109" s="71">
        <f t="shared" si="47"/>
        <v>1.1186440677966101</v>
      </c>
      <c r="J109" s="298"/>
      <c r="K109" s="302"/>
      <c r="L109" s="21">
        <v>590</v>
      </c>
      <c r="M109" s="21">
        <v>660</v>
      </c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</row>
    <row r="110" spans="1:23" s="26" customFormat="1" ht="30" customHeight="1" x14ac:dyDescent="0.2">
      <c r="A110" s="204" t="s">
        <v>2954</v>
      </c>
      <c r="B110" s="120" t="s">
        <v>2942</v>
      </c>
      <c r="C110" s="21" t="s">
        <v>1</v>
      </c>
      <c r="D110" s="102">
        <v>1</v>
      </c>
      <c r="E110" s="51">
        <f>G110/11</f>
        <v>14.457240872335213</v>
      </c>
      <c r="F110" s="23">
        <f>11/G110</f>
        <v>6.9169491525423718E-2</v>
      </c>
      <c r="G110" s="65">
        <f>L110/H110</f>
        <v>159.02964959568735</v>
      </c>
      <c r="H110" s="79">
        <v>3.7099999999999995</v>
      </c>
      <c r="I110" s="71">
        <f t="shared" si="47"/>
        <v>1.1186440677966101</v>
      </c>
      <c r="J110" s="298"/>
      <c r="K110" s="302"/>
      <c r="L110" s="21">
        <v>590</v>
      </c>
      <c r="M110" s="21">
        <v>660</v>
      </c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</row>
    <row r="111" spans="1:23" s="26" customFormat="1" ht="30" customHeight="1" x14ac:dyDescent="0.2">
      <c r="A111" s="106" t="s">
        <v>1657</v>
      </c>
      <c r="B111" s="119" t="s">
        <v>1467</v>
      </c>
      <c r="C111" s="21" t="s">
        <v>1</v>
      </c>
      <c r="D111" s="22">
        <v>1</v>
      </c>
      <c r="E111" s="51">
        <f>G111/11</f>
        <v>52.727272727272727</v>
      </c>
      <c r="F111" s="23">
        <f t="shared" si="37"/>
        <v>1.896551724137931E-2</v>
      </c>
      <c r="G111" s="65">
        <f>L111/H111</f>
        <v>580</v>
      </c>
      <c r="H111" s="77">
        <v>1.0172413793103448</v>
      </c>
      <c r="I111" s="71">
        <f>M111/L111</f>
        <v>1.1186440677966101</v>
      </c>
      <c r="J111" s="298"/>
      <c r="K111" s="302"/>
      <c r="L111" s="21">
        <v>590</v>
      </c>
      <c r="M111" s="21">
        <v>660</v>
      </c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</row>
    <row r="112" spans="1:23" s="26" customFormat="1" ht="30" customHeight="1" x14ac:dyDescent="0.2">
      <c r="A112" s="106" t="s">
        <v>1658</v>
      </c>
      <c r="B112" s="119" t="s">
        <v>1468</v>
      </c>
      <c r="C112" s="21" t="s">
        <v>1</v>
      </c>
      <c r="D112" s="22">
        <v>1</v>
      </c>
      <c r="E112" s="51">
        <f t="shared" ref="E112:E170" si="52">G112/11</f>
        <v>70.388928656645191</v>
      </c>
      <c r="F112" s="23">
        <f t="shared" si="37"/>
        <v>1.4206779661016949E-2</v>
      </c>
      <c r="G112" s="65">
        <f t="shared" ref="G112:G176" si="53">L112/H112</f>
        <v>774.27821522309716</v>
      </c>
      <c r="H112" s="77">
        <v>0.7619999999999999</v>
      </c>
      <c r="I112" s="71">
        <f>M112/L112</f>
        <v>1.1186440677966101</v>
      </c>
      <c r="J112" s="298"/>
      <c r="K112" s="302"/>
      <c r="L112" s="21">
        <v>590</v>
      </c>
      <c r="M112" s="21">
        <v>660</v>
      </c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</row>
    <row r="113" spans="1:23" s="26" customFormat="1" ht="30" customHeight="1" x14ac:dyDescent="0.2">
      <c r="A113" s="106" t="s">
        <v>1659</v>
      </c>
      <c r="B113" s="120" t="s">
        <v>1388</v>
      </c>
      <c r="C113" s="21" t="s">
        <v>1</v>
      </c>
      <c r="D113" s="22">
        <v>1</v>
      </c>
      <c r="E113" s="51">
        <f t="shared" si="52"/>
        <v>20.37468704135371</v>
      </c>
      <c r="F113" s="23">
        <f t="shared" ref="F113:F170" si="54">11/G113</f>
        <v>4.9080508474576269E-2</v>
      </c>
      <c r="G113" s="65">
        <f t="shared" si="53"/>
        <v>224.12155745489079</v>
      </c>
      <c r="H113" s="79">
        <v>2.6324999999999998</v>
      </c>
      <c r="I113" s="71">
        <f t="shared" ref="I113:I143" si="55">M113/L113</f>
        <v>1.1186440677966101</v>
      </c>
      <c r="J113" s="298"/>
      <c r="K113" s="302"/>
      <c r="L113" s="21">
        <v>590</v>
      </c>
      <c r="M113" s="21">
        <v>660</v>
      </c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</row>
    <row r="114" spans="1:23" s="26" customFormat="1" ht="30" customHeight="1" x14ac:dyDescent="0.2">
      <c r="A114" s="106" t="s">
        <v>1660</v>
      </c>
      <c r="B114" s="120" t="s">
        <v>1389</v>
      </c>
      <c r="C114" s="21" t="s">
        <v>1</v>
      </c>
      <c r="D114" s="22">
        <v>1</v>
      </c>
      <c r="E114" s="51">
        <f t="shared" si="52"/>
        <v>16.809116809116809</v>
      </c>
      <c r="F114" s="23">
        <f t="shared" si="54"/>
        <v>5.9491525423728812E-2</v>
      </c>
      <c r="G114" s="65">
        <f t="shared" si="53"/>
        <v>184.9002849002849</v>
      </c>
      <c r="H114" s="79">
        <v>3.1909090909090909</v>
      </c>
      <c r="I114" s="71">
        <f t="shared" si="55"/>
        <v>1.1186440677966101</v>
      </c>
      <c r="J114" s="298"/>
      <c r="K114" s="302"/>
      <c r="L114" s="21">
        <v>590</v>
      </c>
      <c r="M114" s="21">
        <v>660</v>
      </c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</row>
    <row r="115" spans="1:23" s="26" customFormat="1" ht="30" customHeight="1" x14ac:dyDescent="0.2">
      <c r="A115" s="106" t="s">
        <v>1661</v>
      </c>
      <c r="B115" s="120" t="s">
        <v>1390</v>
      </c>
      <c r="C115" s="21" t="s">
        <v>1</v>
      </c>
      <c r="D115" s="22">
        <v>1</v>
      </c>
      <c r="E115" s="51">
        <f t="shared" si="52"/>
        <v>13.85478718812052</v>
      </c>
      <c r="F115" s="23">
        <f t="shared" si="54"/>
        <v>7.2177218344965113E-2</v>
      </c>
      <c r="G115" s="65">
        <f t="shared" si="53"/>
        <v>152.40265906932572</v>
      </c>
      <c r="H115" s="79">
        <v>3.8713235294117649</v>
      </c>
      <c r="I115" s="71">
        <f t="shared" si="55"/>
        <v>1.1186440677966101</v>
      </c>
      <c r="J115" s="298"/>
      <c r="K115" s="302"/>
      <c r="L115" s="21">
        <v>590</v>
      </c>
      <c r="M115" s="21">
        <v>660</v>
      </c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</row>
    <row r="116" spans="1:23" s="26" customFormat="1" ht="30" customHeight="1" x14ac:dyDescent="0.2">
      <c r="A116" s="106" t="s">
        <v>1662</v>
      </c>
      <c r="B116" s="120" t="s">
        <v>1391</v>
      </c>
      <c r="C116" s="21" t="s">
        <v>1</v>
      </c>
      <c r="D116" s="22">
        <v>1</v>
      </c>
      <c r="E116" s="51">
        <f t="shared" si="52"/>
        <v>9.1686091686091675</v>
      </c>
      <c r="F116" s="23">
        <f t="shared" si="54"/>
        <v>0.10906779661016949</v>
      </c>
      <c r="G116" s="65">
        <f t="shared" si="53"/>
        <v>100.85470085470085</v>
      </c>
      <c r="H116" s="79">
        <v>5.8500000000000005</v>
      </c>
      <c r="I116" s="71">
        <f t="shared" si="55"/>
        <v>1.1186440677966101</v>
      </c>
      <c r="J116" s="298"/>
      <c r="K116" s="302"/>
      <c r="L116" s="21">
        <v>590</v>
      </c>
      <c r="M116" s="21">
        <v>660</v>
      </c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</row>
    <row r="117" spans="1:23" s="26" customFormat="1" ht="30" customHeight="1" x14ac:dyDescent="0.2">
      <c r="A117" s="106" t="s">
        <v>1663</v>
      </c>
      <c r="B117" s="120" t="s">
        <v>1392</v>
      </c>
      <c r="C117" s="21" t="s">
        <v>1</v>
      </c>
      <c r="D117" s="22">
        <v>1</v>
      </c>
      <c r="E117" s="51">
        <f t="shared" si="52"/>
        <v>7.8442545109211776</v>
      </c>
      <c r="F117" s="23">
        <f t="shared" si="54"/>
        <v>0.12748184019370459</v>
      </c>
      <c r="G117" s="65">
        <f t="shared" si="53"/>
        <v>86.286799620132953</v>
      </c>
      <c r="H117" s="79">
        <v>6.837662337662338</v>
      </c>
      <c r="I117" s="71">
        <f t="shared" si="55"/>
        <v>1.1186440677966101</v>
      </c>
      <c r="J117" s="298"/>
      <c r="K117" s="302"/>
      <c r="L117" s="21">
        <v>590</v>
      </c>
      <c r="M117" s="21">
        <v>660</v>
      </c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</row>
    <row r="118" spans="1:23" s="26" customFormat="1" ht="30" customHeight="1" x14ac:dyDescent="0.2">
      <c r="A118" s="106" t="s">
        <v>1664</v>
      </c>
      <c r="B118" s="120" t="s">
        <v>1393</v>
      </c>
      <c r="C118" s="21" t="s">
        <v>1</v>
      </c>
      <c r="D118" s="22">
        <v>1</v>
      </c>
      <c r="E118" s="51">
        <f t="shared" si="52"/>
        <v>17.31848398515065</v>
      </c>
      <c r="F118" s="23">
        <f t="shared" si="54"/>
        <v>5.7741774675972087E-2</v>
      </c>
      <c r="G118" s="65">
        <f t="shared" si="53"/>
        <v>190.50332383665716</v>
      </c>
      <c r="H118" s="79">
        <v>3.0970588235294119</v>
      </c>
      <c r="I118" s="71">
        <f t="shared" si="55"/>
        <v>1.1186440677966101</v>
      </c>
      <c r="J118" s="298"/>
      <c r="K118" s="302"/>
      <c r="L118" s="21">
        <v>590</v>
      </c>
      <c r="M118" s="21">
        <v>660</v>
      </c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</row>
    <row r="119" spans="1:23" s="26" customFormat="1" ht="30" customHeight="1" x14ac:dyDescent="0.2">
      <c r="A119" s="106" t="s">
        <v>1665</v>
      </c>
      <c r="B119" s="120" t="s">
        <v>1394</v>
      </c>
      <c r="C119" s="21" t="s">
        <v>1</v>
      </c>
      <c r="D119" s="22">
        <v>1</v>
      </c>
      <c r="E119" s="51">
        <f t="shared" si="52"/>
        <v>14.262280928947593</v>
      </c>
      <c r="F119" s="23">
        <f t="shared" si="54"/>
        <v>7.0115012106537547E-2</v>
      </c>
      <c r="G119" s="65">
        <f t="shared" si="53"/>
        <v>156.88509021842353</v>
      </c>
      <c r="H119" s="79">
        <v>3.7607142857142861</v>
      </c>
      <c r="I119" s="71">
        <f t="shared" si="55"/>
        <v>1.1186440677966101</v>
      </c>
      <c r="J119" s="298"/>
      <c r="K119" s="302"/>
      <c r="L119" s="21">
        <v>590</v>
      </c>
      <c r="M119" s="21">
        <v>660</v>
      </c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</row>
    <row r="120" spans="1:23" s="26" customFormat="1" ht="30" customHeight="1" x14ac:dyDescent="0.2">
      <c r="A120" s="106" t="s">
        <v>1666</v>
      </c>
      <c r="B120" s="120" t="s">
        <v>1395</v>
      </c>
      <c r="C120" s="21" t="s">
        <v>1</v>
      </c>
      <c r="D120" s="22">
        <v>1</v>
      </c>
      <c r="E120" s="51">
        <f t="shared" si="52"/>
        <v>11.715445048778379</v>
      </c>
      <c r="F120" s="23">
        <f t="shared" si="54"/>
        <v>8.5357406042741349E-2</v>
      </c>
      <c r="G120" s="65">
        <f t="shared" si="53"/>
        <v>128.86989553656218</v>
      </c>
      <c r="H120" s="79">
        <v>4.5782608695652183</v>
      </c>
      <c r="I120" s="71">
        <f t="shared" si="55"/>
        <v>1.1186440677966101</v>
      </c>
      <c r="J120" s="298"/>
      <c r="K120" s="302"/>
      <c r="L120" s="21">
        <v>590</v>
      </c>
      <c r="M120" s="21">
        <v>660</v>
      </c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</row>
    <row r="121" spans="1:23" s="26" customFormat="1" ht="30" customHeight="1" x14ac:dyDescent="0.2">
      <c r="A121" s="106" t="s">
        <v>1667</v>
      </c>
      <c r="B121" s="120" t="s">
        <v>1396</v>
      </c>
      <c r="C121" s="21" t="s">
        <v>1</v>
      </c>
      <c r="D121" s="22">
        <v>1</v>
      </c>
      <c r="E121" s="51">
        <f t="shared" si="52"/>
        <v>7.6405076405076411</v>
      </c>
      <c r="F121" s="23">
        <f t="shared" si="54"/>
        <v>0.13088135593220337</v>
      </c>
      <c r="G121" s="65">
        <f t="shared" si="53"/>
        <v>84.04558404558405</v>
      </c>
      <c r="H121" s="79">
        <v>7.02</v>
      </c>
      <c r="I121" s="71">
        <f t="shared" si="55"/>
        <v>1.1186440677966101</v>
      </c>
      <c r="J121" s="298"/>
      <c r="K121" s="302"/>
      <c r="L121" s="21">
        <v>590</v>
      </c>
      <c r="M121" s="21">
        <v>660</v>
      </c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</row>
    <row r="122" spans="1:23" s="26" customFormat="1" ht="30" customHeight="1" x14ac:dyDescent="0.2">
      <c r="A122" s="106" t="s">
        <v>1668</v>
      </c>
      <c r="B122" s="120" t="s">
        <v>1338</v>
      </c>
      <c r="C122" s="21" t="s">
        <v>1</v>
      </c>
      <c r="D122" s="22">
        <v>1</v>
      </c>
      <c r="E122" s="51">
        <f t="shared" si="52"/>
        <v>31.631701631701631</v>
      </c>
      <c r="F122" s="23">
        <f t="shared" si="54"/>
        <v>3.1613854089904199E-2</v>
      </c>
      <c r="G122" s="65">
        <f t="shared" si="53"/>
        <v>347.94871794871796</v>
      </c>
      <c r="H122" s="77">
        <v>1.6956521739130435</v>
      </c>
      <c r="I122" s="71">
        <f t="shared" si="55"/>
        <v>1.1186440677966101</v>
      </c>
      <c r="J122" s="298"/>
      <c r="K122" s="302"/>
      <c r="L122" s="21">
        <v>590</v>
      </c>
      <c r="M122" s="21">
        <v>660</v>
      </c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</row>
    <row r="123" spans="1:23" s="26" customFormat="1" ht="30" customHeight="1" x14ac:dyDescent="0.2">
      <c r="A123" s="106" t="s">
        <v>1669</v>
      </c>
      <c r="B123" s="120" t="s">
        <v>1339</v>
      </c>
      <c r="C123" s="21" t="s">
        <v>1</v>
      </c>
      <c r="D123" s="22">
        <v>1</v>
      </c>
      <c r="E123" s="51">
        <f t="shared" si="52"/>
        <v>27.505827505827508</v>
      </c>
      <c r="F123" s="23">
        <f t="shared" si="54"/>
        <v>3.6355932203389826E-2</v>
      </c>
      <c r="G123" s="65">
        <f t="shared" si="53"/>
        <v>302.5641025641026</v>
      </c>
      <c r="H123" s="77">
        <v>1.95</v>
      </c>
      <c r="I123" s="71">
        <f t="shared" si="55"/>
        <v>1.1186440677966101</v>
      </c>
      <c r="J123" s="298"/>
      <c r="K123" s="302"/>
      <c r="L123" s="21">
        <v>590</v>
      </c>
      <c r="M123" s="21">
        <v>660</v>
      </c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</row>
    <row r="124" spans="1:23" s="26" customFormat="1" ht="30" customHeight="1" x14ac:dyDescent="0.2">
      <c r="A124" s="106" t="s">
        <v>1670</v>
      </c>
      <c r="B124" s="120" t="s">
        <v>1340</v>
      </c>
      <c r="C124" s="21" t="s">
        <v>1</v>
      </c>
      <c r="D124" s="22">
        <v>1</v>
      </c>
      <c r="E124" s="51">
        <f t="shared" si="52"/>
        <v>25.099067599067599</v>
      </c>
      <c r="F124" s="23">
        <f t="shared" si="54"/>
        <v>3.984211748316694E-2</v>
      </c>
      <c r="G124" s="65">
        <f t="shared" si="53"/>
        <v>276.08974358974359</v>
      </c>
      <c r="H124" s="77">
        <v>2.1369863013698631</v>
      </c>
      <c r="I124" s="71">
        <f t="shared" si="55"/>
        <v>1.1186440677966101</v>
      </c>
      <c r="J124" s="298"/>
      <c r="K124" s="302"/>
      <c r="L124" s="21">
        <v>590</v>
      </c>
      <c r="M124" s="21">
        <v>660</v>
      </c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</row>
    <row r="125" spans="1:23" s="26" customFormat="1" ht="30" customHeight="1" x14ac:dyDescent="0.2">
      <c r="A125" s="106" t="s">
        <v>1671</v>
      </c>
      <c r="B125" s="120" t="s">
        <v>1341</v>
      </c>
      <c r="C125" s="21" t="s">
        <v>1</v>
      </c>
      <c r="D125" s="22">
        <v>1</v>
      </c>
      <c r="E125" s="51">
        <f t="shared" si="52"/>
        <v>23.379953379953381</v>
      </c>
      <c r="F125" s="23">
        <f t="shared" si="54"/>
        <v>4.2771684945164506E-2</v>
      </c>
      <c r="G125" s="65">
        <f t="shared" si="53"/>
        <v>257.17948717948718</v>
      </c>
      <c r="H125" s="77">
        <v>2.2941176470588234</v>
      </c>
      <c r="I125" s="71">
        <f t="shared" si="55"/>
        <v>1.1186440677966101</v>
      </c>
      <c r="J125" s="298"/>
      <c r="K125" s="302"/>
      <c r="L125" s="21">
        <v>590</v>
      </c>
      <c r="M125" s="21">
        <v>660</v>
      </c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</row>
    <row r="126" spans="1:23" s="26" customFormat="1" ht="30" customHeight="1" x14ac:dyDescent="0.2">
      <c r="A126" s="106" t="s">
        <v>1672</v>
      </c>
      <c r="B126" s="120" t="s">
        <v>1342</v>
      </c>
      <c r="C126" s="21" t="s">
        <v>1</v>
      </c>
      <c r="D126" s="22">
        <v>1</v>
      </c>
      <c r="E126" s="51">
        <f t="shared" si="52"/>
        <v>20.629370629370626</v>
      </c>
      <c r="F126" s="23">
        <f t="shared" si="54"/>
        <v>4.8474576271186447E-2</v>
      </c>
      <c r="G126" s="65">
        <f t="shared" si="53"/>
        <v>226.92307692307691</v>
      </c>
      <c r="H126" s="77">
        <v>2.6</v>
      </c>
      <c r="I126" s="71">
        <f t="shared" si="55"/>
        <v>1.1186440677966101</v>
      </c>
      <c r="J126" s="298"/>
      <c r="K126" s="302"/>
      <c r="L126" s="21">
        <v>590</v>
      </c>
      <c r="M126" s="21">
        <v>660</v>
      </c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</row>
    <row r="127" spans="1:23" s="26" customFormat="1" ht="30" customHeight="1" x14ac:dyDescent="0.2">
      <c r="A127" s="106" t="s">
        <v>1673</v>
      </c>
      <c r="B127" s="120" t="s">
        <v>1343</v>
      </c>
      <c r="C127" s="21" t="s">
        <v>1</v>
      </c>
      <c r="D127" s="22">
        <v>1</v>
      </c>
      <c r="E127" s="51">
        <f t="shared" si="52"/>
        <v>16.503496503496503</v>
      </c>
      <c r="F127" s="23">
        <f t="shared" si="54"/>
        <v>6.0593220338983046E-2</v>
      </c>
      <c r="G127" s="65">
        <f t="shared" si="53"/>
        <v>181.53846153846155</v>
      </c>
      <c r="H127" s="77">
        <v>3.25</v>
      </c>
      <c r="I127" s="71">
        <f t="shared" si="55"/>
        <v>1.1186440677966101</v>
      </c>
      <c r="J127" s="298"/>
      <c r="K127" s="302"/>
      <c r="L127" s="21">
        <v>590</v>
      </c>
      <c r="M127" s="21">
        <v>660</v>
      </c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</row>
    <row r="128" spans="1:23" s="26" customFormat="1" ht="30" customHeight="1" x14ac:dyDescent="0.2">
      <c r="A128" s="106" t="s">
        <v>1674</v>
      </c>
      <c r="B128" s="120" t="s">
        <v>1344</v>
      </c>
      <c r="C128" s="21" t="s">
        <v>1</v>
      </c>
      <c r="D128" s="22">
        <v>1</v>
      </c>
      <c r="E128" s="51">
        <f t="shared" si="52"/>
        <v>17.534965034965037</v>
      </c>
      <c r="F128" s="23">
        <f>11/G128</f>
        <v>5.702891326021934E-2</v>
      </c>
      <c r="G128" s="65">
        <f>L128/H128</f>
        <v>192.88461538461539</v>
      </c>
      <c r="H128" s="77">
        <v>3.0588235294117645</v>
      </c>
      <c r="I128" s="71">
        <f>M128/L128</f>
        <v>1.1186440677966101</v>
      </c>
      <c r="J128" s="298"/>
      <c r="K128" s="302"/>
      <c r="L128" s="21">
        <v>590</v>
      </c>
      <c r="M128" s="21">
        <v>660</v>
      </c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</row>
    <row r="129" spans="1:23" s="26" customFormat="1" ht="30" customHeight="1" x14ac:dyDescent="0.2">
      <c r="A129" s="106" t="s">
        <v>1675</v>
      </c>
      <c r="B129" s="120" t="s">
        <v>1345</v>
      </c>
      <c r="C129" s="21" t="s">
        <v>1</v>
      </c>
      <c r="D129" s="22">
        <v>1</v>
      </c>
      <c r="E129" s="51">
        <f t="shared" si="52"/>
        <v>13.752913752913754</v>
      </c>
      <c r="F129" s="23">
        <f t="shared" si="54"/>
        <v>7.2711864406779653E-2</v>
      </c>
      <c r="G129" s="65">
        <f t="shared" si="53"/>
        <v>151.2820512820513</v>
      </c>
      <c r="H129" s="77">
        <v>3.9</v>
      </c>
      <c r="I129" s="71">
        <f t="shared" si="55"/>
        <v>1.1186440677966101</v>
      </c>
      <c r="J129" s="298"/>
      <c r="K129" s="302"/>
      <c r="L129" s="21">
        <v>590</v>
      </c>
      <c r="M129" s="21">
        <v>660</v>
      </c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</row>
    <row r="130" spans="1:23" s="26" customFormat="1" ht="30" customHeight="1" x14ac:dyDescent="0.2">
      <c r="A130" s="106" t="s">
        <v>1676</v>
      </c>
      <c r="B130" s="120" t="s">
        <v>1346</v>
      </c>
      <c r="C130" s="21" t="s">
        <v>1</v>
      </c>
      <c r="D130" s="22">
        <v>1</v>
      </c>
      <c r="E130" s="51">
        <f t="shared" si="52"/>
        <v>13.065268065268064</v>
      </c>
      <c r="F130" s="23">
        <f t="shared" si="54"/>
        <v>7.6538804638715444E-2</v>
      </c>
      <c r="G130" s="65">
        <f t="shared" si="53"/>
        <v>143.7179487179487</v>
      </c>
      <c r="H130" s="77">
        <v>4.1052631578947372</v>
      </c>
      <c r="I130" s="71">
        <f t="shared" si="55"/>
        <v>1.1186440677966101</v>
      </c>
      <c r="J130" s="298"/>
      <c r="K130" s="302"/>
      <c r="L130" s="21">
        <v>590</v>
      </c>
      <c r="M130" s="21">
        <v>660</v>
      </c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</row>
    <row r="131" spans="1:23" s="26" customFormat="1" ht="30" customHeight="1" x14ac:dyDescent="0.2">
      <c r="A131" s="106" t="s">
        <v>1677</v>
      </c>
      <c r="B131" s="120" t="s">
        <v>1347</v>
      </c>
      <c r="C131" s="21" t="s">
        <v>1</v>
      </c>
      <c r="D131" s="22">
        <v>1</v>
      </c>
      <c r="E131" s="51">
        <f t="shared" si="52"/>
        <v>11.689976689976691</v>
      </c>
      <c r="F131" s="23">
        <f t="shared" si="54"/>
        <v>8.5543369890329013E-2</v>
      </c>
      <c r="G131" s="65">
        <f t="shared" si="53"/>
        <v>128.58974358974359</v>
      </c>
      <c r="H131" s="77">
        <v>4.5882352941176467</v>
      </c>
      <c r="I131" s="71">
        <f t="shared" si="55"/>
        <v>1.1186440677966101</v>
      </c>
      <c r="J131" s="298"/>
      <c r="K131" s="302"/>
      <c r="L131" s="21">
        <v>590</v>
      </c>
      <c r="M131" s="21">
        <v>660</v>
      </c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</row>
    <row r="132" spans="1:23" s="26" customFormat="1" ht="30" customHeight="1" x14ac:dyDescent="0.2">
      <c r="A132" s="106" t="s">
        <v>1678</v>
      </c>
      <c r="B132" s="120" t="s">
        <v>1348</v>
      </c>
      <c r="C132" s="21" t="s">
        <v>1</v>
      </c>
      <c r="D132" s="22">
        <v>1</v>
      </c>
      <c r="E132" s="51">
        <f t="shared" si="52"/>
        <v>10.685369318181818</v>
      </c>
      <c r="F132" s="23">
        <f t="shared" si="54"/>
        <v>9.3585908939847126E-2</v>
      </c>
      <c r="G132" s="65">
        <f t="shared" si="53"/>
        <v>117.5390625</v>
      </c>
      <c r="H132" s="77">
        <v>5.0196078431372548</v>
      </c>
      <c r="I132" s="71">
        <f t="shared" si="55"/>
        <v>1.1186440677966101</v>
      </c>
      <c r="J132" s="298"/>
      <c r="K132" s="302"/>
      <c r="L132" s="21">
        <v>590</v>
      </c>
      <c r="M132" s="21">
        <v>660</v>
      </c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</row>
    <row r="133" spans="1:23" s="26" customFormat="1" ht="30" customHeight="1" x14ac:dyDescent="0.2">
      <c r="A133" s="106" t="s">
        <v>1679</v>
      </c>
      <c r="B133" s="120" t="s">
        <v>1349</v>
      </c>
      <c r="C133" s="21" t="s">
        <v>1</v>
      </c>
      <c r="D133" s="22">
        <v>1</v>
      </c>
      <c r="E133" s="51">
        <f t="shared" si="52"/>
        <v>27.505827505827508</v>
      </c>
      <c r="F133" s="23">
        <f t="shared" si="54"/>
        <v>3.6355932203389826E-2</v>
      </c>
      <c r="G133" s="65">
        <f t="shared" si="53"/>
        <v>302.5641025641026</v>
      </c>
      <c r="H133" s="77">
        <v>1.9499999999999997</v>
      </c>
      <c r="I133" s="71">
        <f t="shared" si="55"/>
        <v>1.1186440677966101</v>
      </c>
      <c r="J133" s="298"/>
      <c r="K133" s="302"/>
      <c r="L133" s="21">
        <v>590</v>
      </c>
      <c r="M133" s="21">
        <v>660</v>
      </c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</row>
    <row r="134" spans="1:23" s="26" customFormat="1" ht="30" customHeight="1" x14ac:dyDescent="0.2">
      <c r="A134" s="106" t="s">
        <v>1680</v>
      </c>
      <c r="B134" s="120" t="s">
        <v>1350</v>
      </c>
      <c r="C134" s="21" t="s">
        <v>1</v>
      </c>
      <c r="D134" s="22">
        <v>1</v>
      </c>
      <c r="E134" s="51">
        <f t="shared" si="52"/>
        <v>23.918110874632614</v>
      </c>
      <c r="F134" s="23">
        <f t="shared" si="54"/>
        <v>4.1809322033898304E-2</v>
      </c>
      <c r="G134" s="65">
        <f t="shared" si="53"/>
        <v>263.09921962095876</v>
      </c>
      <c r="H134" s="77">
        <v>2.2424999999999997</v>
      </c>
      <c r="I134" s="71">
        <f t="shared" si="55"/>
        <v>1.1186440677966101</v>
      </c>
      <c r="J134" s="298"/>
      <c r="K134" s="302"/>
      <c r="L134" s="21">
        <v>590</v>
      </c>
      <c r="M134" s="21">
        <v>660</v>
      </c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</row>
    <row r="135" spans="1:23" s="26" customFormat="1" ht="30" customHeight="1" x14ac:dyDescent="0.2">
      <c r="A135" s="106" t="s">
        <v>1681</v>
      </c>
      <c r="B135" s="120" t="s">
        <v>1351</v>
      </c>
      <c r="C135" s="21" t="s">
        <v>1</v>
      </c>
      <c r="D135" s="22">
        <v>1</v>
      </c>
      <c r="E135" s="51">
        <f t="shared" si="52"/>
        <v>21.82527617310226</v>
      </c>
      <c r="F135" s="23">
        <f t="shared" si="54"/>
        <v>4.5818435105641979E-2</v>
      </c>
      <c r="G135" s="65">
        <f t="shared" si="53"/>
        <v>240.07803790412487</v>
      </c>
      <c r="H135" s="77">
        <v>2.4575342465753423</v>
      </c>
      <c r="I135" s="71">
        <f t="shared" si="55"/>
        <v>1.1186440677966101</v>
      </c>
      <c r="J135" s="298"/>
      <c r="K135" s="302"/>
      <c r="L135" s="21">
        <v>590</v>
      </c>
      <c r="M135" s="21">
        <v>660</v>
      </c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</row>
    <row r="136" spans="1:23" s="26" customFormat="1" ht="30" customHeight="1" x14ac:dyDescent="0.2">
      <c r="A136" s="106" t="s">
        <v>1682</v>
      </c>
      <c r="B136" s="120" t="s">
        <v>1352</v>
      </c>
      <c r="C136" s="21" t="s">
        <v>1</v>
      </c>
      <c r="D136" s="22">
        <v>1</v>
      </c>
      <c r="E136" s="51">
        <f t="shared" si="52"/>
        <v>20.33039424343772</v>
      </c>
      <c r="F136" s="23">
        <f t="shared" si="54"/>
        <v>4.9187437686939187E-2</v>
      </c>
      <c r="G136" s="65">
        <f t="shared" si="53"/>
        <v>223.63433667781493</v>
      </c>
      <c r="H136" s="77">
        <v>2.638235294117647</v>
      </c>
      <c r="I136" s="71">
        <f t="shared" si="55"/>
        <v>1.1186440677966101</v>
      </c>
      <c r="J136" s="298"/>
      <c r="K136" s="302"/>
      <c r="L136" s="21">
        <v>590</v>
      </c>
      <c r="M136" s="21">
        <v>660</v>
      </c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</row>
    <row r="137" spans="1:23" s="26" customFormat="1" ht="30" customHeight="1" x14ac:dyDescent="0.2">
      <c r="A137" s="106" t="s">
        <v>1683</v>
      </c>
      <c r="B137" s="120" t="s">
        <v>1353</v>
      </c>
      <c r="C137" s="21" t="s">
        <v>1</v>
      </c>
      <c r="D137" s="22">
        <v>1</v>
      </c>
      <c r="E137" s="51">
        <f t="shared" si="52"/>
        <v>17.938583155974463</v>
      </c>
      <c r="F137" s="23">
        <f t="shared" si="54"/>
        <v>5.5745762711864398E-2</v>
      </c>
      <c r="G137" s="65">
        <f t="shared" si="53"/>
        <v>197.32441471571909</v>
      </c>
      <c r="H137" s="77">
        <v>2.9899999999999998</v>
      </c>
      <c r="I137" s="71">
        <f t="shared" si="55"/>
        <v>1.1186440677966101</v>
      </c>
      <c r="J137" s="298"/>
      <c r="K137" s="302"/>
      <c r="L137" s="21">
        <v>590</v>
      </c>
      <c r="M137" s="21">
        <v>660</v>
      </c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</row>
    <row r="138" spans="1:23" s="26" customFormat="1" ht="30" customHeight="1" x14ac:dyDescent="0.2">
      <c r="A138" s="106" t="s">
        <v>1684</v>
      </c>
      <c r="B138" s="120" t="s">
        <v>1354</v>
      </c>
      <c r="C138" s="21" t="s">
        <v>1</v>
      </c>
      <c r="D138" s="22">
        <v>1</v>
      </c>
      <c r="E138" s="51">
        <f t="shared" si="52"/>
        <v>14.350866524779571</v>
      </c>
      <c r="F138" s="23">
        <f t="shared" si="54"/>
        <v>6.9682203389830499E-2</v>
      </c>
      <c r="G138" s="65">
        <f t="shared" si="53"/>
        <v>157.85953177257528</v>
      </c>
      <c r="H138" s="77">
        <v>3.7374999999999994</v>
      </c>
      <c r="I138" s="71">
        <f t="shared" si="55"/>
        <v>1.1186440677966101</v>
      </c>
      <c r="J138" s="298"/>
      <c r="K138" s="302"/>
      <c r="L138" s="21">
        <v>590</v>
      </c>
      <c r="M138" s="21">
        <v>660</v>
      </c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</row>
    <row r="139" spans="1:23" s="26" customFormat="1" ht="30" customHeight="1" x14ac:dyDescent="0.2">
      <c r="A139" s="106" t="s">
        <v>1685</v>
      </c>
      <c r="B139" s="120" t="s">
        <v>1355</v>
      </c>
      <c r="C139" s="21" t="s">
        <v>1</v>
      </c>
      <c r="D139" s="22">
        <v>1</v>
      </c>
      <c r="E139" s="51">
        <f t="shared" si="52"/>
        <v>15.247795682578293</v>
      </c>
      <c r="F139" s="23">
        <f t="shared" si="54"/>
        <v>6.558325024925224E-2</v>
      </c>
      <c r="G139" s="65">
        <f t="shared" si="53"/>
        <v>167.72575250836121</v>
      </c>
      <c r="H139" s="77">
        <v>3.5176470588235293</v>
      </c>
      <c r="I139" s="71">
        <f t="shared" si="55"/>
        <v>1.1186440677966101</v>
      </c>
      <c r="J139" s="298"/>
      <c r="K139" s="302"/>
      <c r="L139" s="291">
        <v>590</v>
      </c>
      <c r="M139" s="21">
        <v>660</v>
      </c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</row>
    <row r="140" spans="1:23" s="26" customFormat="1" ht="30" customHeight="1" x14ac:dyDescent="0.2">
      <c r="A140" s="106" t="s">
        <v>1686</v>
      </c>
      <c r="B140" s="120" t="s">
        <v>1356</v>
      </c>
      <c r="C140" s="21" t="s">
        <v>1</v>
      </c>
      <c r="D140" s="22">
        <v>1</v>
      </c>
      <c r="E140" s="51">
        <f t="shared" si="52"/>
        <v>11.959055437316307</v>
      </c>
      <c r="F140" s="23">
        <f t="shared" si="54"/>
        <v>8.3618644067796608E-2</v>
      </c>
      <c r="G140" s="65">
        <f t="shared" si="53"/>
        <v>131.54960981047938</v>
      </c>
      <c r="H140" s="77">
        <v>4.4849999999999994</v>
      </c>
      <c r="I140" s="71">
        <f t="shared" si="55"/>
        <v>1.1186440677966101</v>
      </c>
      <c r="J140" s="298"/>
      <c r="K140" s="302"/>
      <c r="L140" s="21">
        <v>590</v>
      </c>
      <c r="M140" s="21">
        <v>660</v>
      </c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</row>
    <row r="141" spans="1:23" s="26" customFormat="1" ht="30" customHeight="1" x14ac:dyDescent="0.2">
      <c r="A141" s="106" t="s">
        <v>1687</v>
      </c>
      <c r="B141" s="120" t="s">
        <v>1357</v>
      </c>
      <c r="C141" s="21" t="s">
        <v>1</v>
      </c>
      <c r="D141" s="22">
        <v>1</v>
      </c>
      <c r="E141" s="51">
        <f t="shared" si="52"/>
        <v>11.36110266545049</v>
      </c>
      <c r="F141" s="23">
        <f t="shared" si="54"/>
        <v>8.8019625334522747E-2</v>
      </c>
      <c r="G141" s="65">
        <f t="shared" si="53"/>
        <v>124.9721293199554</v>
      </c>
      <c r="H141" s="77">
        <v>4.7210526315789476</v>
      </c>
      <c r="I141" s="71">
        <f t="shared" si="55"/>
        <v>1.1186440677966101</v>
      </c>
      <c r="J141" s="298"/>
      <c r="K141" s="302"/>
      <c r="L141" s="21">
        <v>590</v>
      </c>
      <c r="M141" s="21">
        <v>660</v>
      </c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</row>
    <row r="142" spans="1:23" s="26" customFormat="1" ht="30" customHeight="1" x14ac:dyDescent="0.2">
      <c r="A142" s="106" t="s">
        <v>1688</v>
      </c>
      <c r="B142" s="120" t="s">
        <v>1358</v>
      </c>
      <c r="C142" s="21" t="s">
        <v>1</v>
      </c>
      <c r="D142" s="22">
        <v>1</v>
      </c>
      <c r="E142" s="51">
        <f t="shared" si="52"/>
        <v>10.16519712171886</v>
      </c>
      <c r="F142" s="23">
        <f t="shared" si="54"/>
        <v>9.8374875373878373E-2</v>
      </c>
      <c r="G142" s="65">
        <f t="shared" si="53"/>
        <v>111.81716833890746</v>
      </c>
      <c r="H142" s="77">
        <v>5.276470588235294</v>
      </c>
      <c r="I142" s="71">
        <f t="shared" si="55"/>
        <v>1.1186440677966101</v>
      </c>
      <c r="J142" s="298"/>
      <c r="K142" s="302"/>
      <c r="L142" s="21">
        <v>590</v>
      </c>
      <c r="M142" s="21">
        <v>660</v>
      </c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</row>
    <row r="143" spans="1:23" s="26" customFormat="1" ht="30" customHeight="1" x14ac:dyDescent="0.2">
      <c r="A143" s="106" t="s">
        <v>1689</v>
      </c>
      <c r="B143" s="120" t="s">
        <v>1359</v>
      </c>
      <c r="C143" s="21" t="s">
        <v>1</v>
      </c>
      <c r="D143" s="22">
        <v>1</v>
      </c>
      <c r="E143" s="51">
        <f t="shared" si="52"/>
        <v>9.2916254940711482</v>
      </c>
      <c r="F143" s="23">
        <f t="shared" si="54"/>
        <v>0.10762379528082418</v>
      </c>
      <c r="G143" s="65">
        <f t="shared" si="53"/>
        <v>102.20788043478262</v>
      </c>
      <c r="H143" s="77">
        <v>5.7725490196078422</v>
      </c>
      <c r="I143" s="71">
        <f t="shared" si="55"/>
        <v>1.1186440677966101</v>
      </c>
      <c r="J143" s="298"/>
      <c r="K143" s="302"/>
      <c r="L143" s="21">
        <v>590</v>
      </c>
      <c r="M143" s="21">
        <v>660</v>
      </c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</row>
    <row r="144" spans="1:23" s="26" customFormat="1" ht="30" customHeight="1" x14ac:dyDescent="0.2">
      <c r="A144" s="106" t="s">
        <v>1690</v>
      </c>
      <c r="B144" s="115" t="s">
        <v>1382</v>
      </c>
      <c r="C144" s="59" t="s">
        <v>1</v>
      </c>
      <c r="D144" s="22">
        <v>1</v>
      </c>
      <c r="E144" s="51">
        <f t="shared" si="52"/>
        <v>8.2517482517482517</v>
      </c>
      <c r="F144" s="23">
        <f t="shared" si="54"/>
        <v>0.12118644067796609</v>
      </c>
      <c r="G144" s="65">
        <f>L144/H144</f>
        <v>90.769230769230774</v>
      </c>
      <c r="H144" s="101">
        <v>6.5</v>
      </c>
      <c r="I144" s="71">
        <f t="shared" ref="I144:I146" si="56">M144/L144</f>
        <v>1.1186440677966101</v>
      </c>
      <c r="J144" s="298"/>
      <c r="K144" s="302"/>
      <c r="L144" s="21">
        <v>590</v>
      </c>
      <c r="M144" s="21">
        <v>660</v>
      </c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</row>
    <row r="145" spans="1:23" s="26" customFormat="1" ht="30" customHeight="1" x14ac:dyDescent="0.2">
      <c r="A145" s="106" t="s">
        <v>1691</v>
      </c>
      <c r="B145" s="115" t="s">
        <v>1383</v>
      </c>
      <c r="C145" s="21" t="s">
        <v>1</v>
      </c>
      <c r="D145" s="22">
        <v>1</v>
      </c>
      <c r="E145" s="51">
        <f t="shared" si="52"/>
        <v>5.9595959595959593</v>
      </c>
      <c r="F145" s="23">
        <f t="shared" si="54"/>
        <v>0.16779661016949152</v>
      </c>
      <c r="G145" s="65">
        <f t="shared" si="53"/>
        <v>65.555555555555557</v>
      </c>
      <c r="H145" s="101">
        <v>9</v>
      </c>
      <c r="I145" s="71">
        <f t="shared" si="56"/>
        <v>1.1186440677966101</v>
      </c>
      <c r="J145" s="298"/>
      <c r="K145" s="302"/>
      <c r="L145" s="21">
        <v>590</v>
      </c>
      <c r="M145" s="21">
        <v>660</v>
      </c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</row>
    <row r="146" spans="1:23" s="26" customFormat="1" ht="30" customHeight="1" x14ac:dyDescent="0.2">
      <c r="A146" s="106" t="s">
        <v>1692</v>
      </c>
      <c r="B146" s="115" t="s">
        <v>1384</v>
      </c>
      <c r="C146" s="21" t="s">
        <v>1</v>
      </c>
      <c r="D146" s="22">
        <v>1</v>
      </c>
      <c r="E146" s="51">
        <f t="shared" si="52"/>
        <v>3.6674436674436675</v>
      </c>
      <c r="F146" s="23">
        <f t="shared" si="54"/>
        <v>0.27266949152542375</v>
      </c>
      <c r="G146" s="65">
        <f t="shared" si="53"/>
        <v>40.341880341880341</v>
      </c>
      <c r="H146" s="101">
        <v>14.625</v>
      </c>
      <c r="I146" s="71">
        <f t="shared" si="56"/>
        <v>1.1186440677966101</v>
      </c>
      <c r="J146" s="298"/>
      <c r="K146" s="302"/>
      <c r="L146" s="21">
        <v>590</v>
      </c>
      <c r="M146" s="21">
        <v>660</v>
      </c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</row>
    <row r="147" spans="1:23" s="26" customFormat="1" ht="30" customHeight="1" x14ac:dyDescent="0.2">
      <c r="A147" s="106" t="s">
        <v>1693</v>
      </c>
      <c r="B147" s="120" t="s">
        <v>1360</v>
      </c>
      <c r="C147" s="21" t="s">
        <v>1</v>
      </c>
      <c r="D147" s="22">
        <v>1</v>
      </c>
      <c r="E147" s="51">
        <f t="shared" si="52"/>
        <v>25.305361305361306</v>
      </c>
      <c r="F147" s="23">
        <f t="shared" si="54"/>
        <v>3.9517317612380247E-2</v>
      </c>
      <c r="G147" s="65">
        <f t="shared" si="53"/>
        <v>278.35897435897436</v>
      </c>
      <c r="H147" s="77">
        <v>2.1195652173913042</v>
      </c>
      <c r="I147" s="71">
        <f t="shared" ref="I147:I171" si="57">M147/L147</f>
        <v>1.1186440677966101</v>
      </c>
      <c r="J147" s="298"/>
      <c r="K147" s="302"/>
      <c r="L147" s="21">
        <v>590</v>
      </c>
      <c r="M147" s="21">
        <v>660</v>
      </c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</row>
    <row r="148" spans="1:23" s="26" customFormat="1" ht="30" customHeight="1" x14ac:dyDescent="0.2">
      <c r="A148" s="106" t="s">
        <v>1694</v>
      </c>
      <c r="B148" s="120" t="s">
        <v>1361</v>
      </c>
      <c r="C148" s="21" t="s">
        <v>1</v>
      </c>
      <c r="D148" s="22">
        <v>1</v>
      </c>
      <c r="E148" s="51">
        <f t="shared" si="52"/>
        <v>23.655011655011652</v>
      </c>
      <c r="F148" s="23">
        <f t="shared" si="54"/>
        <v>4.2274339771383528E-2</v>
      </c>
      <c r="G148" s="65">
        <f t="shared" si="53"/>
        <v>260.20512820512818</v>
      </c>
      <c r="H148" s="77">
        <v>2.2674418604651163</v>
      </c>
      <c r="I148" s="71">
        <f t="shared" si="57"/>
        <v>1.1186440677966101</v>
      </c>
      <c r="J148" s="298"/>
      <c r="K148" s="302"/>
      <c r="L148" s="21">
        <v>590</v>
      </c>
      <c r="M148" s="21">
        <v>660</v>
      </c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</row>
    <row r="149" spans="1:23" s="26" customFormat="1" ht="30" customHeight="1" x14ac:dyDescent="0.2">
      <c r="A149" s="106" t="s">
        <v>1695</v>
      </c>
      <c r="B149" s="120" t="s">
        <v>1362</v>
      </c>
      <c r="C149" s="21" t="s">
        <v>1</v>
      </c>
      <c r="D149" s="22">
        <v>1</v>
      </c>
      <c r="E149" s="51">
        <f t="shared" si="52"/>
        <v>22.004662004662006</v>
      </c>
      <c r="F149" s="23">
        <f t="shared" si="54"/>
        <v>4.5444915254237286E-2</v>
      </c>
      <c r="G149" s="65">
        <f t="shared" si="53"/>
        <v>242.05128205128204</v>
      </c>
      <c r="H149" s="77">
        <v>2.4375</v>
      </c>
      <c r="I149" s="71">
        <f t="shared" si="57"/>
        <v>1.1186440677966101</v>
      </c>
      <c r="J149" s="298"/>
      <c r="K149" s="302"/>
      <c r="L149" s="21">
        <v>590</v>
      </c>
      <c r="M149" s="21">
        <v>660</v>
      </c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</row>
    <row r="150" spans="1:23" s="26" customFormat="1" ht="30" customHeight="1" x14ac:dyDescent="0.2">
      <c r="A150" s="106" t="s">
        <v>1696</v>
      </c>
      <c r="B150" s="120" t="s">
        <v>1363</v>
      </c>
      <c r="C150" s="21" t="s">
        <v>1</v>
      </c>
      <c r="D150" s="22">
        <v>1</v>
      </c>
      <c r="E150" s="51">
        <f t="shared" si="52"/>
        <v>20.079254079254078</v>
      </c>
      <c r="F150" s="23">
        <f t="shared" si="54"/>
        <v>4.9802646853958674E-2</v>
      </c>
      <c r="G150" s="65">
        <f t="shared" si="53"/>
        <v>220.87179487179486</v>
      </c>
      <c r="H150" s="77">
        <v>2.6712328767123288</v>
      </c>
      <c r="I150" s="71">
        <f t="shared" si="57"/>
        <v>1.1186440677966101</v>
      </c>
      <c r="J150" s="298"/>
      <c r="K150" s="302"/>
      <c r="L150" s="21">
        <v>590</v>
      </c>
      <c r="M150" s="21">
        <v>660</v>
      </c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</row>
    <row r="151" spans="1:23" s="26" customFormat="1" ht="30" customHeight="1" x14ac:dyDescent="0.2">
      <c r="A151" s="106" t="s">
        <v>1697</v>
      </c>
      <c r="B151" s="120" t="s">
        <v>1364</v>
      </c>
      <c r="C151" s="21" t="s">
        <v>1</v>
      </c>
      <c r="D151" s="22">
        <v>1</v>
      </c>
      <c r="E151" s="51">
        <f t="shared" si="52"/>
        <v>18.703962703962706</v>
      </c>
      <c r="F151" s="23">
        <f t="shared" si="54"/>
        <v>5.3464606181455633E-2</v>
      </c>
      <c r="G151" s="65">
        <f t="shared" si="53"/>
        <v>205.74358974358975</v>
      </c>
      <c r="H151" s="77">
        <v>2.8676470588235294</v>
      </c>
      <c r="I151" s="71">
        <f t="shared" si="57"/>
        <v>1.1186440677966101</v>
      </c>
      <c r="J151" s="298"/>
      <c r="K151" s="302"/>
      <c r="L151" s="21">
        <v>590</v>
      </c>
      <c r="M151" s="21">
        <v>660</v>
      </c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</row>
    <row r="152" spans="1:23" s="26" customFormat="1" ht="30" customHeight="1" x14ac:dyDescent="0.2">
      <c r="A152" s="106" t="s">
        <v>1698</v>
      </c>
      <c r="B152" s="120" t="s">
        <v>1365</v>
      </c>
      <c r="C152" s="21" t="s">
        <v>1</v>
      </c>
      <c r="D152" s="22">
        <v>1</v>
      </c>
      <c r="E152" s="51">
        <f t="shared" si="52"/>
        <v>16.503496503496503</v>
      </c>
      <c r="F152" s="23">
        <f t="shared" si="54"/>
        <v>6.0593220338983046E-2</v>
      </c>
      <c r="G152" s="65">
        <f t="shared" si="53"/>
        <v>181.53846153846155</v>
      </c>
      <c r="H152" s="77">
        <v>3.25</v>
      </c>
      <c r="I152" s="71">
        <f t="shared" si="57"/>
        <v>1.1186440677966101</v>
      </c>
      <c r="J152" s="298"/>
      <c r="K152" s="302"/>
      <c r="L152" s="21">
        <v>590</v>
      </c>
      <c r="M152" s="21">
        <v>660</v>
      </c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</row>
    <row r="153" spans="1:23" s="26" customFormat="1" ht="30" customHeight="1" x14ac:dyDescent="0.2">
      <c r="A153" s="106" t="s">
        <v>1699</v>
      </c>
      <c r="B153" s="120" t="s">
        <v>1366</v>
      </c>
      <c r="C153" s="21" t="s">
        <v>1</v>
      </c>
      <c r="D153" s="22">
        <v>1</v>
      </c>
      <c r="E153" s="51">
        <f t="shared" si="52"/>
        <v>13.202797202797202</v>
      </c>
      <c r="F153" s="23">
        <f t="shared" si="54"/>
        <v>7.574152542372882E-2</v>
      </c>
      <c r="G153" s="65">
        <f t="shared" si="53"/>
        <v>145.23076923076923</v>
      </c>
      <c r="H153" s="77">
        <v>4.0625</v>
      </c>
      <c r="I153" s="71">
        <f t="shared" si="57"/>
        <v>1.1186440677966101</v>
      </c>
      <c r="J153" s="298"/>
      <c r="K153" s="302"/>
      <c r="L153" s="21">
        <v>590</v>
      </c>
      <c r="M153" s="21">
        <v>660</v>
      </c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</row>
    <row r="154" spans="1:23" s="26" customFormat="1" ht="30" customHeight="1" x14ac:dyDescent="0.2">
      <c r="A154" s="106" t="s">
        <v>1700</v>
      </c>
      <c r="B154" s="120" t="s">
        <v>1367</v>
      </c>
      <c r="C154" s="21" t="s">
        <v>1</v>
      </c>
      <c r="D154" s="22">
        <v>1</v>
      </c>
      <c r="E154" s="51">
        <f t="shared" si="52"/>
        <v>11.002331002331003</v>
      </c>
      <c r="F154" s="23">
        <f t="shared" si="54"/>
        <v>9.0889830508474573E-2</v>
      </c>
      <c r="G154" s="65">
        <f t="shared" si="53"/>
        <v>121.02564102564102</v>
      </c>
      <c r="H154" s="77">
        <v>4.875</v>
      </c>
      <c r="I154" s="71">
        <f t="shared" si="57"/>
        <v>1.1186440677966101</v>
      </c>
      <c r="J154" s="298"/>
      <c r="K154" s="302"/>
      <c r="L154" s="21">
        <v>590</v>
      </c>
      <c r="M154" s="21">
        <v>660</v>
      </c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</row>
    <row r="155" spans="1:23" s="26" customFormat="1" ht="30" customHeight="1" x14ac:dyDescent="0.2">
      <c r="A155" s="106" t="s">
        <v>1701</v>
      </c>
      <c r="B155" s="120" t="s">
        <v>1368</v>
      </c>
      <c r="C155" s="21" t="s">
        <v>1</v>
      </c>
      <c r="D155" s="22">
        <v>1</v>
      </c>
      <c r="E155" s="51">
        <f t="shared" si="52"/>
        <v>10.45221445221445</v>
      </c>
      <c r="F155" s="23">
        <f t="shared" si="54"/>
        <v>9.5673505798394301E-2</v>
      </c>
      <c r="G155" s="65">
        <f t="shared" si="53"/>
        <v>114.97435897435896</v>
      </c>
      <c r="H155" s="77">
        <v>5.1315789473684212</v>
      </c>
      <c r="I155" s="71">
        <f t="shared" si="57"/>
        <v>1.1186440677966101</v>
      </c>
      <c r="J155" s="298"/>
      <c r="K155" s="302"/>
      <c r="L155" s="21">
        <v>590</v>
      </c>
      <c r="M155" s="21">
        <v>660</v>
      </c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</row>
    <row r="156" spans="1:23" s="26" customFormat="1" ht="30" customHeight="1" x14ac:dyDescent="0.2">
      <c r="A156" s="106" t="s">
        <v>1702</v>
      </c>
      <c r="B156" s="120" t="s">
        <v>1369</v>
      </c>
      <c r="C156" s="21" t="s">
        <v>1</v>
      </c>
      <c r="D156" s="22">
        <v>1</v>
      </c>
      <c r="E156" s="51">
        <f t="shared" si="52"/>
        <v>9.3519813519813528</v>
      </c>
      <c r="F156" s="23">
        <f t="shared" si="54"/>
        <v>0.10692921236291127</v>
      </c>
      <c r="G156" s="65">
        <f t="shared" si="53"/>
        <v>102.87179487179488</v>
      </c>
      <c r="H156" s="77">
        <v>5.7352941176470589</v>
      </c>
      <c r="I156" s="71">
        <f t="shared" si="57"/>
        <v>1.1186440677966101</v>
      </c>
      <c r="J156" s="298"/>
      <c r="K156" s="302"/>
      <c r="L156" s="21">
        <v>590</v>
      </c>
      <c r="M156" s="21">
        <v>660</v>
      </c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</row>
    <row r="157" spans="1:23" s="26" customFormat="1" ht="30" customHeight="1" x14ac:dyDescent="0.2">
      <c r="A157" s="106" t="s">
        <v>1703</v>
      </c>
      <c r="B157" s="120" t="s">
        <v>1370</v>
      </c>
      <c r="C157" s="21" t="s">
        <v>1</v>
      </c>
      <c r="D157" s="22">
        <v>1</v>
      </c>
      <c r="E157" s="51">
        <f t="shared" si="52"/>
        <v>8.548295454545455</v>
      </c>
      <c r="F157" s="23">
        <f t="shared" si="54"/>
        <v>0.11698238617480891</v>
      </c>
      <c r="G157" s="65">
        <f t="shared" si="53"/>
        <v>94.03125</v>
      </c>
      <c r="H157" s="77">
        <v>6.2745098039215685</v>
      </c>
      <c r="I157" s="71">
        <f t="shared" si="57"/>
        <v>1.1186440677966101</v>
      </c>
      <c r="J157" s="298"/>
      <c r="K157" s="302"/>
      <c r="L157" s="21">
        <v>590</v>
      </c>
      <c r="M157" s="21">
        <v>660</v>
      </c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</row>
    <row r="158" spans="1:23" s="26" customFormat="1" ht="30" customHeight="1" x14ac:dyDescent="0.2">
      <c r="A158" s="106" t="s">
        <v>1704</v>
      </c>
      <c r="B158" s="120" t="s">
        <v>1371</v>
      </c>
      <c r="C158" s="21" t="s">
        <v>1</v>
      </c>
      <c r="D158" s="22">
        <v>1</v>
      </c>
      <c r="E158" s="51">
        <f t="shared" si="52"/>
        <v>21.087801087801086</v>
      </c>
      <c r="F158" s="23">
        <f t="shared" si="54"/>
        <v>4.7420781134856302E-2</v>
      </c>
      <c r="G158" s="65">
        <f t="shared" si="53"/>
        <v>231.96581196581195</v>
      </c>
      <c r="H158" s="77">
        <v>2.5434782608695654</v>
      </c>
      <c r="I158" s="71">
        <f t="shared" si="57"/>
        <v>1.1186440677966101</v>
      </c>
      <c r="J158" s="298"/>
      <c r="K158" s="302"/>
      <c r="L158" s="21">
        <v>590</v>
      </c>
      <c r="M158" s="21">
        <v>660</v>
      </c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</row>
    <row r="159" spans="1:23" s="26" customFormat="1" ht="30" customHeight="1" x14ac:dyDescent="0.2">
      <c r="A159" s="106" t="s">
        <v>1705</v>
      </c>
      <c r="B159" s="120" t="s">
        <v>1372</v>
      </c>
      <c r="C159" s="21" t="s">
        <v>1</v>
      </c>
      <c r="D159" s="22">
        <v>1</v>
      </c>
      <c r="E159" s="51">
        <f t="shared" si="52"/>
        <v>19.712509712509714</v>
      </c>
      <c r="F159" s="23">
        <f t="shared" si="54"/>
        <v>5.0729207725660225E-2</v>
      </c>
      <c r="G159" s="65">
        <f t="shared" si="53"/>
        <v>216.83760683760684</v>
      </c>
      <c r="H159" s="77">
        <v>2.7209302325581395</v>
      </c>
      <c r="I159" s="71">
        <f t="shared" si="57"/>
        <v>1.1186440677966101</v>
      </c>
      <c r="J159" s="298"/>
      <c r="K159" s="302"/>
      <c r="L159" s="21">
        <v>590</v>
      </c>
      <c r="M159" s="21">
        <v>660</v>
      </c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</row>
    <row r="160" spans="1:23" s="26" customFormat="1" ht="30" customHeight="1" x14ac:dyDescent="0.2">
      <c r="A160" s="106" t="s">
        <v>1706</v>
      </c>
      <c r="B160" s="120" t="s">
        <v>1373</v>
      </c>
      <c r="C160" s="21" t="s">
        <v>1</v>
      </c>
      <c r="D160" s="22">
        <v>1</v>
      </c>
      <c r="E160" s="51">
        <f t="shared" si="52"/>
        <v>18.337218337218339</v>
      </c>
      <c r="F160" s="23">
        <f t="shared" si="54"/>
        <v>5.453389830508474E-2</v>
      </c>
      <c r="G160" s="65">
        <f t="shared" si="53"/>
        <v>201.70940170940173</v>
      </c>
      <c r="H160" s="77">
        <v>2.9249999999999998</v>
      </c>
      <c r="I160" s="71">
        <f t="shared" si="57"/>
        <v>1.1186440677966101</v>
      </c>
      <c r="J160" s="298"/>
      <c r="K160" s="302"/>
      <c r="L160" s="21">
        <v>590</v>
      </c>
      <c r="M160" s="21">
        <v>660</v>
      </c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</row>
    <row r="161" spans="1:23" s="26" customFormat="1" ht="30" customHeight="1" x14ac:dyDescent="0.2">
      <c r="A161" s="106" t="s">
        <v>1707</v>
      </c>
      <c r="B161" s="120" t="s">
        <v>1374</v>
      </c>
      <c r="C161" s="21" t="s">
        <v>1</v>
      </c>
      <c r="D161" s="22">
        <v>1</v>
      </c>
      <c r="E161" s="51">
        <f t="shared" si="52"/>
        <v>16.732711732711735</v>
      </c>
      <c r="F161" s="23">
        <f>11/G161</f>
        <v>5.97631762247504E-2</v>
      </c>
      <c r="G161" s="65">
        <f t="shared" si="53"/>
        <v>184.05982905982907</v>
      </c>
      <c r="H161" s="77">
        <v>3.2054794520547945</v>
      </c>
      <c r="I161" s="71">
        <f t="shared" si="57"/>
        <v>1.1186440677966101</v>
      </c>
      <c r="J161" s="298"/>
      <c r="K161" s="302"/>
      <c r="L161" s="21">
        <v>590</v>
      </c>
      <c r="M161" s="21">
        <v>660</v>
      </c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</row>
    <row r="162" spans="1:23" s="26" customFormat="1" ht="30" customHeight="1" x14ac:dyDescent="0.2">
      <c r="A162" s="106" t="s">
        <v>1708</v>
      </c>
      <c r="B162" s="120" t="s">
        <v>1375</v>
      </c>
      <c r="C162" s="21" t="s">
        <v>1</v>
      </c>
      <c r="D162" s="22">
        <v>1</v>
      </c>
      <c r="E162" s="51">
        <f t="shared" si="52"/>
        <v>15.586635586635587</v>
      </c>
      <c r="F162" s="23">
        <f t="shared" si="54"/>
        <v>6.415752741774676E-2</v>
      </c>
      <c r="G162" s="65">
        <f t="shared" si="53"/>
        <v>171.45299145299145</v>
      </c>
      <c r="H162" s="77">
        <v>3.4411764705882355</v>
      </c>
      <c r="I162" s="71">
        <f t="shared" si="57"/>
        <v>1.1186440677966101</v>
      </c>
      <c r="J162" s="298"/>
      <c r="K162" s="302"/>
      <c r="L162" s="21">
        <v>590</v>
      </c>
      <c r="M162" s="21">
        <v>660</v>
      </c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</row>
    <row r="163" spans="1:23" s="26" customFormat="1" ht="30" customHeight="1" x14ac:dyDescent="0.2">
      <c r="A163" s="106" t="s">
        <v>1709</v>
      </c>
      <c r="B163" s="120" t="s">
        <v>1376</v>
      </c>
      <c r="C163" s="21" t="s">
        <v>1</v>
      </c>
      <c r="D163" s="22">
        <v>1</v>
      </c>
      <c r="E163" s="51">
        <f t="shared" si="52"/>
        <v>13.752913752913754</v>
      </c>
      <c r="F163" s="23">
        <f t="shared" si="54"/>
        <v>7.2711864406779653E-2</v>
      </c>
      <c r="G163" s="65">
        <f t="shared" si="53"/>
        <v>151.2820512820513</v>
      </c>
      <c r="H163" s="77">
        <v>3.9</v>
      </c>
      <c r="I163" s="71">
        <f t="shared" si="57"/>
        <v>1.1186440677966101</v>
      </c>
      <c r="J163" s="298"/>
      <c r="K163" s="302"/>
      <c r="L163" s="21">
        <v>590</v>
      </c>
      <c r="M163" s="21">
        <v>660</v>
      </c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</row>
    <row r="164" spans="1:23" s="26" customFormat="1" ht="30" customHeight="1" x14ac:dyDescent="0.2">
      <c r="A164" s="106" t="s">
        <v>1710</v>
      </c>
      <c r="B164" s="120" t="s">
        <v>1377</v>
      </c>
      <c r="C164" s="21" t="s">
        <v>1</v>
      </c>
      <c r="D164" s="22">
        <v>1</v>
      </c>
      <c r="E164" s="51">
        <f t="shared" si="52"/>
        <v>11.002331002331003</v>
      </c>
      <c r="F164" s="23">
        <f t="shared" si="54"/>
        <v>9.0889830508474573E-2</v>
      </c>
      <c r="G164" s="65">
        <f t="shared" si="53"/>
        <v>121.02564102564102</v>
      </c>
      <c r="H164" s="77">
        <v>4.875</v>
      </c>
      <c r="I164" s="71">
        <f t="shared" si="57"/>
        <v>1.1186440677966101</v>
      </c>
      <c r="J164" s="298"/>
      <c r="K164" s="302"/>
      <c r="L164" s="21">
        <v>590</v>
      </c>
      <c r="M164" s="21">
        <v>660</v>
      </c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</row>
    <row r="165" spans="1:23" s="26" customFormat="1" ht="30" customHeight="1" x14ac:dyDescent="0.2">
      <c r="A165" s="106" t="s">
        <v>1711</v>
      </c>
      <c r="B165" s="120" t="s">
        <v>1378</v>
      </c>
      <c r="C165" s="21" t="s">
        <v>1</v>
      </c>
      <c r="D165" s="22">
        <v>1</v>
      </c>
      <c r="E165" s="51">
        <f t="shared" si="52"/>
        <v>9.1686091686091693</v>
      </c>
      <c r="F165" s="23">
        <f t="shared" si="54"/>
        <v>0.10906779661016948</v>
      </c>
      <c r="G165" s="65">
        <f t="shared" si="53"/>
        <v>100.85470085470087</v>
      </c>
      <c r="H165" s="77">
        <v>5.85</v>
      </c>
      <c r="I165" s="71">
        <f t="shared" si="57"/>
        <v>1.1186440677966101</v>
      </c>
      <c r="J165" s="298"/>
      <c r="K165" s="302"/>
      <c r="L165" s="21">
        <v>590</v>
      </c>
      <c r="M165" s="21">
        <v>660</v>
      </c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</row>
    <row r="166" spans="1:23" s="26" customFormat="1" ht="30" customHeight="1" x14ac:dyDescent="0.2">
      <c r="A166" s="106" t="s">
        <v>1712</v>
      </c>
      <c r="B166" s="120" t="s">
        <v>1379</v>
      </c>
      <c r="C166" s="21" t="s">
        <v>1</v>
      </c>
      <c r="D166" s="22">
        <v>1</v>
      </c>
      <c r="E166" s="51">
        <f t="shared" si="52"/>
        <v>8.7101787101787096</v>
      </c>
      <c r="F166" s="23">
        <f t="shared" si="54"/>
        <v>0.11480820695807316</v>
      </c>
      <c r="G166" s="65">
        <f t="shared" si="53"/>
        <v>95.811965811965806</v>
      </c>
      <c r="H166" s="77">
        <v>6.1578947368421053</v>
      </c>
      <c r="I166" s="71">
        <f t="shared" si="57"/>
        <v>1.1186440677966101</v>
      </c>
      <c r="J166" s="298"/>
      <c r="K166" s="302"/>
      <c r="L166" s="21">
        <v>590</v>
      </c>
      <c r="M166" s="21">
        <v>660</v>
      </c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</row>
    <row r="167" spans="1:23" s="26" customFormat="1" ht="30" customHeight="1" x14ac:dyDescent="0.2">
      <c r="A167" s="106" t="s">
        <v>1713</v>
      </c>
      <c r="B167" s="120" t="s">
        <v>1380</v>
      </c>
      <c r="C167" s="21" t="s">
        <v>1</v>
      </c>
      <c r="D167" s="22">
        <v>1</v>
      </c>
      <c r="E167" s="51">
        <f t="shared" si="52"/>
        <v>7.7933177933177937</v>
      </c>
      <c r="F167" s="23">
        <f t="shared" si="54"/>
        <v>0.12831505483549352</v>
      </c>
      <c r="G167" s="65">
        <f t="shared" si="53"/>
        <v>85.726495726495727</v>
      </c>
      <c r="H167" s="77">
        <v>6.882352941176471</v>
      </c>
      <c r="I167" s="71">
        <f t="shared" si="57"/>
        <v>1.1186440677966101</v>
      </c>
      <c r="J167" s="298"/>
      <c r="K167" s="302"/>
      <c r="L167" s="21">
        <v>590</v>
      </c>
      <c r="M167" s="21">
        <v>660</v>
      </c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</row>
    <row r="168" spans="1:23" s="26" customFormat="1" ht="30" customHeight="1" x14ac:dyDescent="0.2">
      <c r="A168" s="106" t="s">
        <v>1714</v>
      </c>
      <c r="B168" s="120" t="s">
        <v>1381</v>
      </c>
      <c r="C168" s="21" t="s">
        <v>1</v>
      </c>
      <c r="D168" s="22">
        <v>1</v>
      </c>
      <c r="E168" s="51">
        <f t="shared" si="52"/>
        <v>7.1515151515151523</v>
      </c>
      <c r="F168" s="23">
        <f t="shared" si="54"/>
        <v>0.13983050847457626</v>
      </c>
      <c r="G168" s="65">
        <f t="shared" si="53"/>
        <v>78.666666666666671</v>
      </c>
      <c r="H168" s="77">
        <v>7.5</v>
      </c>
      <c r="I168" s="71">
        <f t="shared" si="57"/>
        <v>1.1186440677966101</v>
      </c>
      <c r="J168" s="298"/>
      <c r="K168" s="302"/>
      <c r="L168" s="21">
        <v>590</v>
      </c>
      <c r="M168" s="21">
        <v>660</v>
      </c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</row>
    <row r="169" spans="1:23" s="26" customFormat="1" ht="30" customHeight="1" x14ac:dyDescent="0.2">
      <c r="A169" s="106" t="s">
        <v>1715</v>
      </c>
      <c r="B169" s="115" t="s">
        <v>1385</v>
      </c>
      <c r="C169" s="21" t="s">
        <v>1</v>
      </c>
      <c r="D169" s="22">
        <v>1</v>
      </c>
      <c r="E169" s="51">
        <f t="shared" si="52"/>
        <v>6.6013986013986008</v>
      </c>
      <c r="F169" s="23">
        <f t="shared" si="54"/>
        <v>0.15148305084745764</v>
      </c>
      <c r="G169" s="65">
        <f t="shared" si="53"/>
        <v>72.615384615384613</v>
      </c>
      <c r="H169" s="101">
        <v>8.125</v>
      </c>
      <c r="I169" s="71">
        <f t="shared" si="57"/>
        <v>1.1186440677966101</v>
      </c>
      <c r="J169" s="298"/>
      <c r="K169" s="302"/>
      <c r="L169" s="21">
        <v>590</v>
      </c>
      <c r="M169" s="21">
        <v>660</v>
      </c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</row>
    <row r="170" spans="1:23" s="26" customFormat="1" ht="30" customHeight="1" x14ac:dyDescent="0.2">
      <c r="A170" s="106" t="s">
        <v>1716</v>
      </c>
      <c r="B170" s="115" t="s">
        <v>1386</v>
      </c>
      <c r="C170" s="21" t="s">
        <v>1</v>
      </c>
      <c r="D170" s="22">
        <v>1</v>
      </c>
      <c r="E170" s="51">
        <f t="shared" si="52"/>
        <v>4.5843045843045847</v>
      </c>
      <c r="F170" s="23">
        <f t="shared" si="54"/>
        <v>0.21813559322033896</v>
      </c>
      <c r="G170" s="65">
        <f t="shared" si="53"/>
        <v>50.427350427350433</v>
      </c>
      <c r="H170" s="101">
        <v>11.7</v>
      </c>
      <c r="I170" s="71">
        <f t="shared" si="57"/>
        <v>1.1186440677966101</v>
      </c>
      <c r="J170" s="298"/>
      <c r="K170" s="302"/>
      <c r="L170" s="21">
        <v>590</v>
      </c>
      <c r="M170" s="21">
        <v>660</v>
      </c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</row>
    <row r="171" spans="1:23" s="26" customFormat="1" ht="30" customHeight="1" x14ac:dyDescent="0.2">
      <c r="A171" s="106" t="s">
        <v>1717</v>
      </c>
      <c r="B171" s="115" t="s">
        <v>1387</v>
      </c>
      <c r="C171" s="21" t="s">
        <v>1</v>
      </c>
      <c r="D171" s="22">
        <v>1</v>
      </c>
      <c r="E171" s="51">
        <f>G171/11</f>
        <v>2.7505827505827507</v>
      </c>
      <c r="F171" s="23">
        <f>11/G171</f>
        <v>0.36355932203389829</v>
      </c>
      <c r="G171" s="65">
        <f>L171/H171</f>
        <v>30.256410256410255</v>
      </c>
      <c r="H171" s="101">
        <v>19.5</v>
      </c>
      <c r="I171" s="71">
        <f t="shared" si="57"/>
        <v>1.1186440677966101</v>
      </c>
      <c r="J171" s="298"/>
      <c r="K171" s="302"/>
      <c r="L171" s="21">
        <v>590</v>
      </c>
      <c r="M171" s="21">
        <v>660</v>
      </c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</row>
    <row r="172" spans="1:23" s="26" customFormat="1" ht="30" customHeight="1" x14ac:dyDescent="0.2">
      <c r="A172" s="106"/>
      <c r="B172" s="118" t="s">
        <v>1477</v>
      </c>
      <c r="C172" s="28"/>
      <c r="D172" s="28"/>
      <c r="E172" s="28"/>
      <c r="F172" s="28"/>
      <c r="G172" s="28"/>
      <c r="H172" s="225"/>
      <c r="I172" s="63"/>
      <c r="J172" s="298"/>
      <c r="K172" s="302"/>
      <c r="L172" s="63"/>
      <c r="M172" s="63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</row>
    <row r="173" spans="1:23" s="26" customFormat="1" ht="30" customHeight="1" x14ac:dyDescent="0.2">
      <c r="A173" s="106" t="s">
        <v>1718</v>
      </c>
      <c r="B173" s="115" t="s">
        <v>1405</v>
      </c>
      <c r="C173" s="21" t="s">
        <v>1</v>
      </c>
      <c r="D173" s="22">
        <v>1</v>
      </c>
      <c r="E173" s="51">
        <f t="shared" ref="E173:E196" si="58">G173/11</f>
        <v>124.73572938689217</v>
      </c>
      <c r="F173" s="298">
        <f>11/G173</f>
        <v>8.0169491525423735E-3</v>
      </c>
      <c r="G173" s="65">
        <f t="shared" si="53"/>
        <v>1372.0930232558139</v>
      </c>
      <c r="H173" s="79">
        <v>0.43</v>
      </c>
      <c r="I173" s="71">
        <f t="shared" ref="I173:I196" si="59">M173/L173</f>
        <v>1.1186440677966101</v>
      </c>
      <c r="J173" s="298"/>
      <c r="K173" s="302"/>
      <c r="L173" s="21">
        <v>590</v>
      </c>
      <c r="M173" s="21">
        <v>660</v>
      </c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</row>
    <row r="174" spans="1:23" s="26" customFormat="1" ht="30" customHeight="1" x14ac:dyDescent="0.2">
      <c r="A174" s="106" t="s">
        <v>1719</v>
      </c>
      <c r="B174" s="119" t="s">
        <v>1406</v>
      </c>
      <c r="C174" s="21" t="s">
        <v>1</v>
      </c>
      <c r="D174" s="22">
        <v>1</v>
      </c>
      <c r="E174" s="51">
        <f t="shared" si="58"/>
        <v>113.87412587412588</v>
      </c>
      <c r="F174" s="298">
        <f t="shared" ref="F174:F237" si="60">11/G174</f>
        <v>8.7816261360844985E-3</v>
      </c>
      <c r="G174" s="65">
        <f t="shared" si="53"/>
        <v>1252.6153846153848</v>
      </c>
      <c r="H174" s="79">
        <v>0.47101449275362317</v>
      </c>
      <c r="I174" s="71">
        <f t="shared" si="59"/>
        <v>1.1186440677966101</v>
      </c>
      <c r="J174" s="298"/>
      <c r="K174" s="302"/>
      <c r="L174" s="21">
        <v>590</v>
      </c>
      <c r="M174" s="21">
        <v>660</v>
      </c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</row>
    <row r="175" spans="1:23" s="26" customFormat="1" ht="30" customHeight="1" x14ac:dyDescent="0.2">
      <c r="A175" s="106" t="s">
        <v>1720</v>
      </c>
      <c r="B175" s="119" t="s">
        <v>1417</v>
      </c>
      <c r="C175" s="21" t="s">
        <v>1</v>
      </c>
      <c r="D175" s="22">
        <v>1</v>
      </c>
      <c r="E175" s="51">
        <f t="shared" si="58"/>
        <v>105.1693404634581</v>
      </c>
      <c r="F175" s="298">
        <f t="shared" si="60"/>
        <v>9.5084745762711864E-3</v>
      </c>
      <c r="G175" s="65">
        <f t="shared" si="53"/>
        <v>1156.8627450980391</v>
      </c>
      <c r="H175" s="79">
        <v>0.51</v>
      </c>
      <c r="I175" s="71">
        <f t="shared" si="59"/>
        <v>1.1186440677966101</v>
      </c>
      <c r="J175" s="298"/>
      <c r="K175" s="302"/>
      <c r="L175" s="21">
        <v>590</v>
      </c>
      <c r="M175" s="21">
        <v>660</v>
      </c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</row>
    <row r="176" spans="1:23" s="26" customFormat="1" ht="30" customHeight="1" x14ac:dyDescent="0.2">
      <c r="A176" s="106" t="s">
        <v>1721</v>
      </c>
      <c r="B176" s="119" t="s">
        <v>1409</v>
      </c>
      <c r="C176" s="21" t="s">
        <v>1</v>
      </c>
      <c r="D176" s="22">
        <v>1</v>
      </c>
      <c r="E176" s="51">
        <f t="shared" si="58"/>
        <v>97.52066115702479</v>
      </c>
      <c r="F176" s="298">
        <f t="shared" si="60"/>
        <v>1.0254237288135593E-2</v>
      </c>
      <c r="G176" s="65">
        <f t="shared" si="53"/>
        <v>1072.7272727272727</v>
      </c>
      <c r="H176" s="79">
        <v>0.55000000000000004</v>
      </c>
      <c r="I176" s="71">
        <f t="shared" si="59"/>
        <v>1.1186440677966101</v>
      </c>
      <c r="J176" s="298"/>
      <c r="K176" s="302"/>
      <c r="L176" s="21">
        <v>590</v>
      </c>
      <c r="M176" s="21">
        <v>660</v>
      </c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</row>
    <row r="177" spans="1:23" s="26" customFormat="1" ht="30" customHeight="1" x14ac:dyDescent="0.2">
      <c r="A177" s="106" t="s">
        <v>1722</v>
      </c>
      <c r="B177" s="115" t="s">
        <v>1418</v>
      </c>
      <c r="C177" s="21" t="s">
        <v>1</v>
      </c>
      <c r="D177" s="22">
        <v>1</v>
      </c>
      <c r="E177" s="51">
        <f t="shared" si="58"/>
        <v>105.1693404634581</v>
      </c>
      <c r="F177" s="298">
        <f t="shared" si="60"/>
        <v>9.5084745762711864E-3</v>
      </c>
      <c r="G177" s="65">
        <f t="shared" ref="G177:G196" si="61">L177/H177</f>
        <v>1156.8627450980391</v>
      </c>
      <c r="H177" s="79">
        <v>0.51</v>
      </c>
      <c r="I177" s="71">
        <f t="shared" si="59"/>
        <v>1.1186440677966101</v>
      </c>
      <c r="J177" s="298"/>
      <c r="K177" s="302"/>
      <c r="L177" s="21">
        <v>590</v>
      </c>
      <c r="M177" s="21">
        <v>660</v>
      </c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</row>
    <row r="178" spans="1:23" s="26" customFormat="1" ht="30" customHeight="1" x14ac:dyDescent="0.2">
      <c r="A178" s="106" t="s">
        <v>1723</v>
      </c>
      <c r="B178" s="119" t="s">
        <v>1428</v>
      </c>
      <c r="C178" s="21" t="s">
        <v>1</v>
      </c>
      <c r="D178" s="50">
        <v>1</v>
      </c>
      <c r="E178" s="51">
        <f t="shared" si="58"/>
        <v>90.755268420243041</v>
      </c>
      <c r="F178" s="298">
        <f t="shared" si="60"/>
        <v>1.101864406779661E-2</v>
      </c>
      <c r="G178" s="65">
        <f t="shared" si="61"/>
        <v>998.3079526226735</v>
      </c>
      <c r="H178" s="79">
        <v>0.59099999999999997</v>
      </c>
      <c r="I178" s="71">
        <f t="shared" si="59"/>
        <v>1.1186440677966101</v>
      </c>
      <c r="J178" s="298"/>
      <c r="K178" s="302"/>
      <c r="L178" s="21">
        <v>590</v>
      </c>
      <c r="M178" s="21">
        <v>660</v>
      </c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</row>
    <row r="179" spans="1:23" s="26" customFormat="1" ht="30" customHeight="1" x14ac:dyDescent="0.2">
      <c r="A179" s="106" t="s">
        <v>1724</v>
      </c>
      <c r="B179" s="119" t="s">
        <v>1407</v>
      </c>
      <c r="C179" s="21" t="s">
        <v>1</v>
      </c>
      <c r="D179" s="50">
        <v>1</v>
      </c>
      <c r="E179" s="51">
        <f t="shared" si="58"/>
        <v>90.755268420243041</v>
      </c>
      <c r="F179" s="298">
        <f t="shared" si="60"/>
        <v>1.101864406779661E-2</v>
      </c>
      <c r="G179" s="65">
        <f t="shared" si="61"/>
        <v>998.3079526226735</v>
      </c>
      <c r="H179" s="79">
        <v>0.59099999999999997</v>
      </c>
      <c r="I179" s="71">
        <f t="shared" si="59"/>
        <v>1.1186440677966101</v>
      </c>
      <c r="J179" s="298"/>
      <c r="K179" s="302"/>
      <c r="L179" s="21">
        <v>590</v>
      </c>
      <c r="M179" s="21">
        <v>660</v>
      </c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</row>
    <row r="180" spans="1:23" s="26" customFormat="1" ht="30" customHeight="1" x14ac:dyDescent="0.2">
      <c r="A180" s="106" t="s">
        <v>1725</v>
      </c>
      <c r="B180" s="119" t="s">
        <v>1408</v>
      </c>
      <c r="C180" s="21" t="s">
        <v>1</v>
      </c>
      <c r="D180" s="50">
        <v>1</v>
      </c>
      <c r="E180" s="51">
        <f t="shared" si="58"/>
        <v>90.755268420243041</v>
      </c>
      <c r="F180" s="298">
        <f t="shared" si="60"/>
        <v>1.101864406779661E-2</v>
      </c>
      <c r="G180" s="65">
        <f t="shared" si="61"/>
        <v>998.3079526226735</v>
      </c>
      <c r="H180" s="79">
        <v>0.59099999999999997</v>
      </c>
      <c r="I180" s="71">
        <f t="shared" si="59"/>
        <v>1.1186440677966101</v>
      </c>
      <c r="J180" s="298"/>
      <c r="K180" s="302"/>
      <c r="L180" s="21">
        <v>590</v>
      </c>
      <c r="M180" s="21">
        <v>660</v>
      </c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</row>
    <row r="181" spans="1:23" s="26" customFormat="1" ht="30" customHeight="1" x14ac:dyDescent="0.2">
      <c r="A181" s="106" t="s">
        <v>1726</v>
      </c>
      <c r="B181" s="119" t="s">
        <v>1410</v>
      </c>
      <c r="C181" s="21" t="s">
        <v>1</v>
      </c>
      <c r="D181" s="22">
        <v>1</v>
      </c>
      <c r="E181" s="51">
        <f t="shared" si="58"/>
        <v>87.38051282051282</v>
      </c>
      <c r="F181" s="298">
        <f t="shared" si="60"/>
        <v>1.1444199258181135E-2</v>
      </c>
      <c r="G181" s="65">
        <f t="shared" si="61"/>
        <v>961.18564102564108</v>
      </c>
      <c r="H181" s="79">
        <v>0.61382523293880631</v>
      </c>
      <c r="I181" s="71">
        <f t="shared" si="59"/>
        <v>1.1186440677966101</v>
      </c>
      <c r="J181" s="298"/>
      <c r="K181" s="302"/>
      <c r="L181" s="21">
        <v>590</v>
      </c>
      <c r="M181" s="21">
        <v>660</v>
      </c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</row>
    <row r="182" spans="1:23" s="26" customFormat="1" ht="30" customHeight="1" x14ac:dyDescent="0.2">
      <c r="A182" s="106" t="s">
        <v>1727</v>
      </c>
      <c r="B182" s="119" t="s">
        <v>1419</v>
      </c>
      <c r="C182" s="21" t="s">
        <v>1</v>
      </c>
      <c r="D182" s="22">
        <v>1</v>
      </c>
      <c r="E182" s="51">
        <f t="shared" si="58"/>
        <v>82.517482517482506</v>
      </c>
      <c r="F182" s="298">
        <f t="shared" si="60"/>
        <v>1.2118644067796613E-2</v>
      </c>
      <c r="G182" s="65">
        <f t="shared" si="61"/>
        <v>907.69230769230751</v>
      </c>
      <c r="H182" s="79">
        <v>0.65000000000000013</v>
      </c>
      <c r="I182" s="71">
        <f t="shared" si="59"/>
        <v>1.1186440677966101</v>
      </c>
      <c r="J182" s="298"/>
      <c r="K182" s="302"/>
      <c r="L182" s="21">
        <v>590</v>
      </c>
      <c r="M182" s="21">
        <v>660</v>
      </c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</row>
    <row r="183" spans="1:23" s="26" customFormat="1" ht="30" customHeight="1" x14ac:dyDescent="0.2">
      <c r="A183" s="106" t="s">
        <v>1728</v>
      </c>
      <c r="B183" s="119" t="s">
        <v>1420</v>
      </c>
      <c r="C183" s="21" t="s">
        <v>1</v>
      </c>
      <c r="D183" s="50">
        <v>1</v>
      </c>
      <c r="E183" s="51">
        <f t="shared" si="58"/>
        <v>81.571282051282054</v>
      </c>
      <c r="F183" s="298">
        <f t="shared" si="60"/>
        <v>1.2259216416033798E-2</v>
      </c>
      <c r="G183" s="65">
        <f t="shared" si="61"/>
        <v>897.28410256410257</v>
      </c>
      <c r="H183" s="79">
        <v>0.65753978958726733</v>
      </c>
      <c r="I183" s="71">
        <f t="shared" si="59"/>
        <v>1.1186440677966101</v>
      </c>
      <c r="J183" s="298"/>
      <c r="K183" s="302"/>
      <c r="L183" s="21">
        <v>590</v>
      </c>
      <c r="M183" s="21">
        <v>660</v>
      </c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</row>
    <row r="184" spans="1:23" s="26" customFormat="1" ht="30" customHeight="1" x14ac:dyDescent="0.2">
      <c r="A184" s="106" t="s">
        <v>1729</v>
      </c>
      <c r="B184" s="119" t="s">
        <v>1421</v>
      </c>
      <c r="C184" s="21" t="s">
        <v>1</v>
      </c>
      <c r="D184" s="22">
        <v>1</v>
      </c>
      <c r="E184" s="51">
        <f t="shared" si="58"/>
        <v>71.515151515151516</v>
      </c>
      <c r="F184" s="298">
        <f t="shared" si="60"/>
        <v>1.3983050847457627E-2</v>
      </c>
      <c r="G184" s="65">
        <f t="shared" si="61"/>
        <v>786.66666666666663</v>
      </c>
      <c r="H184" s="79">
        <v>0.75</v>
      </c>
      <c r="I184" s="71">
        <f t="shared" si="59"/>
        <v>1.1186440677966101</v>
      </c>
      <c r="J184" s="298"/>
      <c r="K184" s="302"/>
      <c r="L184" s="21">
        <v>590</v>
      </c>
      <c r="M184" s="21">
        <v>660</v>
      </c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</row>
    <row r="185" spans="1:23" s="26" customFormat="1" ht="30" customHeight="1" x14ac:dyDescent="0.2">
      <c r="A185" s="106" t="s">
        <v>1730</v>
      </c>
      <c r="B185" s="119" t="s">
        <v>1422</v>
      </c>
      <c r="C185" s="21" t="s">
        <v>1</v>
      </c>
      <c r="D185" s="22">
        <v>1</v>
      </c>
      <c r="E185" s="51">
        <f t="shared" si="58"/>
        <v>63.101604278074866</v>
      </c>
      <c r="F185" s="298">
        <f t="shared" si="60"/>
        <v>1.5847457627118644E-2</v>
      </c>
      <c r="G185" s="65">
        <f t="shared" si="61"/>
        <v>694.11764705882354</v>
      </c>
      <c r="H185" s="79">
        <v>0.85</v>
      </c>
      <c r="I185" s="71">
        <f t="shared" si="59"/>
        <v>1.1186440677966101</v>
      </c>
      <c r="J185" s="298"/>
      <c r="K185" s="302"/>
      <c r="L185" s="21">
        <v>590</v>
      </c>
      <c r="M185" s="21">
        <v>660</v>
      </c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</row>
    <row r="186" spans="1:23" s="26" customFormat="1" ht="30" customHeight="1" x14ac:dyDescent="0.2">
      <c r="A186" s="106" t="s">
        <v>1731</v>
      </c>
      <c r="B186" s="119" t="s">
        <v>1423</v>
      </c>
      <c r="C186" s="21" t="s">
        <v>1</v>
      </c>
      <c r="D186" s="22">
        <v>1</v>
      </c>
      <c r="E186" s="51">
        <f t="shared" si="58"/>
        <v>55.06666666666667</v>
      </c>
      <c r="F186" s="298">
        <f t="shared" si="60"/>
        <v>1.8159806295399514E-2</v>
      </c>
      <c r="G186" s="65">
        <f t="shared" si="61"/>
        <v>605.73333333333335</v>
      </c>
      <c r="H186" s="79">
        <v>0.97402597402597402</v>
      </c>
      <c r="I186" s="71">
        <f t="shared" si="59"/>
        <v>1.1186440677966101</v>
      </c>
      <c r="J186" s="298"/>
      <c r="K186" s="302"/>
      <c r="L186" s="21">
        <v>590</v>
      </c>
      <c r="M186" s="21">
        <v>660</v>
      </c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</row>
    <row r="187" spans="1:23" s="26" customFormat="1" ht="30" customHeight="1" x14ac:dyDescent="0.2">
      <c r="A187" s="106" t="s">
        <v>1732</v>
      </c>
      <c r="B187" s="119" t="s">
        <v>1424</v>
      </c>
      <c r="C187" s="21" t="s">
        <v>1</v>
      </c>
      <c r="D187" s="50">
        <v>1</v>
      </c>
      <c r="E187" s="51">
        <f t="shared" si="58"/>
        <v>51.55692307692307</v>
      </c>
      <c r="F187" s="298">
        <f t="shared" si="60"/>
        <v>1.9396037240391503E-2</v>
      </c>
      <c r="G187" s="65">
        <f t="shared" si="61"/>
        <v>567.12615384615378</v>
      </c>
      <c r="H187" s="79">
        <v>1.0403329065300897</v>
      </c>
      <c r="I187" s="71">
        <f t="shared" si="59"/>
        <v>1.1186440677966101</v>
      </c>
      <c r="J187" s="298"/>
      <c r="K187" s="302"/>
      <c r="L187" s="21">
        <v>590</v>
      </c>
      <c r="M187" s="21">
        <v>660</v>
      </c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</row>
    <row r="188" spans="1:23" s="26" customFormat="1" ht="30" customHeight="1" x14ac:dyDescent="0.2">
      <c r="A188" s="106" t="s">
        <v>1733</v>
      </c>
      <c r="B188" s="119" t="s">
        <v>1411</v>
      </c>
      <c r="C188" s="21" t="s">
        <v>1</v>
      </c>
      <c r="D188" s="50">
        <v>1</v>
      </c>
      <c r="E188" s="51">
        <f t="shared" si="58"/>
        <v>43.932307692307688</v>
      </c>
      <c r="F188" s="298">
        <f t="shared" si="60"/>
        <v>2.2762291637484243E-2</v>
      </c>
      <c r="G188" s="65">
        <f t="shared" si="61"/>
        <v>483.25538461538457</v>
      </c>
      <c r="H188" s="79">
        <v>1.220886551465064</v>
      </c>
      <c r="I188" s="71">
        <f t="shared" si="59"/>
        <v>1.1186440677966101</v>
      </c>
      <c r="J188" s="298"/>
      <c r="K188" s="302"/>
      <c r="L188" s="21">
        <v>590</v>
      </c>
      <c r="M188" s="21">
        <v>660</v>
      </c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</row>
    <row r="189" spans="1:23" s="26" customFormat="1" ht="30" customHeight="1" x14ac:dyDescent="0.2">
      <c r="A189" s="106" t="s">
        <v>1734</v>
      </c>
      <c r="B189" s="119" t="s">
        <v>1425</v>
      </c>
      <c r="C189" s="21" t="s">
        <v>1</v>
      </c>
      <c r="D189" s="22">
        <v>1</v>
      </c>
      <c r="E189" s="51">
        <f t="shared" si="58"/>
        <v>40.664615384615388</v>
      </c>
      <c r="F189" s="298">
        <f t="shared" si="60"/>
        <v>2.4591404358353507E-2</v>
      </c>
      <c r="G189" s="65">
        <f t="shared" si="61"/>
        <v>447.31076923076927</v>
      </c>
      <c r="H189" s="79">
        <v>1.3189935064935063</v>
      </c>
      <c r="I189" s="71">
        <f t="shared" si="59"/>
        <v>1.1186440677966101</v>
      </c>
      <c r="J189" s="298"/>
      <c r="K189" s="302"/>
      <c r="L189" s="21">
        <v>590</v>
      </c>
      <c r="M189" s="21">
        <v>660</v>
      </c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</row>
    <row r="190" spans="1:23" s="26" customFormat="1" ht="30" customHeight="1" x14ac:dyDescent="0.2">
      <c r="A190" s="106" t="s">
        <v>1735</v>
      </c>
      <c r="B190" s="119" t="s">
        <v>1412</v>
      </c>
      <c r="C190" s="21" t="s">
        <v>1</v>
      </c>
      <c r="D190" s="50">
        <v>1</v>
      </c>
      <c r="E190" s="51">
        <f t="shared" si="58"/>
        <v>36.065641025641021</v>
      </c>
      <c r="F190" s="298">
        <f t="shared" si="60"/>
        <v>2.7727221021499261E-2</v>
      </c>
      <c r="G190" s="65">
        <f t="shared" si="61"/>
        <v>396.72205128205127</v>
      </c>
      <c r="H190" s="79">
        <v>1.4871873093349604</v>
      </c>
      <c r="I190" s="71">
        <f t="shared" si="59"/>
        <v>1.1186440677966101</v>
      </c>
      <c r="J190" s="298"/>
      <c r="K190" s="302"/>
      <c r="L190" s="21">
        <v>590</v>
      </c>
      <c r="M190" s="21">
        <v>660</v>
      </c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</row>
    <row r="191" spans="1:23" s="26" customFormat="1" ht="30" customHeight="1" x14ac:dyDescent="0.2">
      <c r="A191" s="106" t="s">
        <v>1736</v>
      </c>
      <c r="B191" s="119" t="s">
        <v>1426</v>
      </c>
      <c r="C191" s="21" t="s">
        <v>1</v>
      </c>
      <c r="D191" s="22">
        <v>1</v>
      </c>
      <c r="E191" s="51">
        <f t="shared" si="58"/>
        <v>35.097435897435894</v>
      </c>
      <c r="F191" s="298">
        <f t="shared" si="60"/>
        <v>2.8492109877264762E-2</v>
      </c>
      <c r="G191" s="65">
        <f t="shared" si="61"/>
        <v>386.07179487179479</v>
      </c>
      <c r="H191" s="79">
        <v>1.5282131661442009</v>
      </c>
      <c r="I191" s="71">
        <f t="shared" si="59"/>
        <v>1.1186440677966101</v>
      </c>
      <c r="J191" s="298"/>
      <c r="K191" s="302"/>
      <c r="L191" s="21">
        <v>590</v>
      </c>
      <c r="M191" s="21">
        <v>660</v>
      </c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</row>
    <row r="192" spans="1:23" s="26" customFormat="1" ht="30" customHeight="1" x14ac:dyDescent="0.2">
      <c r="A192" s="106" t="s">
        <v>1737</v>
      </c>
      <c r="B192" s="119" t="s">
        <v>1427</v>
      </c>
      <c r="C192" s="21" t="s">
        <v>1</v>
      </c>
      <c r="D192" s="22">
        <v>1</v>
      </c>
      <c r="E192" s="51">
        <f t="shared" si="58"/>
        <v>29.355392156862784</v>
      </c>
      <c r="F192" s="298">
        <f t="shared" si="60"/>
        <v>3.4065291809301117E-2</v>
      </c>
      <c r="G192" s="302">
        <f t="shared" si="61"/>
        <v>322.90931372549062</v>
      </c>
      <c r="H192" s="79">
        <v>1.8271383788625144</v>
      </c>
      <c r="I192" s="71">
        <f t="shared" si="59"/>
        <v>1.1186440677966101</v>
      </c>
      <c r="J192" s="298"/>
      <c r="K192" s="302"/>
      <c r="L192" s="21">
        <v>590</v>
      </c>
      <c r="M192" s="21">
        <v>660</v>
      </c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</row>
    <row r="193" spans="1:23" s="26" customFormat="1" ht="30" customHeight="1" x14ac:dyDescent="0.2">
      <c r="A193" s="106" t="s">
        <v>1738</v>
      </c>
      <c r="B193" s="119" t="s">
        <v>1413</v>
      </c>
      <c r="C193" s="21" t="s">
        <v>1</v>
      </c>
      <c r="D193" s="22">
        <v>1</v>
      </c>
      <c r="E193" s="51">
        <f t="shared" si="58"/>
        <v>23.18181818181818</v>
      </c>
      <c r="F193" s="298">
        <f t="shared" si="60"/>
        <v>4.3137254901960791E-2</v>
      </c>
      <c r="G193" s="302">
        <f t="shared" si="61"/>
        <v>254.99999999999997</v>
      </c>
      <c r="H193" s="317">
        <v>2.3137254901960786</v>
      </c>
      <c r="I193" s="71">
        <f t="shared" si="59"/>
        <v>1.1186440677966101</v>
      </c>
      <c r="J193" s="298"/>
      <c r="K193" s="302"/>
      <c r="L193" s="21">
        <v>590</v>
      </c>
      <c r="M193" s="21">
        <v>660</v>
      </c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</row>
    <row r="194" spans="1:23" s="26" customFormat="1" ht="30" customHeight="1" x14ac:dyDescent="0.2">
      <c r="A194" s="106" t="s">
        <v>1739</v>
      </c>
      <c r="B194" s="119" t="s">
        <v>1414</v>
      </c>
      <c r="C194" s="21" t="s">
        <v>1</v>
      </c>
      <c r="D194" s="22">
        <v>1</v>
      </c>
      <c r="E194" s="51">
        <f t="shared" si="58"/>
        <v>20.90909090909091</v>
      </c>
      <c r="F194" s="298">
        <f t="shared" si="60"/>
        <v>4.7826086956521741E-2</v>
      </c>
      <c r="G194" s="302">
        <f t="shared" si="61"/>
        <v>230</v>
      </c>
      <c r="H194" s="317">
        <v>2.5652173913043477</v>
      </c>
      <c r="I194" s="71">
        <f t="shared" si="59"/>
        <v>1.1186440677966101</v>
      </c>
      <c r="J194" s="298"/>
      <c r="K194" s="302"/>
      <c r="L194" s="21">
        <v>590</v>
      </c>
      <c r="M194" s="21">
        <v>660</v>
      </c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</row>
    <row r="195" spans="1:23" s="26" customFormat="1" ht="30" customHeight="1" x14ac:dyDescent="0.2">
      <c r="A195" s="106" t="s">
        <v>1740</v>
      </c>
      <c r="B195" s="119" t="s">
        <v>1415</v>
      </c>
      <c r="C195" s="21" t="s">
        <v>1</v>
      </c>
      <c r="D195" s="22">
        <v>1</v>
      </c>
      <c r="E195" s="51">
        <f t="shared" si="58"/>
        <v>19.545454545454547</v>
      </c>
      <c r="F195" s="298">
        <f t="shared" si="60"/>
        <v>5.1162790697674418E-2</v>
      </c>
      <c r="G195" s="302">
        <f t="shared" si="61"/>
        <v>215</v>
      </c>
      <c r="H195" s="317">
        <v>2.7441860465116279</v>
      </c>
      <c r="I195" s="71">
        <f t="shared" si="59"/>
        <v>1.1186440677966101</v>
      </c>
      <c r="J195" s="298"/>
      <c r="K195" s="302"/>
      <c r="L195" s="21">
        <v>590</v>
      </c>
      <c r="M195" s="21">
        <v>660</v>
      </c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</row>
    <row r="196" spans="1:23" s="26" customFormat="1" ht="30" customHeight="1" x14ac:dyDescent="0.2">
      <c r="A196" s="106" t="s">
        <v>1741</v>
      </c>
      <c r="B196" s="119" t="s">
        <v>1416</v>
      </c>
      <c r="C196" s="21" t="s">
        <v>1</v>
      </c>
      <c r="D196" s="22">
        <v>1</v>
      </c>
      <c r="E196" s="51">
        <f t="shared" si="58"/>
        <v>18.181818181818183</v>
      </c>
      <c r="F196" s="298">
        <f t="shared" si="60"/>
        <v>5.5E-2</v>
      </c>
      <c r="G196" s="302">
        <f t="shared" si="61"/>
        <v>200</v>
      </c>
      <c r="H196" s="317">
        <v>2.95</v>
      </c>
      <c r="I196" s="71">
        <f t="shared" si="59"/>
        <v>1.1186440677966101</v>
      </c>
      <c r="J196" s="298"/>
      <c r="K196" s="302"/>
      <c r="L196" s="21">
        <v>590</v>
      </c>
      <c r="M196" s="21">
        <v>660</v>
      </c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</row>
    <row r="197" spans="1:23" s="26" customFormat="1" ht="30" customHeight="1" x14ac:dyDescent="0.2">
      <c r="A197" s="244"/>
      <c r="B197" s="121" t="s">
        <v>3139</v>
      </c>
      <c r="C197" s="36"/>
      <c r="D197" s="36"/>
      <c r="E197" s="36"/>
      <c r="F197" s="36"/>
      <c r="G197" s="36"/>
      <c r="H197" s="223"/>
      <c r="I197" s="71"/>
      <c r="J197" s="298"/>
      <c r="K197" s="302"/>
      <c r="L197" s="21"/>
      <c r="M197" s="21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</row>
    <row r="198" spans="1:23" s="26" customFormat="1" ht="30" customHeight="1" x14ac:dyDescent="0.2">
      <c r="A198" s="245"/>
      <c r="B198" s="255" t="s">
        <v>3137</v>
      </c>
      <c r="C198" s="96"/>
      <c r="D198" s="96"/>
      <c r="E198" s="96"/>
      <c r="F198" s="96"/>
      <c r="G198" s="96"/>
      <c r="H198" s="246"/>
      <c r="I198" s="71"/>
      <c r="J198" s="298"/>
      <c r="K198" s="302"/>
      <c r="L198" s="21"/>
      <c r="M198" s="21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</row>
    <row r="199" spans="1:23" s="26" customFormat="1" ht="30" customHeight="1" x14ac:dyDescent="0.2">
      <c r="A199" s="254" t="s">
        <v>3130</v>
      </c>
      <c r="B199" s="258" t="s">
        <v>3345</v>
      </c>
      <c r="C199" s="21" t="s">
        <v>1</v>
      </c>
      <c r="D199" s="22">
        <v>1</v>
      </c>
      <c r="E199" s="51">
        <f>G199/11</f>
        <v>10.909090909090908</v>
      </c>
      <c r="F199" s="298">
        <f t="shared" si="60"/>
        <v>9.166666666666666E-2</v>
      </c>
      <c r="G199" s="65">
        <f>L199/H199</f>
        <v>120</v>
      </c>
      <c r="H199" s="256">
        <v>5</v>
      </c>
      <c r="I199" s="71"/>
      <c r="J199" s="298"/>
      <c r="K199" s="302"/>
      <c r="L199" s="21">
        <v>600</v>
      </c>
      <c r="M199" s="21">
        <v>660</v>
      </c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</row>
    <row r="200" spans="1:23" s="26" customFormat="1" ht="30" customHeight="1" x14ac:dyDescent="0.2">
      <c r="A200" s="254" t="s">
        <v>3131</v>
      </c>
      <c r="B200" s="270" t="s">
        <v>3340</v>
      </c>
      <c r="C200" s="21" t="s">
        <v>1</v>
      </c>
      <c r="D200" s="22">
        <v>1</v>
      </c>
      <c r="E200" s="51">
        <f>G200/11</f>
        <v>18.181818181818183</v>
      </c>
      <c r="F200" s="298">
        <f t="shared" si="60"/>
        <v>5.5E-2</v>
      </c>
      <c r="G200" s="65">
        <f>L200/H200</f>
        <v>200</v>
      </c>
      <c r="H200" s="256">
        <v>3</v>
      </c>
      <c r="I200" s="71"/>
      <c r="J200" s="298"/>
      <c r="K200" s="302"/>
      <c r="L200" s="21">
        <v>600</v>
      </c>
      <c r="M200" s="21">
        <v>660</v>
      </c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</row>
    <row r="201" spans="1:23" s="26" customFormat="1" ht="30" customHeight="1" x14ac:dyDescent="0.2">
      <c r="A201" s="254" t="s">
        <v>3132</v>
      </c>
      <c r="B201" s="270" t="s">
        <v>3344</v>
      </c>
      <c r="C201" s="21" t="s">
        <v>1</v>
      </c>
      <c r="D201" s="22">
        <v>1</v>
      </c>
      <c r="E201" s="51">
        <f>G201/11</f>
        <v>54.545454545454547</v>
      </c>
      <c r="F201" s="298">
        <f t="shared" si="60"/>
        <v>1.8333333333333333E-2</v>
      </c>
      <c r="G201" s="65">
        <f>L201/H201</f>
        <v>600</v>
      </c>
      <c r="H201" s="256">
        <v>1</v>
      </c>
      <c r="I201" s="71"/>
      <c r="J201" s="298"/>
      <c r="K201" s="302"/>
      <c r="L201" s="21">
        <v>600</v>
      </c>
      <c r="M201" s="21">
        <v>660</v>
      </c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</row>
    <row r="202" spans="1:23" s="26" customFormat="1" ht="30" customHeight="1" x14ac:dyDescent="0.2">
      <c r="A202" s="254" t="s">
        <v>3133</v>
      </c>
      <c r="B202" s="119" t="s">
        <v>3141</v>
      </c>
      <c r="C202" s="21" t="s">
        <v>1</v>
      </c>
      <c r="D202" s="22">
        <v>1</v>
      </c>
      <c r="E202" s="51">
        <f>G202/11</f>
        <v>13.47014931726191</v>
      </c>
      <c r="F202" s="298">
        <f t="shared" si="60"/>
        <v>7.4238226796677478E-2</v>
      </c>
      <c r="G202" s="65">
        <f>L202/H202</f>
        <v>148.17164248988101</v>
      </c>
      <c r="H202" s="79">
        <v>4.0493578252733169</v>
      </c>
      <c r="I202" s="71"/>
      <c r="J202" s="298"/>
      <c r="K202" s="302"/>
      <c r="L202" s="21">
        <v>600</v>
      </c>
      <c r="M202" s="21">
        <v>660</v>
      </c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</row>
    <row r="203" spans="1:23" s="26" customFormat="1" ht="30" customHeight="1" x14ac:dyDescent="0.2">
      <c r="A203" s="254" t="s">
        <v>3134</v>
      </c>
      <c r="B203" s="119" t="s">
        <v>3140</v>
      </c>
      <c r="C203" s="21" t="s">
        <v>1</v>
      </c>
      <c r="D203" s="22">
        <v>1</v>
      </c>
      <c r="E203" s="51">
        <f t="shared" ref="E203:E215" si="62">G203/11</f>
        <v>11.28352932253493</v>
      </c>
      <c r="F203" s="298">
        <f t="shared" si="60"/>
        <v>8.862475307285704E-2</v>
      </c>
      <c r="G203" s="65">
        <f t="shared" ref="G203:G207" si="63">L203/H203</f>
        <v>124.11882254788422</v>
      </c>
      <c r="H203" s="79">
        <v>4.8340774403376567</v>
      </c>
      <c r="I203" s="71"/>
      <c r="J203" s="298"/>
      <c r="K203" s="302"/>
      <c r="L203" s="21">
        <v>600</v>
      </c>
      <c r="M203" s="21">
        <v>660</v>
      </c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</row>
    <row r="204" spans="1:23" s="26" customFormat="1" ht="30" customHeight="1" x14ac:dyDescent="0.2">
      <c r="A204" s="254" t="s">
        <v>3135</v>
      </c>
      <c r="B204" s="119" t="s">
        <v>3142</v>
      </c>
      <c r="C204" s="21" t="s">
        <v>1</v>
      </c>
      <c r="D204" s="22">
        <v>1</v>
      </c>
      <c r="E204" s="51">
        <f t="shared" si="62"/>
        <v>12.497115225801338</v>
      </c>
      <c r="F204" s="298">
        <f t="shared" si="60"/>
        <v>8.0018466816679137E-2</v>
      </c>
      <c r="G204" s="65">
        <f t="shared" si="63"/>
        <v>137.46826748381471</v>
      </c>
      <c r="H204" s="79">
        <v>4.3646436445461347</v>
      </c>
      <c r="I204" s="71"/>
      <c r="J204" s="298"/>
      <c r="K204" s="302"/>
      <c r="L204" s="21">
        <v>600</v>
      </c>
      <c r="M204" s="21">
        <v>660</v>
      </c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</row>
    <row r="205" spans="1:23" s="26" customFormat="1" ht="30" customHeight="1" x14ac:dyDescent="0.2">
      <c r="A205" s="254" t="s">
        <v>3136</v>
      </c>
      <c r="B205" s="119" t="s">
        <v>3143</v>
      </c>
      <c r="C205" s="21" t="s">
        <v>1</v>
      </c>
      <c r="D205" s="22">
        <v>1</v>
      </c>
      <c r="E205" s="51">
        <f t="shared" si="62"/>
        <v>10.633003238698713</v>
      </c>
      <c r="F205" s="298">
        <f t="shared" si="60"/>
        <v>9.4046806678334274E-2</v>
      </c>
      <c r="G205" s="65">
        <f t="shared" si="63"/>
        <v>116.96303562568583</v>
      </c>
      <c r="H205" s="79">
        <v>5.1298258188182331</v>
      </c>
      <c r="I205" s="71"/>
      <c r="J205" s="298"/>
      <c r="K205" s="302"/>
      <c r="L205" s="21">
        <v>600</v>
      </c>
      <c r="M205" s="21">
        <v>660</v>
      </c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</row>
    <row r="206" spans="1:23" s="26" customFormat="1" ht="30" customHeight="1" x14ac:dyDescent="0.2">
      <c r="A206" s="254" t="s">
        <v>3154</v>
      </c>
      <c r="B206" s="119" t="s">
        <v>3144</v>
      </c>
      <c r="C206" s="21" t="s">
        <v>1</v>
      </c>
      <c r="D206" s="22">
        <v>1</v>
      </c>
      <c r="E206" s="51">
        <f t="shared" si="62"/>
        <v>12.116642042658439</v>
      </c>
      <c r="F206" s="298">
        <f t="shared" si="60"/>
        <v>8.2531116829180184E-2</v>
      </c>
      <c r="G206" s="65">
        <f t="shared" si="63"/>
        <v>133.28306246924282</v>
      </c>
      <c r="H206" s="79">
        <v>4.5016972815916461</v>
      </c>
      <c r="I206" s="71"/>
      <c r="J206" s="298"/>
      <c r="K206" s="302"/>
      <c r="L206" s="21">
        <v>600</v>
      </c>
      <c r="M206" s="21">
        <v>660</v>
      </c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</row>
    <row r="207" spans="1:23" s="26" customFormat="1" ht="30" customHeight="1" x14ac:dyDescent="0.2">
      <c r="A207" s="254" t="s">
        <v>3155</v>
      </c>
      <c r="B207" s="119" t="s">
        <v>3145</v>
      </c>
      <c r="C207" s="21" t="s">
        <v>1</v>
      </c>
      <c r="D207" s="22">
        <v>1</v>
      </c>
      <c r="E207" s="51">
        <f t="shared" si="62"/>
        <v>10.625200883303766</v>
      </c>
      <c r="F207" s="298">
        <f t="shared" si="60"/>
        <v>9.4115867641747883E-2</v>
      </c>
      <c r="G207" s="65">
        <f t="shared" si="63"/>
        <v>116.87720971634143</v>
      </c>
      <c r="H207" s="79">
        <v>5.1335927804589758</v>
      </c>
      <c r="I207" s="71"/>
      <c r="J207" s="298"/>
      <c r="K207" s="302"/>
      <c r="L207" s="21">
        <v>600</v>
      </c>
      <c r="M207" s="21">
        <v>660</v>
      </c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</row>
    <row r="208" spans="1:23" s="26" customFormat="1" ht="30" customHeight="1" x14ac:dyDescent="0.2">
      <c r="A208" s="254" t="s">
        <v>3156</v>
      </c>
      <c r="B208" s="119" t="s">
        <v>3146</v>
      </c>
      <c r="C208" s="21" t="s">
        <v>1</v>
      </c>
      <c r="D208" s="22">
        <v>1</v>
      </c>
      <c r="E208" s="51">
        <f t="shared" si="62"/>
        <v>12.342459800086919</v>
      </c>
      <c r="F208" s="298">
        <f t="shared" si="60"/>
        <v>8.1021126760563375E-2</v>
      </c>
      <c r="G208" s="65">
        <f>L208/H208</f>
        <v>135.76705780095611</v>
      </c>
      <c r="H208" s="79">
        <v>4.4193341869398202</v>
      </c>
      <c r="I208" s="71"/>
      <c r="J208" s="298"/>
      <c r="K208" s="302"/>
      <c r="L208" s="21">
        <v>600</v>
      </c>
      <c r="M208" s="21">
        <v>660</v>
      </c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</row>
    <row r="209" spans="1:23" s="26" customFormat="1" ht="30" customHeight="1" x14ac:dyDescent="0.2">
      <c r="A209" s="254" t="s">
        <v>3157</v>
      </c>
      <c r="B209" s="119" t="s">
        <v>3147</v>
      </c>
      <c r="C209" s="21" t="s">
        <v>1</v>
      </c>
      <c r="D209" s="22">
        <v>1</v>
      </c>
      <c r="E209" s="51">
        <f t="shared" si="62"/>
        <v>10.597297896048961</v>
      </c>
      <c r="F209" s="298">
        <f t="shared" si="60"/>
        <v>9.4363677402409779E-2</v>
      </c>
      <c r="G209" s="302">
        <f t="shared" ref="G209:G215" si="64">L209/H209</f>
        <v>116.57027685653857</v>
      </c>
      <c r="H209" s="79">
        <v>5.147109676495079</v>
      </c>
      <c r="I209" s="71"/>
      <c r="J209" s="298"/>
      <c r="K209" s="302"/>
      <c r="L209" s="21">
        <v>600</v>
      </c>
      <c r="M209" s="21">
        <v>660</v>
      </c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</row>
    <row r="210" spans="1:23" s="26" customFormat="1" ht="30" customHeight="1" x14ac:dyDescent="0.2">
      <c r="A210" s="254" t="s">
        <v>3158</v>
      </c>
      <c r="B210" s="119" t="s">
        <v>3148</v>
      </c>
      <c r="C210" s="21" t="s">
        <v>1</v>
      </c>
      <c r="D210" s="22">
        <v>1</v>
      </c>
      <c r="E210" s="51">
        <f t="shared" si="62"/>
        <v>12</v>
      </c>
      <c r="F210" s="298">
        <f t="shared" si="60"/>
        <v>8.3333333333333329E-2</v>
      </c>
      <c r="G210" s="302">
        <f t="shared" si="64"/>
        <v>132</v>
      </c>
      <c r="H210" s="303">
        <v>4.5454545454545459</v>
      </c>
      <c r="I210" s="71"/>
      <c r="J210" s="298"/>
      <c r="K210" s="302"/>
      <c r="L210" s="21">
        <v>600</v>
      </c>
      <c r="M210" s="21">
        <v>660</v>
      </c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</row>
    <row r="211" spans="1:23" s="26" customFormat="1" ht="30" customHeight="1" x14ac:dyDescent="0.2">
      <c r="A211" s="254" t="s">
        <v>3159</v>
      </c>
      <c r="B211" s="119" t="s">
        <v>3149</v>
      </c>
      <c r="C211" s="21" t="s">
        <v>1</v>
      </c>
      <c r="D211" s="22">
        <v>1</v>
      </c>
      <c r="E211" s="51">
        <f t="shared" si="62"/>
        <v>10.454545454545455</v>
      </c>
      <c r="F211" s="298">
        <f t="shared" si="60"/>
        <v>9.5652173913043481E-2</v>
      </c>
      <c r="G211" s="302">
        <f t="shared" si="64"/>
        <v>115</v>
      </c>
      <c r="H211" s="303">
        <v>5.2173913043478262</v>
      </c>
      <c r="I211" s="71"/>
      <c r="J211" s="298"/>
      <c r="K211" s="302"/>
      <c r="L211" s="21">
        <v>600</v>
      </c>
      <c r="M211" s="21">
        <v>660</v>
      </c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</row>
    <row r="212" spans="1:23" s="26" customFormat="1" ht="30" customHeight="1" x14ac:dyDescent="0.2">
      <c r="A212" s="254" t="s">
        <v>3241</v>
      </c>
      <c r="B212" s="119" t="s">
        <v>3151</v>
      </c>
      <c r="C212" s="21" t="s">
        <v>1</v>
      </c>
      <c r="D212" s="22">
        <v>1</v>
      </c>
      <c r="E212" s="51">
        <f t="shared" si="62"/>
        <v>11.363636363636363</v>
      </c>
      <c r="F212" s="298">
        <f t="shared" si="60"/>
        <v>8.7999999999999995E-2</v>
      </c>
      <c r="G212" s="302">
        <f t="shared" si="64"/>
        <v>125</v>
      </c>
      <c r="H212" s="303">
        <v>4.8</v>
      </c>
      <c r="I212" s="71"/>
      <c r="J212" s="298"/>
      <c r="K212" s="302"/>
      <c r="L212" s="21">
        <v>600</v>
      </c>
      <c r="M212" s="21">
        <v>660</v>
      </c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</row>
    <row r="213" spans="1:23" s="26" customFormat="1" ht="30" customHeight="1" x14ac:dyDescent="0.2">
      <c r="A213" s="254" t="s">
        <v>3341</v>
      </c>
      <c r="B213" s="119" t="s">
        <v>3150</v>
      </c>
      <c r="C213" s="21" t="s">
        <v>1</v>
      </c>
      <c r="D213" s="22">
        <v>1</v>
      </c>
      <c r="E213" s="51">
        <f t="shared" si="62"/>
        <v>9.9090909090909083</v>
      </c>
      <c r="F213" s="298">
        <f t="shared" si="60"/>
        <v>0.10091743119266056</v>
      </c>
      <c r="G213" s="302">
        <f t="shared" si="64"/>
        <v>109</v>
      </c>
      <c r="H213" s="303">
        <v>5.5045871559633026</v>
      </c>
      <c r="I213" s="71"/>
      <c r="J213" s="298"/>
      <c r="K213" s="302"/>
      <c r="L213" s="21">
        <v>600</v>
      </c>
      <c r="M213" s="21">
        <v>660</v>
      </c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</row>
    <row r="214" spans="1:23" s="26" customFormat="1" ht="30" customHeight="1" x14ac:dyDescent="0.2">
      <c r="A214" s="254" t="s">
        <v>3342</v>
      </c>
      <c r="B214" s="119" t="s">
        <v>3152</v>
      </c>
      <c r="C214" s="21" t="s">
        <v>1</v>
      </c>
      <c r="D214" s="22">
        <v>1</v>
      </c>
      <c r="E214" s="51">
        <f t="shared" si="62"/>
        <v>10.454545454545455</v>
      </c>
      <c r="F214" s="298">
        <f t="shared" si="60"/>
        <v>9.5652173913043481E-2</v>
      </c>
      <c r="G214" s="302">
        <f t="shared" si="64"/>
        <v>115</v>
      </c>
      <c r="H214" s="303">
        <v>5.2173913043478262</v>
      </c>
      <c r="I214" s="71"/>
      <c r="J214" s="298"/>
      <c r="K214" s="302"/>
      <c r="L214" s="21">
        <v>600</v>
      </c>
      <c r="M214" s="21">
        <v>660</v>
      </c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</row>
    <row r="215" spans="1:23" s="26" customFormat="1" ht="30" customHeight="1" x14ac:dyDescent="0.2">
      <c r="A215" s="254" t="s">
        <v>3343</v>
      </c>
      <c r="B215" s="119" t="s">
        <v>3153</v>
      </c>
      <c r="C215" s="21" t="s">
        <v>1</v>
      </c>
      <c r="D215" s="22">
        <v>1</v>
      </c>
      <c r="E215" s="51">
        <f t="shared" si="62"/>
        <v>9.0909090909090917</v>
      </c>
      <c r="F215" s="298">
        <f t="shared" si="60"/>
        <v>0.11</v>
      </c>
      <c r="G215" s="302">
        <f t="shared" si="64"/>
        <v>100</v>
      </c>
      <c r="H215" s="303">
        <v>6</v>
      </c>
      <c r="I215" s="71"/>
      <c r="J215" s="298"/>
      <c r="K215" s="302"/>
      <c r="L215" s="21">
        <v>600</v>
      </c>
      <c r="M215" s="21">
        <v>660</v>
      </c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</row>
    <row r="216" spans="1:23" s="26" customFormat="1" ht="30" customHeight="1" x14ac:dyDescent="0.2">
      <c r="A216" s="247"/>
      <c r="B216" s="255" t="s">
        <v>3138</v>
      </c>
      <c r="C216" s="248"/>
      <c r="D216" s="249"/>
      <c r="E216" s="250"/>
      <c r="F216" s="96"/>
      <c r="G216" s="252"/>
      <c r="H216" s="253"/>
      <c r="I216" s="71"/>
      <c r="J216" s="23"/>
      <c r="K216" s="65"/>
      <c r="L216" s="21"/>
      <c r="M216" s="21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</row>
    <row r="217" spans="1:23" s="26" customFormat="1" ht="30" customHeight="1" x14ac:dyDescent="0.2">
      <c r="A217" s="254" t="s">
        <v>3160</v>
      </c>
      <c r="B217" s="258" t="s">
        <v>3346</v>
      </c>
      <c r="C217" s="21" t="s">
        <v>1</v>
      </c>
      <c r="D217" s="22">
        <v>1</v>
      </c>
      <c r="E217" s="51">
        <f>G217/11</f>
        <v>18.181818181818183</v>
      </c>
      <c r="F217" s="298">
        <f t="shared" si="60"/>
        <v>5.5E-2</v>
      </c>
      <c r="G217" s="65">
        <f>L217/H217</f>
        <v>200</v>
      </c>
      <c r="H217" s="256">
        <v>3</v>
      </c>
      <c r="I217" s="71"/>
      <c r="J217" s="23"/>
      <c r="K217" s="65"/>
      <c r="L217" s="21">
        <v>600</v>
      </c>
      <c r="M217" s="21">
        <v>660</v>
      </c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</row>
    <row r="218" spans="1:23" s="26" customFormat="1" ht="30" customHeight="1" x14ac:dyDescent="0.2">
      <c r="A218" s="254" t="s">
        <v>3161</v>
      </c>
      <c r="B218" s="270" t="s">
        <v>3348</v>
      </c>
      <c r="C218" s="21" t="s">
        <v>1</v>
      </c>
      <c r="D218" s="22">
        <v>1</v>
      </c>
      <c r="E218" s="51">
        <f>G218/11</f>
        <v>27.272727272727273</v>
      </c>
      <c r="F218" s="298">
        <f t="shared" si="60"/>
        <v>3.6666666666666667E-2</v>
      </c>
      <c r="G218" s="65">
        <f>L218/H218</f>
        <v>300</v>
      </c>
      <c r="H218" s="256">
        <v>2</v>
      </c>
      <c r="I218" s="71"/>
      <c r="J218" s="23"/>
      <c r="K218" s="65"/>
      <c r="L218" s="21">
        <v>600</v>
      </c>
      <c r="M218" s="21">
        <v>660</v>
      </c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</row>
    <row r="219" spans="1:23" s="26" customFormat="1" ht="30" customHeight="1" x14ac:dyDescent="0.2">
      <c r="A219" s="254" t="s">
        <v>3162</v>
      </c>
      <c r="B219" s="270" t="s">
        <v>3347</v>
      </c>
      <c r="C219" s="21" t="s">
        <v>1</v>
      </c>
      <c r="D219" s="22">
        <v>1</v>
      </c>
      <c r="E219" s="51">
        <f>G219/11</f>
        <v>54.545454545454547</v>
      </c>
      <c r="F219" s="298">
        <f t="shared" si="60"/>
        <v>1.8333333333333333E-2</v>
      </c>
      <c r="G219" s="65">
        <f>L219/H219</f>
        <v>600</v>
      </c>
      <c r="H219" s="256">
        <v>1</v>
      </c>
      <c r="I219" s="71"/>
      <c r="J219" s="23"/>
      <c r="K219" s="65"/>
      <c r="L219" s="21">
        <v>600</v>
      </c>
      <c r="M219" s="21">
        <v>660</v>
      </c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</row>
    <row r="220" spans="1:23" s="26" customFormat="1" ht="30" customHeight="1" x14ac:dyDescent="0.2">
      <c r="A220" s="254" t="s">
        <v>3163</v>
      </c>
      <c r="B220" s="119" t="s">
        <v>3202</v>
      </c>
      <c r="C220" s="21" t="s">
        <v>1</v>
      </c>
      <c r="D220" s="22">
        <v>1</v>
      </c>
      <c r="E220" s="51">
        <f t="shared" ref="E220" si="65">G220/11</f>
        <v>20.000000000000004</v>
      </c>
      <c r="F220" s="298">
        <f t="shared" si="60"/>
        <v>4.9999999999999996E-2</v>
      </c>
      <c r="G220" s="65">
        <f t="shared" ref="G220" si="66">L220/H220</f>
        <v>220.00000000000003</v>
      </c>
      <c r="H220" s="77">
        <v>2.7272727272727271</v>
      </c>
      <c r="I220" s="71"/>
      <c r="J220" s="23"/>
      <c r="K220" s="65"/>
      <c r="L220" s="21">
        <v>600</v>
      </c>
      <c r="M220" s="21">
        <v>660</v>
      </c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</row>
    <row r="221" spans="1:23" s="26" customFormat="1" ht="30" customHeight="1" x14ac:dyDescent="0.2">
      <c r="A221" s="254" t="s">
        <v>3164</v>
      </c>
      <c r="B221" s="119" t="s">
        <v>3203</v>
      </c>
      <c r="C221" s="21" t="s">
        <v>1</v>
      </c>
      <c r="D221" s="22">
        <v>1</v>
      </c>
      <c r="E221" s="51">
        <f t="shared" ref="E221:E233" si="67">G221/11</f>
        <v>18.181818181818183</v>
      </c>
      <c r="F221" s="298">
        <f t="shared" si="60"/>
        <v>5.5E-2</v>
      </c>
      <c r="G221" s="65">
        <f t="shared" ref="G221:G233" si="68">L221/H221</f>
        <v>200</v>
      </c>
      <c r="H221" s="77">
        <v>3</v>
      </c>
      <c r="I221" s="71"/>
      <c r="J221" s="23"/>
      <c r="K221" s="65"/>
      <c r="L221" s="21">
        <v>600</v>
      </c>
      <c r="M221" s="21">
        <v>660</v>
      </c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</row>
    <row r="222" spans="1:23" s="26" customFormat="1" ht="30" customHeight="1" x14ac:dyDescent="0.2">
      <c r="A222" s="254" t="s">
        <v>3165</v>
      </c>
      <c r="B222" s="119" t="s">
        <v>3204</v>
      </c>
      <c r="C222" s="21" t="s">
        <v>1</v>
      </c>
      <c r="D222" s="22">
        <v>1</v>
      </c>
      <c r="E222" s="51">
        <f t="shared" si="67"/>
        <v>17.333333333333339</v>
      </c>
      <c r="F222" s="298">
        <f t="shared" si="60"/>
        <v>5.7692307692307675E-2</v>
      </c>
      <c r="G222" s="65">
        <f t="shared" si="68"/>
        <v>190.66666666666671</v>
      </c>
      <c r="H222" s="77">
        <v>3.1468531468531462</v>
      </c>
      <c r="I222" s="71"/>
      <c r="J222" s="23"/>
      <c r="K222" s="65"/>
      <c r="L222" s="21">
        <v>600</v>
      </c>
      <c r="M222" s="21">
        <v>660</v>
      </c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</row>
    <row r="223" spans="1:23" s="26" customFormat="1" ht="30" customHeight="1" x14ac:dyDescent="0.2">
      <c r="A223" s="254" t="s">
        <v>3166</v>
      </c>
      <c r="B223" s="119" t="s">
        <v>3205</v>
      </c>
      <c r="C223" s="21" t="s">
        <v>1</v>
      </c>
      <c r="D223" s="22">
        <v>1</v>
      </c>
      <c r="E223" s="51">
        <f t="shared" si="67"/>
        <v>15.757575757575758</v>
      </c>
      <c r="F223" s="298">
        <f t="shared" si="60"/>
        <v>6.3461538461538458E-2</v>
      </c>
      <c r="G223" s="65">
        <f t="shared" si="68"/>
        <v>173.33333333333334</v>
      </c>
      <c r="H223" s="77">
        <v>3.4615384615384612</v>
      </c>
      <c r="I223" s="71"/>
      <c r="J223" s="23"/>
      <c r="K223" s="65"/>
      <c r="L223" s="21">
        <v>600</v>
      </c>
      <c r="M223" s="21">
        <v>660</v>
      </c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</row>
    <row r="224" spans="1:23" s="26" customFormat="1" ht="30" customHeight="1" x14ac:dyDescent="0.2">
      <c r="A224" s="254" t="s">
        <v>3167</v>
      </c>
      <c r="B224" s="119" t="s">
        <v>3206</v>
      </c>
      <c r="C224" s="21" t="s">
        <v>1</v>
      </c>
      <c r="D224" s="22">
        <v>1</v>
      </c>
      <c r="E224" s="51">
        <f t="shared" si="67"/>
        <v>16.000000000000004</v>
      </c>
      <c r="F224" s="298">
        <f t="shared" si="60"/>
        <v>6.2499999999999993E-2</v>
      </c>
      <c r="G224" s="65">
        <f t="shared" si="68"/>
        <v>176.00000000000003</v>
      </c>
      <c r="H224" s="77">
        <v>3.4090909090909087</v>
      </c>
      <c r="I224" s="71"/>
      <c r="J224" s="23"/>
      <c r="K224" s="65"/>
      <c r="L224" s="21">
        <v>600</v>
      </c>
      <c r="M224" s="21">
        <v>660</v>
      </c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</row>
    <row r="225" spans="1:23" s="26" customFormat="1" ht="30" customHeight="1" x14ac:dyDescent="0.2">
      <c r="A225" s="254" t="s">
        <v>3168</v>
      </c>
      <c r="B225" s="119" t="s">
        <v>3207</v>
      </c>
      <c r="C225" s="21" t="s">
        <v>1</v>
      </c>
      <c r="D225" s="22">
        <v>1</v>
      </c>
      <c r="E225" s="51">
        <f t="shared" si="67"/>
        <v>14.545454545454545</v>
      </c>
      <c r="F225" s="298">
        <f t="shared" si="60"/>
        <v>6.8750000000000006E-2</v>
      </c>
      <c r="G225" s="65">
        <f t="shared" si="68"/>
        <v>160</v>
      </c>
      <c r="H225" s="77">
        <v>3.75</v>
      </c>
      <c r="I225" s="71"/>
      <c r="J225" s="23"/>
      <c r="K225" s="65"/>
      <c r="L225" s="21">
        <v>600</v>
      </c>
      <c r="M225" s="21">
        <v>660</v>
      </c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</row>
    <row r="226" spans="1:23" s="26" customFormat="1" ht="30" customHeight="1" x14ac:dyDescent="0.2">
      <c r="A226" s="254" t="s">
        <v>3169</v>
      </c>
      <c r="B226" s="119" t="s">
        <v>3208</v>
      </c>
      <c r="C226" s="21" t="s">
        <v>1</v>
      </c>
      <c r="D226" s="22">
        <v>1</v>
      </c>
      <c r="E226" s="51">
        <f t="shared" si="67"/>
        <v>14.454545454545455</v>
      </c>
      <c r="F226" s="298">
        <f t="shared" si="60"/>
        <v>6.9182389937106917E-2</v>
      </c>
      <c r="G226" s="65">
        <f t="shared" si="68"/>
        <v>159</v>
      </c>
      <c r="H226" s="77">
        <v>3.7735849056603774</v>
      </c>
      <c r="I226" s="71"/>
      <c r="J226" s="23"/>
      <c r="K226" s="65"/>
      <c r="L226" s="21">
        <v>600</v>
      </c>
      <c r="M226" s="21">
        <v>660</v>
      </c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</row>
    <row r="227" spans="1:23" s="26" customFormat="1" ht="30" customHeight="1" x14ac:dyDescent="0.2">
      <c r="A227" s="254" t="s">
        <v>3170</v>
      </c>
      <c r="B227" s="119" t="s">
        <v>3209</v>
      </c>
      <c r="C227" s="21" t="s">
        <v>1</v>
      </c>
      <c r="D227" s="22">
        <v>1</v>
      </c>
      <c r="E227" s="51">
        <f t="shared" si="67"/>
        <v>12.545454545454545</v>
      </c>
      <c r="F227" s="298">
        <f t="shared" si="60"/>
        <v>7.9710144927536225E-2</v>
      </c>
      <c r="G227" s="65">
        <f t="shared" si="68"/>
        <v>138</v>
      </c>
      <c r="H227" s="303">
        <v>4.3478260869565215</v>
      </c>
      <c r="I227" s="71"/>
      <c r="J227" s="23"/>
      <c r="K227" s="65"/>
      <c r="L227" s="21">
        <v>600</v>
      </c>
      <c r="M227" s="21">
        <v>660</v>
      </c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</row>
    <row r="228" spans="1:23" s="26" customFormat="1" ht="30" customHeight="1" x14ac:dyDescent="0.2">
      <c r="A228" s="254" t="s">
        <v>3171</v>
      </c>
      <c r="B228" s="119" t="s">
        <v>3210</v>
      </c>
      <c r="C228" s="21" t="s">
        <v>1</v>
      </c>
      <c r="D228" s="22">
        <v>1</v>
      </c>
      <c r="E228" s="51">
        <f t="shared" si="67"/>
        <v>12</v>
      </c>
      <c r="F228" s="298">
        <f t="shared" si="60"/>
        <v>8.3333333333333329E-2</v>
      </c>
      <c r="G228" s="65">
        <f t="shared" si="68"/>
        <v>132</v>
      </c>
      <c r="H228" s="303">
        <v>4.5454545454545459</v>
      </c>
      <c r="I228" s="71"/>
      <c r="J228" s="23"/>
      <c r="K228" s="65"/>
      <c r="L228" s="21">
        <v>600</v>
      </c>
      <c r="M228" s="21">
        <v>660</v>
      </c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</row>
    <row r="229" spans="1:23" s="26" customFormat="1" ht="30" customHeight="1" x14ac:dyDescent="0.2">
      <c r="A229" s="254" t="s">
        <v>3172</v>
      </c>
      <c r="B229" s="119" t="s">
        <v>3211</v>
      </c>
      <c r="C229" s="21" t="s">
        <v>1</v>
      </c>
      <c r="D229" s="22">
        <v>1</v>
      </c>
      <c r="E229" s="51">
        <f t="shared" si="67"/>
        <v>10.909090909090908</v>
      </c>
      <c r="F229" s="298">
        <f t="shared" si="60"/>
        <v>9.166666666666666E-2</v>
      </c>
      <c r="G229" s="65">
        <f t="shared" si="68"/>
        <v>120</v>
      </c>
      <c r="H229" s="303">
        <v>5</v>
      </c>
      <c r="I229" s="71"/>
      <c r="J229" s="23"/>
      <c r="K229" s="65"/>
      <c r="L229" s="21">
        <v>600</v>
      </c>
      <c r="M229" s="21">
        <v>660</v>
      </c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</row>
    <row r="230" spans="1:23" s="26" customFormat="1" ht="30" customHeight="1" x14ac:dyDescent="0.2">
      <c r="A230" s="254" t="s">
        <v>3173</v>
      </c>
      <c r="B230" s="119" t="s">
        <v>3212</v>
      </c>
      <c r="C230" s="21" t="s">
        <v>1</v>
      </c>
      <c r="D230" s="22">
        <v>1</v>
      </c>
      <c r="E230" s="51">
        <f t="shared" si="67"/>
        <v>11.363636363636363</v>
      </c>
      <c r="F230" s="298">
        <f t="shared" si="60"/>
        <v>8.7999999999999995E-2</v>
      </c>
      <c r="G230" s="65">
        <f t="shared" si="68"/>
        <v>125</v>
      </c>
      <c r="H230" s="303">
        <v>4.8</v>
      </c>
      <c r="I230" s="71"/>
      <c r="J230" s="23"/>
      <c r="K230" s="65"/>
      <c r="L230" s="21">
        <v>600</v>
      </c>
      <c r="M230" s="21">
        <v>660</v>
      </c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</row>
    <row r="231" spans="1:23" s="26" customFormat="1" ht="30" customHeight="1" x14ac:dyDescent="0.2">
      <c r="A231" s="254" t="s">
        <v>3242</v>
      </c>
      <c r="B231" s="119" t="s">
        <v>3213</v>
      </c>
      <c r="C231" s="21" t="s">
        <v>1</v>
      </c>
      <c r="D231" s="22">
        <v>1</v>
      </c>
      <c r="E231" s="51">
        <f t="shared" si="67"/>
        <v>10.272727272727273</v>
      </c>
      <c r="F231" s="298">
        <f t="shared" si="60"/>
        <v>9.7345132743362831E-2</v>
      </c>
      <c r="G231" s="65">
        <f t="shared" si="68"/>
        <v>113</v>
      </c>
      <c r="H231" s="303">
        <v>5.3097345132743365</v>
      </c>
      <c r="I231" s="71"/>
      <c r="J231" s="23"/>
      <c r="K231" s="65"/>
      <c r="L231" s="21">
        <v>600</v>
      </c>
      <c r="M231" s="21">
        <v>660</v>
      </c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</row>
    <row r="232" spans="1:23" s="26" customFormat="1" ht="30" customHeight="1" x14ac:dyDescent="0.2">
      <c r="A232" s="254" t="s">
        <v>3349</v>
      </c>
      <c r="B232" s="119" t="s">
        <v>3214</v>
      </c>
      <c r="C232" s="21" t="s">
        <v>1</v>
      </c>
      <c r="D232" s="22">
        <v>1</v>
      </c>
      <c r="E232" s="51">
        <f t="shared" si="67"/>
        <v>10.363636363636362</v>
      </c>
      <c r="F232" s="298">
        <f t="shared" si="60"/>
        <v>9.6491228070175447E-2</v>
      </c>
      <c r="G232" s="65">
        <f t="shared" si="68"/>
        <v>113.99999999999999</v>
      </c>
      <c r="H232" s="303">
        <v>5.2631578947368425</v>
      </c>
      <c r="I232" s="71"/>
      <c r="J232" s="23"/>
      <c r="K232" s="65"/>
      <c r="L232" s="21">
        <v>600</v>
      </c>
      <c r="M232" s="21">
        <v>660</v>
      </c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</row>
    <row r="233" spans="1:23" s="26" customFormat="1" ht="30" customHeight="1" x14ac:dyDescent="0.2">
      <c r="A233" s="254" t="s">
        <v>3350</v>
      </c>
      <c r="B233" s="119" t="s">
        <v>3215</v>
      </c>
      <c r="C233" s="21" t="s">
        <v>1</v>
      </c>
      <c r="D233" s="22">
        <v>1</v>
      </c>
      <c r="E233" s="51">
        <f t="shared" si="67"/>
        <v>9.454545454545455</v>
      </c>
      <c r="F233" s="298">
        <f t="shared" si="60"/>
        <v>0.10576923076923077</v>
      </c>
      <c r="G233" s="65">
        <f t="shared" si="68"/>
        <v>104</v>
      </c>
      <c r="H233" s="303">
        <v>5.7692307692307692</v>
      </c>
      <c r="I233" s="71"/>
      <c r="J233" s="23"/>
      <c r="K233" s="65"/>
      <c r="L233" s="21">
        <v>600</v>
      </c>
      <c r="M233" s="21">
        <v>660</v>
      </c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</row>
    <row r="234" spans="1:23" s="26" customFormat="1" ht="30" customHeight="1" x14ac:dyDescent="0.2">
      <c r="A234" s="247"/>
      <c r="B234" s="255" t="s">
        <v>3216</v>
      </c>
      <c r="C234" s="96"/>
      <c r="D234" s="96"/>
      <c r="E234" s="96"/>
      <c r="F234" s="96"/>
      <c r="G234" s="96"/>
      <c r="H234" s="246"/>
      <c r="I234" s="71"/>
      <c r="J234" s="23"/>
      <c r="K234" s="65"/>
      <c r="L234" s="21"/>
      <c r="M234" s="21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</row>
    <row r="235" spans="1:23" s="26" customFormat="1" ht="30" customHeight="1" x14ac:dyDescent="0.2">
      <c r="A235" s="254" t="s">
        <v>3174</v>
      </c>
      <c r="B235" s="258" t="s">
        <v>3351</v>
      </c>
      <c r="C235" s="21" t="s">
        <v>1</v>
      </c>
      <c r="D235" s="22">
        <v>1</v>
      </c>
      <c r="E235" s="51">
        <f>G235/11</f>
        <v>13.636363636363637</v>
      </c>
      <c r="F235" s="298">
        <f t="shared" si="60"/>
        <v>7.3333333333333334E-2</v>
      </c>
      <c r="G235" s="65">
        <f>L235/H235</f>
        <v>150</v>
      </c>
      <c r="H235" s="256">
        <v>4</v>
      </c>
      <c r="I235" s="71"/>
      <c r="J235" s="23"/>
      <c r="K235" s="65"/>
      <c r="L235" s="21">
        <v>600</v>
      </c>
      <c r="M235" s="21">
        <v>660</v>
      </c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</row>
    <row r="236" spans="1:23" s="26" customFormat="1" ht="30" customHeight="1" x14ac:dyDescent="0.2">
      <c r="A236" s="254" t="s">
        <v>3175</v>
      </c>
      <c r="B236" s="270" t="s">
        <v>3352</v>
      </c>
      <c r="C236" s="21" t="s">
        <v>1</v>
      </c>
      <c r="D236" s="22">
        <v>1</v>
      </c>
      <c r="E236" s="51">
        <f>G236/11</f>
        <v>27.272727272727273</v>
      </c>
      <c r="F236" s="298">
        <f t="shared" si="60"/>
        <v>3.6666666666666667E-2</v>
      </c>
      <c r="G236" s="65">
        <f>L236/H236</f>
        <v>300</v>
      </c>
      <c r="H236" s="256">
        <v>2</v>
      </c>
      <c r="I236" s="71"/>
      <c r="J236" s="23"/>
      <c r="K236" s="65"/>
      <c r="L236" s="21">
        <v>600</v>
      </c>
      <c r="M236" s="21">
        <v>660</v>
      </c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</row>
    <row r="237" spans="1:23" s="26" customFormat="1" ht="30" customHeight="1" x14ac:dyDescent="0.2">
      <c r="A237" s="254" t="s">
        <v>3176</v>
      </c>
      <c r="B237" s="270" t="s">
        <v>3353</v>
      </c>
      <c r="C237" s="21" t="s">
        <v>1</v>
      </c>
      <c r="D237" s="22">
        <v>1</v>
      </c>
      <c r="E237" s="51">
        <f>G237/11</f>
        <v>54.545454545454547</v>
      </c>
      <c r="F237" s="298">
        <f t="shared" si="60"/>
        <v>1.8333333333333333E-2</v>
      </c>
      <c r="G237" s="65">
        <f>L237/H237</f>
        <v>600</v>
      </c>
      <c r="H237" s="256">
        <v>1</v>
      </c>
      <c r="I237" s="71"/>
      <c r="J237" s="23"/>
      <c r="K237" s="65"/>
      <c r="L237" s="21">
        <v>600</v>
      </c>
      <c r="M237" s="21">
        <v>660</v>
      </c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</row>
    <row r="238" spans="1:23" s="26" customFormat="1" ht="30" customHeight="1" x14ac:dyDescent="0.2">
      <c r="A238" s="254" t="s">
        <v>3177</v>
      </c>
      <c r="B238" s="119" t="s">
        <v>3188</v>
      </c>
      <c r="C238" s="21" t="s">
        <v>1</v>
      </c>
      <c r="D238" s="22">
        <v>1</v>
      </c>
      <c r="E238" s="51">
        <f t="shared" ref="E238" si="69">G238/11</f>
        <v>15.221987315010569</v>
      </c>
      <c r="F238" s="298">
        <f t="shared" ref="F238:F303" si="70">11/G238</f>
        <v>6.5694444444444444E-2</v>
      </c>
      <c r="G238" s="65">
        <f t="shared" ref="G238" si="71">L238/H238</f>
        <v>167.44186046511626</v>
      </c>
      <c r="H238" s="77">
        <v>3.5833333333333335</v>
      </c>
      <c r="I238" s="71"/>
      <c r="J238" s="23"/>
      <c r="K238" s="65"/>
      <c r="L238" s="21">
        <v>600</v>
      </c>
      <c r="M238" s="21">
        <v>660</v>
      </c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</row>
    <row r="239" spans="1:23" s="26" customFormat="1" ht="30" customHeight="1" x14ac:dyDescent="0.2">
      <c r="A239" s="254" t="s">
        <v>3178</v>
      </c>
      <c r="B239" s="119" t="s">
        <v>3189</v>
      </c>
      <c r="C239" s="21" t="s">
        <v>1</v>
      </c>
      <c r="D239" s="22">
        <v>1</v>
      </c>
      <c r="E239" s="51">
        <f t="shared" ref="E239:E251" si="72">G239/11</f>
        <v>12.684989429175475</v>
      </c>
      <c r="F239" s="298">
        <f t="shared" si="70"/>
        <v>7.8833333333333339E-2</v>
      </c>
      <c r="G239" s="65">
        <f t="shared" ref="G239:G251" si="73">L239/H239</f>
        <v>139.53488372093022</v>
      </c>
      <c r="H239" s="77">
        <v>4.3</v>
      </c>
      <c r="I239" s="71"/>
      <c r="J239" s="23"/>
      <c r="K239" s="65"/>
      <c r="L239" s="21">
        <v>600</v>
      </c>
      <c r="M239" s="21">
        <v>660</v>
      </c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</row>
    <row r="240" spans="1:23" s="26" customFormat="1" ht="30" customHeight="1" x14ac:dyDescent="0.2">
      <c r="A240" s="254" t="s">
        <v>3179</v>
      </c>
      <c r="B240" s="119" t="s">
        <v>3190</v>
      </c>
      <c r="C240" s="21" t="s">
        <v>1</v>
      </c>
      <c r="D240" s="22">
        <v>1</v>
      </c>
      <c r="E240" s="51">
        <f t="shared" si="72"/>
        <v>14.876033057851238</v>
      </c>
      <c r="F240" s="298">
        <f t="shared" si="70"/>
        <v>6.7222222222222225E-2</v>
      </c>
      <c r="G240" s="65">
        <f t="shared" si="73"/>
        <v>163.63636363636363</v>
      </c>
      <c r="H240" s="77">
        <v>3.666666666666667</v>
      </c>
      <c r="I240" s="71"/>
      <c r="J240" s="23"/>
      <c r="K240" s="65"/>
      <c r="L240" s="21">
        <v>600</v>
      </c>
      <c r="M240" s="21">
        <v>660</v>
      </c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</row>
    <row r="241" spans="1:23" s="26" customFormat="1" ht="30" customHeight="1" x14ac:dyDescent="0.2">
      <c r="A241" s="254" t="s">
        <v>3180</v>
      </c>
      <c r="B241" s="119" t="s">
        <v>3191</v>
      </c>
      <c r="C241" s="21" t="s">
        <v>1</v>
      </c>
      <c r="D241" s="22">
        <v>1</v>
      </c>
      <c r="E241" s="51">
        <f t="shared" si="72"/>
        <v>12.396694214876032</v>
      </c>
      <c r="F241" s="298">
        <f t="shared" si="70"/>
        <v>8.0666666666666678E-2</v>
      </c>
      <c r="G241" s="65">
        <f t="shared" si="73"/>
        <v>136.36363636363635</v>
      </c>
      <c r="H241" s="77">
        <v>4.4000000000000004</v>
      </c>
      <c r="I241" s="71"/>
      <c r="J241" s="23"/>
      <c r="K241" s="65"/>
      <c r="L241" s="21">
        <v>600</v>
      </c>
      <c r="M241" s="21">
        <v>660</v>
      </c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</row>
    <row r="242" spans="1:23" s="26" customFormat="1" ht="30" customHeight="1" x14ac:dyDescent="0.2">
      <c r="A242" s="254" t="s">
        <v>3181</v>
      </c>
      <c r="B242" s="119" t="s">
        <v>3192</v>
      </c>
      <c r="C242" s="21" t="s">
        <v>1</v>
      </c>
      <c r="D242" s="22">
        <v>1</v>
      </c>
      <c r="E242" s="51">
        <f t="shared" si="72"/>
        <v>14.545454545454545</v>
      </c>
      <c r="F242" s="298">
        <f t="shared" si="70"/>
        <v>6.8750000000000006E-2</v>
      </c>
      <c r="G242" s="65">
        <f t="shared" si="73"/>
        <v>160</v>
      </c>
      <c r="H242" s="77">
        <v>3.75</v>
      </c>
      <c r="I242" s="71"/>
      <c r="J242" s="23"/>
      <c r="K242" s="65"/>
      <c r="L242" s="21">
        <v>600</v>
      </c>
      <c r="M242" s="21">
        <v>660</v>
      </c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</row>
    <row r="243" spans="1:23" s="26" customFormat="1" ht="30" customHeight="1" x14ac:dyDescent="0.2">
      <c r="A243" s="254" t="s">
        <v>3182</v>
      </c>
      <c r="B243" s="119" t="s">
        <v>3193</v>
      </c>
      <c r="C243" s="21" t="s">
        <v>1</v>
      </c>
      <c r="D243" s="22">
        <v>1</v>
      </c>
      <c r="E243" s="51">
        <f t="shared" si="72"/>
        <v>12.121212121212123</v>
      </c>
      <c r="F243" s="298">
        <f t="shared" si="70"/>
        <v>8.249999999999999E-2</v>
      </c>
      <c r="G243" s="65">
        <f t="shared" si="73"/>
        <v>133.33333333333334</v>
      </c>
      <c r="H243" s="77">
        <v>4.5</v>
      </c>
      <c r="I243" s="71"/>
      <c r="J243" s="23"/>
      <c r="K243" s="65"/>
      <c r="L243" s="21">
        <v>600</v>
      </c>
      <c r="M243" s="21">
        <v>660</v>
      </c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</row>
    <row r="244" spans="1:23" s="26" customFormat="1" ht="30" customHeight="1" x14ac:dyDescent="0.2">
      <c r="A244" s="254" t="s">
        <v>3183</v>
      </c>
      <c r="B244" s="119" t="s">
        <v>3194</v>
      </c>
      <c r="C244" s="21" t="s">
        <v>1</v>
      </c>
      <c r="D244" s="22">
        <v>1</v>
      </c>
      <c r="E244" s="51">
        <f t="shared" si="72"/>
        <v>13.636363636363637</v>
      </c>
      <c r="F244" s="298">
        <f t="shared" si="70"/>
        <v>7.3333333333333334E-2</v>
      </c>
      <c r="G244" s="65">
        <f t="shared" si="73"/>
        <v>150</v>
      </c>
      <c r="H244" s="77">
        <v>4</v>
      </c>
      <c r="I244" s="71"/>
      <c r="J244" s="23"/>
      <c r="K244" s="65"/>
      <c r="L244" s="21">
        <v>600</v>
      </c>
      <c r="M244" s="21">
        <v>660</v>
      </c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</row>
    <row r="245" spans="1:23" s="26" customFormat="1" ht="30" customHeight="1" x14ac:dyDescent="0.2">
      <c r="A245" s="254" t="s">
        <v>3184</v>
      </c>
      <c r="B245" s="119" t="s">
        <v>3195</v>
      </c>
      <c r="C245" s="21" t="s">
        <v>1</v>
      </c>
      <c r="D245" s="22">
        <v>1</v>
      </c>
      <c r="E245" s="51">
        <f t="shared" si="72"/>
        <v>10.909090909090908</v>
      </c>
      <c r="F245" s="298">
        <f t="shared" si="70"/>
        <v>9.166666666666666E-2</v>
      </c>
      <c r="G245" s="65">
        <f t="shared" si="73"/>
        <v>120</v>
      </c>
      <c r="H245" s="77">
        <v>5</v>
      </c>
      <c r="I245" s="71"/>
      <c r="J245" s="23"/>
      <c r="K245" s="65"/>
      <c r="L245" s="21">
        <v>600</v>
      </c>
      <c r="M245" s="21">
        <v>660</v>
      </c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</row>
    <row r="246" spans="1:23" s="26" customFormat="1" ht="30" customHeight="1" x14ac:dyDescent="0.2">
      <c r="A246" s="254" t="s">
        <v>3185</v>
      </c>
      <c r="B246" s="119" t="s">
        <v>3196</v>
      </c>
      <c r="C246" s="21" t="s">
        <v>1</v>
      </c>
      <c r="D246" s="22">
        <v>1</v>
      </c>
      <c r="E246" s="51">
        <f t="shared" si="72"/>
        <v>12.396694214876032</v>
      </c>
      <c r="F246" s="298">
        <f t="shared" si="70"/>
        <v>8.0666666666666678E-2</v>
      </c>
      <c r="G246" s="65">
        <f t="shared" si="73"/>
        <v>136.36363636363635</v>
      </c>
      <c r="H246" s="77">
        <v>4.4000000000000004</v>
      </c>
      <c r="I246" s="71"/>
      <c r="J246" s="23"/>
      <c r="K246" s="65"/>
      <c r="L246" s="21">
        <v>600</v>
      </c>
      <c r="M246" s="21">
        <v>660</v>
      </c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</row>
    <row r="247" spans="1:23" s="26" customFormat="1" ht="30" customHeight="1" x14ac:dyDescent="0.2">
      <c r="A247" s="254" t="s">
        <v>3186</v>
      </c>
      <c r="B247" s="119" t="s">
        <v>3197</v>
      </c>
      <c r="C247" s="21" t="s">
        <v>1</v>
      </c>
      <c r="D247" s="22">
        <v>1</v>
      </c>
      <c r="E247" s="51">
        <f t="shared" si="72"/>
        <v>9.9173553719008272</v>
      </c>
      <c r="F247" s="298">
        <f t="shared" si="70"/>
        <v>0.10083333333333333</v>
      </c>
      <c r="G247" s="65">
        <f t="shared" si="73"/>
        <v>109.09090909090909</v>
      </c>
      <c r="H247" s="77">
        <v>5.5</v>
      </c>
      <c r="I247" s="71"/>
      <c r="J247" s="23"/>
      <c r="K247" s="65"/>
      <c r="L247" s="21">
        <v>600</v>
      </c>
      <c r="M247" s="21">
        <v>660</v>
      </c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</row>
    <row r="248" spans="1:23" s="26" customFormat="1" ht="30" customHeight="1" x14ac:dyDescent="0.2">
      <c r="A248" s="254" t="s">
        <v>3187</v>
      </c>
      <c r="B248" s="119" t="s">
        <v>3198</v>
      </c>
      <c r="C248" s="21" t="s">
        <v>1</v>
      </c>
      <c r="D248" s="22">
        <v>1</v>
      </c>
      <c r="E248" s="51">
        <f t="shared" si="72"/>
        <v>11.363636363636363</v>
      </c>
      <c r="F248" s="298">
        <f t="shared" si="70"/>
        <v>8.7999999999999995E-2</v>
      </c>
      <c r="G248" s="65">
        <f t="shared" si="73"/>
        <v>125</v>
      </c>
      <c r="H248" s="77">
        <v>4.8</v>
      </c>
      <c r="I248" s="71"/>
      <c r="J248" s="23"/>
      <c r="K248" s="65"/>
      <c r="L248" s="21">
        <v>600</v>
      </c>
      <c r="M248" s="21">
        <v>660</v>
      </c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</row>
    <row r="249" spans="1:23" s="26" customFormat="1" ht="30" customHeight="1" x14ac:dyDescent="0.2">
      <c r="A249" s="254" t="s">
        <v>3243</v>
      </c>
      <c r="B249" s="119" t="s">
        <v>3199</v>
      </c>
      <c r="C249" s="21" t="s">
        <v>1</v>
      </c>
      <c r="D249" s="22">
        <v>1</v>
      </c>
      <c r="E249" s="51">
        <f t="shared" si="72"/>
        <v>9.0909090909090917</v>
      </c>
      <c r="F249" s="298">
        <f t="shared" si="70"/>
        <v>0.11</v>
      </c>
      <c r="G249" s="65">
        <f t="shared" si="73"/>
        <v>100</v>
      </c>
      <c r="H249" s="77">
        <v>6</v>
      </c>
      <c r="I249" s="71"/>
      <c r="J249" s="23"/>
      <c r="K249" s="65"/>
      <c r="L249" s="21">
        <v>600</v>
      </c>
      <c r="M249" s="21">
        <v>660</v>
      </c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</row>
    <row r="250" spans="1:23" s="26" customFormat="1" ht="30" customHeight="1" x14ac:dyDescent="0.2">
      <c r="A250" s="254" t="s">
        <v>3354</v>
      </c>
      <c r="B250" s="119" t="s">
        <v>3200</v>
      </c>
      <c r="C250" s="21" t="s">
        <v>1</v>
      </c>
      <c r="D250" s="22">
        <v>1</v>
      </c>
      <c r="E250" s="51">
        <f t="shared" si="72"/>
        <v>10.48951048951049</v>
      </c>
      <c r="F250" s="298">
        <f t="shared" si="70"/>
        <v>9.5333333333333325E-2</v>
      </c>
      <c r="G250" s="65">
        <f t="shared" si="73"/>
        <v>115.38461538461539</v>
      </c>
      <c r="H250" s="77">
        <v>5.2</v>
      </c>
      <c r="I250" s="71"/>
      <c r="J250" s="23"/>
      <c r="K250" s="65"/>
      <c r="L250" s="21">
        <v>600</v>
      </c>
      <c r="M250" s="21">
        <v>660</v>
      </c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</row>
    <row r="251" spans="1:23" s="26" customFormat="1" ht="30" customHeight="1" x14ac:dyDescent="0.2">
      <c r="A251" s="254" t="s">
        <v>3355</v>
      </c>
      <c r="B251" s="119" t="s">
        <v>3201</v>
      </c>
      <c r="C251" s="21" t="s">
        <v>1</v>
      </c>
      <c r="D251" s="22">
        <v>1</v>
      </c>
      <c r="E251" s="51">
        <f t="shared" si="72"/>
        <v>8.3916083916083917</v>
      </c>
      <c r="F251" s="298">
        <f t="shared" si="70"/>
        <v>0.11916666666666667</v>
      </c>
      <c r="G251" s="65">
        <f t="shared" si="73"/>
        <v>92.307692307692307</v>
      </c>
      <c r="H251" s="77">
        <v>6.5</v>
      </c>
      <c r="I251" s="71"/>
      <c r="J251" s="23"/>
      <c r="K251" s="65"/>
      <c r="L251" s="21">
        <v>600</v>
      </c>
      <c r="M251" s="21">
        <v>660</v>
      </c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</row>
    <row r="252" spans="1:23" s="26" customFormat="1" ht="30" customHeight="1" x14ac:dyDescent="0.2">
      <c r="A252" s="244"/>
      <c r="B252" s="121" t="s">
        <v>3522</v>
      </c>
      <c r="C252" s="36"/>
      <c r="D252" s="36"/>
      <c r="E252" s="36"/>
      <c r="F252" s="298" t="e">
        <f t="shared" si="70"/>
        <v>#DIV/0!</v>
      </c>
      <c r="G252" s="36"/>
      <c r="H252" s="223"/>
      <c r="I252" s="71"/>
      <c r="J252" s="298"/>
      <c r="K252" s="302"/>
      <c r="L252" s="297"/>
      <c r="M252" s="297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</row>
    <row r="253" spans="1:23" s="26" customFormat="1" ht="30" customHeight="1" x14ac:dyDescent="0.2">
      <c r="A253" s="305" t="s">
        <v>3541</v>
      </c>
      <c r="B253" s="110" t="s">
        <v>3540</v>
      </c>
      <c r="C253" s="299" t="s">
        <v>520</v>
      </c>
      <c r="D253" s="300">
        <v>1</v>
      </c>
      <c r="E253" s="301">
        <f t="shared" ref="E253" si="74">G253/11</f>
        <v>1.0000000000000009</v>
      </c>
      <c r="F253" s="298">
        <f t="shared" si="70"/>
        <v>0.999999999999999</v>
      </c>
      <c r="G253" s="302">
        <f t="shared" ref="G253" si="75">L253/H253</f>
        <v>11.000000000000011</v>
      </c>
      <c r="H253" s="303">
        <v>54.545454545454497</v>
      </c>
      <c r="I253" s="71">
        <f t="shared" ref="I253" si="76">M253/L253</f>
        <v>1.1000000000000001</v>
      </c>
      <c r="J253" s="298">
        <f t="shared" ref="J253" si="77">11/K253</f>
        <v>0.99999999999999922</v>
      </c>
      <c r="K253" s="302">
        <f t="shared" ref="K253" si="78">M253/(H253*I253)</f>
        <v>11.000000000000009</v>
      </c>
      <c r="L253" s="297">
        <v>600</v>
      </c>
      <c r="M253" s="297">
        <v>660</v>
      </c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</row>
    <row r="254" spans="1:23" s="26" customFormat="1" ht="30" customHeight="1" x14ac:dyDescent="0.2">
      <c r="A254" s="247"/>
      <c r="B254" s="255" t="s">
        <v>3530</v>
      </c>
      <c r="C254" s="96"/>
      <c r="D254" s="96"/>
      <c r="E254" s="96"/>
      <c r="F254" s="298" t="e">
        <f t="shared" si="70"/>
        <v>#DIV/0!</v>
      </c>
      <c r="G254" s="96"/>
      <c r="H254" s="246"/>
      <c r="I254" s="71"/>
      <c r="J254" s="298"/>
      <c r="K254" s="302"/>
      <c r="L254" s="297"/>
      <c r="M254" s="297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</row>
    <row r="255" spans="1:23" s="26" customFormat="1" ht="30" customHeight="1" x14ac:dyDescent="0.2">
      <c r="A255" s="305" t="s">
        <v>3532</v>
      </c>
      <c r="B255" s="111" t="s">
        <v>3529</v>
      </c>
      <c r="C255" s="297" t="s">
        <v>1</v>
      </c>
      <c r="D255" s="22">
        <v>1</v>
      </c>
      <c r="E255" s="301">
        <f t="shared" ref="E255:E256" si="79">G255/11</f>
        <v>1.8181818181818181</v>
      </c>
      <c r="F255" s="298">
        <f t="shared" si="70"/>
        <v>0.55000000000000004</v>
      </c>
      <c r="G255" s="302">
        <f t="shared" ref="G255:G256" si="80">L255/H255</f>
        <v>20</v>
      </c>
      <c r="H255" s="303">
        <v>30</v>
      </c>
      <c r="I255" s="71">
        <f t="shared" ref="I255" si="81">M255/L255</f>
        <v>1.1000000000000001</v>
      </c>
      <c r="J255" s="298">
        <f t="shared" ref="J255" si="82">11/K255</f>
        <v>0.55000000000000004</v>
      </c>
      <c r="K255" s="302">
        <f t="shared" ref="K255" si="83">M255/(H255*I255)</f>
        <v>20</v>
      </c>
      <c r="L255" s="297">
        <v>600</v>
      </c>
      <c r="M255" s="297">
        <v>660</v>
      </c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</row>
    <row r="256" spans="1:23" s="26" customFormat="1" ht="30" customHeight="1" x14ac:dyDescent="0.2">
      <c r="A256" s="305" t="s">
        <v>3533</v>
      </c>
      <c r="B256" s="111" t="s">
        <v>3526</v>
      </c>
      <c r="C256" s="297" t="s">
        <v>1</v>
      </c>
      <c r="D256" s="22">
        <v>1</v>
      </c>
      <c r="E256" s="301">
        <f t="shared" si="79"/>
        <v>1.7261219792865361</v>
      </c>
      <c r="F256" s="298">
        <f t="shared" si="70"/>
        <v>0.57933333333333337</v>
      </c>
      <c r="G256" s="302">
        <f t="shared" si="80"/>
        <v>18.987341772151897</v>
      </c>
      <c r="H256" s="303">
        <v>31.6</v>
      </c>
      <c r="I256" s="71">
        <f t="shared" ref="I256" si="84">M256/L256</f>
        <v>1.1000000000000001</v>
      </c>
      <c r="J256" s="298">
        <f t="shared" ref="J256" si="85">11/K256</f>
        <v>0.57933333333333337</v>
      </c>
      <c r="K256" s="302">
        <f t="shared" ref="K256" si="86">M256/(H256*I256)</f>
        <v>18.987341772151897</v>
      </c>
      <c r="L256" s="297">
        <v>600</v>
      </c>
      <c r="M256" s="297">
        <v>660</v>
      </c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</row>
    <row r="257" spans="1:23" s="26" customFormat="1" ht="30" customHeight="1" x14ac:dyDescent="0.2">
      <c r="A257" s="305" t="s">
        <v>3534</v>
      </c>
      <c r="B257" s="111" t="s">
        <v>3527</v>
      </c>
      <c r="C257" s="297" t="s">
        <v>1</v>
      </c>
      <c r="D257" s="22">
        <v>1</v>
      </c>
      <c r="E257" s="301">
        <f t="shared" ref="E257:E259" si="87">G257/11</f>
        <v>1.6330974414806751</v>
      </c>
      <c r="F257" s="298">
        <f t="shared" si="70"/>
        <v>0.61233333333333329</v>
      </c>
      <c r="G257" s="302">
        <f t="shared" ref="G257:G259" si="88">L257/H257</f>
        <v>17.964071856287426</v>
      </c>
      <c r="H257" s="303">
        <v>33.4</v>
      </c>
      <c r="I257" s="71">
        <f t="shared" ref="I257" si="89">M257/L257</f>
        <v>1.1000000000000001</v>
      </c>
      <c r="J257" s="298">
        <f t="shared" ref="J257" si="90">11/K257</f>
        <v>0.61233333333333329</v>
      </c>
      <c r="K257" s="302">
        <f t="shared" ref="K257" si="91">M257/(H257*I257)</f>
        <v>17.964071856287426</v>
      </c>
      <c r="L257" s="297">
        <v>600</v>
      </c>
      <c r="M257" s="297">
        <v>660</v>
      </c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</row>
    <row r="258" spans="1:23" s="26" customFormat="1" ht="30" customHeight="1" x14ac:dyDescent="0.2">
      <c r="A258" s="305" t="s">
        <v>3535</v>
      </c>
      <c r="B258" s="111" t="s">
        <v>3528</v>
      </c>
      <c r="C258" s="297" t="s">
        <v>1</v>
      </c>
      <c r="D258" s="22">
        <v>1</v>
      </c>
      <c r="E258" s="301">
        <f t="shared" si="87"/>
        <v>1.4742014742014744</v>
      </c>
      <c r="F258" s="298">
        <f t="shared" si="70"/>
        <v>0.67833333333333323</v>
      </c>
      <c r="G258" s="302">
        <f t="shared" si="88"/>
        <v>16.216216216216218</v>
      </c>
      <c r="H258" s="303">
        <v>37</v>
      </c>
      <c r="I258" s="71">
        <f t="shared" ref="I258:I262" si="92">M258/L258</f>
        <v>1.1000000000000001</v>
      </c>
      <c r="J258" s="298">
        <f t="shared" ref="J258:J262" si="93">11/K258</f>
        <v>0.67833333333333345</v>
      </c>
      <c r="K258" s="302">
        <f t="shared" ref="K258:K262" si="94">M258/(H258*I258)</f>
        <v>16.216216216216214</v>
      </c>
      <c r="L258" s="297">
        <v>600</v>
      </c>
      <c r="M258" s="297">
        <v>660</v>
      </c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</row>
    <row r="259" spans="1:23" s="26" customFormat="1" ht="30" customHeight="1" x14ac:dyDescent="0.2">
      <c r="A259" s="305" t="s">
        <v>3536</v>
      </c>
      <c r="B259" s="111" t="s">
        <v>1589</v>
      </c>
      <c r="C259" s="297" t="s">
        <v>1</v>
      </c>
      <c r="D259" s="22">
        <v>1</v>
      </c>
      <c r="E259" s="301">
        <f t="shared" si="87"/>
        <v>1.3636363636363635</v>
      </c>
      <c r="F259" s="298">
        <f t="shared" si="70"/>
        <v>0.73333333333333328</v>
      </c>
      <c r="G259" s="302">
        <f t="shared" si="88"/>
        <v>15</v>
      </c>
      <c r="H259" s="303">
        <v>40</v>
      </c>
      <c r="I259" s="71">
        <f t="shared" ref="I259" si="95">M259/L259</f>
        <v>1.1000000000000001</v>
      </c>
      <c r="J259" s="298">
        <f t="shared" ref="J259" si="96">11/K259</f>
        <v>0.73333333333333328</v>
      </c>
      <c r="K259" s="302">
        <f t="shared" ref="K259" si="97">M259/(H259*I259)</f>
        <v>15</v>
      </c>
      <c r="L259" s="297">
        <v>600</v>
      </c>
      <c r="M259" s="297">
        <v>660</v>
      </c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</row>
    <row r="260" spans="1:23" s="26" customFormat="1" ht="30" customHeight="1" x14ac:dyDescent="0.2">
      <c r="A260" s="247"/>
      <c r="B260" s="255" t="s">
        <v>3531</v>
      </c>
      <c r="C260" s="96"/>
      <c r="D260" s="96"/>
      <c r="E260" s="96"/>
      <c r="F260" s="298" t="e">
        <f t="shared" si="70"/>
        <v>#DIV/0!</v>
      </c>
      <c r="G260" s="96"/>
      <c r="H260" s="246"/>
      <c r="I260" s="308"/>
      <c r="J260" s="251"/>
      <c r="K260" s="252"/>
      <c r="L260" s="248"/>
      <c r="M260" s="248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</row>
    <row r="261" spans="1:23" s="26" customFormat="1" ht="30" customHeight="1" x14ac:dyDescent="0.2">
      <c r="A261" s="305" t="s">
        <v>3537</v>
      </c>
      <c r="B261" s="111" t="s">
        <v>3523</v>
      </c>
      <c r="C261" s="297" t="s">
        <v>1</v>
      </c>
      <c r="D261" s="22">
        <v>1</v>
      </c>
      <c r="E261" s="301">
        <f t="shared" ref="E261:E263" si="98">G261/11</f>
        <v>0.81411126187245586</v>
      </c>
      <c r="F261" s="298">
        <f t="shared" si="70"/>
        <v>1.2283333333333335</v>
      </c>
      <c r="G261" s="302">
        <f t="shared" ref="G261:G263" si="99">L261/H261</f>
        <v>8.9552238805970141</v>
      </c>
      <c r="H261" s="303">
        <v>67</v>
      </c>
      <c r="I261" s="71">
        <f t="shared" si="92"/>
        <v>1.1000000000000001</v>
      </c>
      <c r="J261" s="298">
        <f t="shared" si="93"/>
        <v>1.2283333333333335</v>
      </c>
      <c r="K261" s="302">
        <f t="shared" si="94"/>
        <v>8.9552238805970141</v>
      </c>
      <c r="L261" s="297">
        <v>600</v>
      </c>
      <c r="M261" s="297">
        <v>660</v>
      </c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</row>
    <row r="262" spans="1:23" s="26" customFormat="1" ht="30" customHeight="1" x14ac:dyDescent="0.2">
      <c r="A262" s="305" t="s">
        <v>3538</v>
      </c>
      <c r="B262" s="111" t="s">
        <v>3524</v>
      </c>
      <c r="C262" s="297" t="s">
        <v>1</v>
      </c>
      <c r="D262" s="22">
        <v>1</v>
      </c>
      <c r="E262" s="301">
        <f t="shared" si="98"/>
        <v>0.76824583866837381</v>
      </c>
      <c r="F262" s="298">
        <f t="shared" si="70"/>
        <v>1.3016666666666667</v>
      </c>
      <c r="G262" s="302">
        <f t="shared" si="99"/>
        <v>8.4507042253521121</v>
      </c>
      <c r="H262" s="303">
        <v>71</v>
      </c>
      <c r="I262" s="71">
        <f t="shared" si="92"/>
        <v>1.1000000000000001</v>
      </c>
      <c r="J262" s="298">
        <f t="shared" si="93"/>
        <v>1.3016666666666667</v>
      </c>
      <c r="K262" s="302">
        <f t="shared" si="94"/>
        <v>8.4507042253521121</v>
      </c>
      <c r="L262" s="297">
        <v>600</v>
      </c>
      <c r="M262" s="297">
        <v>660</v>
      </c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</row>
    <row r="263" spans="1:23" s="26" customFormat="1" ht="30" customHeight="1" x14ac:dyDescent="0.2">
      <c r="A263" s="305" t="s">
        <v>3539</v>
      </c>
      <c r="B263" s="111" t="s">
        <v>3525</v>
      </c>
      <c r="C263" s="297" t="s">
        <v>1</v>
      </c>
      <c r="D263" s="22">
        <v>1</v>
      </c>
      <c r="E263" s="301">
        <f t="shared" si="98"/>
        <v>0.72727272727272729</v>
      </c>
      <c r="F263" s="298">
        <f t="shared" si="70"/>
        <v>1.375</v>
      </c>
      <c r="G263" s="302">
        <f t="shared" si="99"/>
        <v>8</v>
      </c>
      <c r="H263" s="303">
        <v>75</v>
      </c>
      <c r="I263" s="71">
        <f t="shared" ref="I263" si="100">M263/L263</f>
        <v>1.1000000000000001</v>
      </c>
      <c r="J263" s="298">
        <f t="shared" ref="J263" si="101">11/K263</f>
        <v>1.375</v>
      </c>
      <c r="K263" s="302">
        <f t="shared" ref="K263" si="102">M263/(H263*I263)</f>
        <v>8</v>
      </c>
      <c r="L263" s="297">
        <v>600</v>
      </c>
      <c r="M263" s="297">
        <v>660</v>
      </c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</row>
    <row r="264" spans="1:23" s="26" customFormat="1" ht="30" customHeight="1" x14ac:dyDescent="0.2">
      <c r="A264" s="244"/>
      <c r="B264" s="121" t="s">
        <v>621</v>
      </c>
      <c r="C264" s="36"/>
      <c r="D264" s="36"/>
      <c r="E264" s="36"/>
      <c r="F264" s="298" t="e">
        <f t="shared" si="70"/>
        <v>#DIV/0!</v>
      </c>
      <c r="G264" s="36"/>
      <c r="H264" s="223"/>
      <c r="I264" s="292"/>
      <c r="J264" s="293"/>
      <c r="K264" s="292"/>
      <c r="L264" s="293"/>
      <c r="M264" s="292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</row>
    <row r="265" spans="1:23" s="26" customFormat="1" ht="30" customHeight="1" x14ac:dyDescent="0.2">
      <c r="A265" s="106"/>
      <c r="B265" s="122" t="s">
        <v>600</v>
      </c>
      <c r="C265" s="28"/>
      <c r="D265" s="28"/>
      <c r="E265" s="28"/>
      <c r="F265" s="298" t="e">
        <f t="shared" si="70"/>
        <v>#DIV/0!</v>
      </c>
      <c r="G265" s="28"/>
      <c r="H265" s="225"/>
      <c r="I265" s="63"/>
      <c r="J265" s="294"/>
      <c r="K265" s="63"/>
      <c r="L265" s="294"/>
      <c r="M265" s="63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</row>
    <row r="266" spans="1:23" s="26" customFormat="1" ht="30" customHeight="1" x14ac:dyDescent="0.2">
      <c r="A266" s="106" t="s">
        <v>1742</v>
      </c>
      <c r="B266" s="123" t="s">
        <v>351</v>
      </c>
      <c r="C266" s="21" t="s">
        <v>1</v>
      </c>
      <c r="D266" s="50">
        <v>1</v>
      </c>
      <c r="E266" s="51">
        <f>G266/11</f>
        <v>207.27272727272728</v>
      </c>
      <c r="F266" s="298">
        <f t="shared" si="70"/>
        <v>4.8245614035087722E-3</v>
      </c>
      <c r="G266" s="65">
        <f t="shared" ref="G266:G268" si="103">K266</f>
        <v>2280</v>
      </c>
      <c r="H266" s="77">
        <v>0.26315789473684209</v>
      </c>
      <c r="I266" s="71">
        <f>M266/L266</f>
        <v>1.1000000000000001</v>
      </c>
      <c r="J266" s="23">
        <f>11/K266</f>
        <v>4.8245614035087722E-3</v>
      </c>
      <c r="K266" s="65">
        <f>M266/(H266*I266)</f>
        <v>2280</v>
      </c>
      <c r="L266" s="21">
        <v>600</v>
      </c>
      <c r="M266" s="21">
        <v>660</v>
      </c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</row>
    <row r="267" spans="1:23" s="26" customFormat="1" ht="30" customHeight="1" x14ac:dyDescent="0.2">
      <c r="A267" s="106" t="s">
        <v>1743</v>
      </c>
      <c r="B267" s="123" t="s">
        <v>352</v>
      </c>
      <c r="C267" s="21" t="s">
        <v>1</v>
      </c>
      <c r="D267" s="22">
        <v>1</v>
      </c>
      <c r="E267" s="51">
        <f>G267/11</f>
        <v>141.81818181818178</v>
      </c>
      <c r="F267" s="298">
        <f t="shared" si="70"/>
        <v>7.0512820512820523E-3</v>
      </c>
      <c r="G267" s="65">
        <f t="shared" si="103"/>
        <v>1559.9999999999998</v>
      </c>
      <c r="H267" s="77">
        <v>0.38461538461538464</v>
      </c>
      <c r="I267" s="71">
        <f>M267/L267</f>
        <v>1.1000000000000001</v>
      </c>
      <c r="J267" s="23">
        <f>11/K267</f>
        <v>7.0512820512820523E-3</v>
      </c>
      <c r="K267" s="65">
        <f>M267/(H267*I267)</f>
        <v>1559.9999999999998</v>
      </c>
      <c r="L267" s="21">
        <v>600</v>
      </c>
      <c r="M267" s="21">
        <v>660</v>
      </c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</row>
    <row r="268" spans="1:23" s="26" customFormat="1" ht="30" customHeight="1" x14ac:dyDescent="0.2">
      <c r="A268" s="106" t="s">
        <v>1744</v>
      </c>
      <c r="B268" s="123" t="s">
        <v>353</v>
      </c>
      <c r="C268" s="21" t="s">
        <v>1</v>
      </c>
      <c r="D268" s="50">
        <v>1</v>
      </c>
      <c r="E268" s="51">
        <f>G268/11</f>
        <v>207.27272727272728</v>
      </c>
      <c r="F268" s="298">
        <f t="shared" si="70"/>
        <v>4.8245614035087722E-3</v>
      </c>
      <c r="G268" s="65">
        <f t="shared" si="103"/>
        <v>2280</v>
      </c>
      <c r="H268" s="77">
        <v>0.26315789473684209</v>
      </c>
      <c r="I268" s="71">
        <f>M268/L268</f>
        <v>1.1000000000000001</v>
      </c>
      <c r="J268" s="23">
        <f>11/K268</f>
        <v>4.8245614035087722E-3</v>
      </c>
      <c r="K268" s="65">
        <f>M268/(H268*I268)</f>
        <v>2280</v>
      </c>
      <c r="L268" s="21">
        <v>600</v>
      </c>
      <c r="M268" s="21">
        <v>660</v>
      </c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</row>
    <row r="269" spans="1:23" s="26" customFormat="1" ht="30" customHeight="1" x14ac:dyDescent="0.2">
      <c r="A269" s="106"/>
      <c r="B269" s="122" t="s">
        <v>941</v>
      </c>
      <c r="C269" s="28"/>
      <c r="D269" s="28"/>
      <c r="E269" s="28"/>
      <c r="F269" s="28"/>
      <c r="G269" s="28"/>
      <c r="H269" s="225"/>
      <c r="I269" s="63"/>
      <c r="J269" s="63"/>
      <c r="K269" s="63"/>
      <c r="L269" s="63"/>
      <c r="M269" s="63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</row>
    <row r="270" spans="1:23" s="26" customFormat="1" ht="30" customHeight="1" x14ac:dyDescent="0.2">
      <c r="A270" s="254" t="s">
        <v>3590</v>
      </c>
      <c r="B270" s="109" t="s">
        <v>3594</v>
      </c>
      <c r="C270" s="59" t="s">
        <v>3578</v>
      </c>
      <c r="D270" s="22"/>
      <c r="E270" s="301">
        <f t="shared" ref="E270:E273" si="104">G270/11</f>
        <v>10.363636363636362</v>
      </c>
      <c r="F270" s="298">
        <f t="shared" ref="F270:F273" si="105">11/G270</f>
        <v>9.6491228070175447E-2</v>
      </c>
      <c r="G270" s="302">
        <f t="shared" ref="G270:G273" si="106">L270/H270</f>
        <v>113.99999999999999</v>
      </c>
      <c r="H270" s="303">
        <v>5.2631578947368425</v>
      </c>
      <c r="I270" s="71"/>
      <c r="J270" s="298"/>
      <c r="K270" s="302"/>
      <c r="L270" s="297">
        <v>600</v>
      </c>
      <c r="M270" s="297">
        <v>660</v>
      </c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</row>
    <row r="271" spans="1:23" s="26" customFormat="1" ht="30" customHeight="1" x14ac:dyDescent="0.2">
      <c r="A271" s="254" t="s">
        <v>3591</v>
      </c>
      <c r="B271" s="109" t="s">
        <v>3597</v>
      </c>
      <c r="C271" s="59" t="s">
        <v>3579</v>
      </c>
      <c r="D271" s="22"/>
      <c r="E271" s="301">
        <f t="shared" si="104"/>
        <v>10.363636363636362</v>
      </c>
      <c r="F271" s="298">
        <f t="shared" si="105"/>
        <v>9.6491228070175447E-2</v>
      </c>
      <c r="G271" s="302">
        <f t="shared" si="106"/>
        <v>113.99999999999999</v>
      </c>
      <c r="H271" s="303">
        <v>5.2631578947368425</v>
      </c>
      <c r="I271" s="71"/>
      <c r="J271" s="298"/>
      <c r="K271" s="302"/>
      <c r="L271" s="297">
        <v>600</v>
      </c>
      <c r="M271" s="297">
        <v>660</v>
      </c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</row>
    <row r="272" spans="1:23" s="26" customFormat="1" ht="30" customHeight="1" x14ac:dyDescent="0.2">
      <c r="A272" s="254" t="s">
        <v>3592</v>
      </c>
      <c r="B272" s="109" t="s">
        <v>3595</v>
      </c>
      <c r="C272" s="59" t="s">
        <v>3578</v>
      </c>
      <c r="D272" s="22"/>
      <c r="E272" s="301">
        <f t="shared" si="104"/>
        <v>10.363636363636362</v>
      </c>
      <c r="F272" s="298">
        <f t="shared" si="105"/>
        <v>9.6491228070175447E-2</v>
      </c>
      <c r="G272" s="302">
        <f t="shared" si="106"/>
        <v>113.99999999999999</v>
      </c>
      <c r="H272" s="303">
        <v>5.2631578947368425</v>
      </c>
      <c r="I272" s="71"/>
      <c r="J272" s="298"/>
      <c r="K272" s="302"/>
      <c r="L272" s="297">
        <v>600</v>
      </c>
      <c r="M272" s="297">
        <v>660</v>
      </c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</row>
    <row r="273" spans="1:23" s="26" customFormat="1" ht="30" customHeight="1" x14ac:dyDescent="0.2">
      <c r="A273" s="254" t="s">
        <v>3593</v>
      </c>
      <c r="B273" s="109" t="s">
        <v>3596</v>
      </c>
      <c r="C273" s="59" t="s">
        <v>3579</v>
      </c>
      <c r="D273" s="22"/>
      <c r="E273" s="301">
        <f t="shared" si="104"/>
        <v>10.363636363636362</v>
      </c>
      <c r="F273" s="298">
        <f t="shared" si="105"/>
        <v>9.6491228070175447E-2</v>
      </c>
      <c r="G273" s="302">
        <f t="shared" si="106"/>
        <v>113.99999999999999</v>
      </c>
      <c r="H273" s="303">
        <v>5.2631578947368425</v>
      </c>
      <c r="I273" s="71"/>
      <c r="J273" s="298"/>
      <c r="K273" s="302"/>
      <c r="L273" s="297">
        <v>600</v>
      </c>
      <c r="M273" s="297">
        <v>660</v>
      </c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</row>
    <row r="274" spans="1:23" s="26" customFormat="1" ht="30" customHeight="1" x14ac:dyDescent="0.2">
      <c r="A274" s="106"/>
      <c r="B274" s="122" t="s">
        <v>355</v>
      </c>
      <c r="C274" s="28"/>
      <c r="D274" s="28"/>
      <c r="E274" s="28"/>
      <c r="F274" s="28"/>
      <c r="G274" s="28"/>
      <c r="H274" s="225"/>
      <c r="I274" s="63"/>
      <c r="J274" s="63"/>
      <c r="K274" s="63"/>
      <c r="L274" s="63"/>
      <c r="M274" s="63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</row>
    <row r="275" spans="1:23" s="26" customFormat="1" ht="30" customHeight="1" x14ac:dyDescent="0.2">
      <c r="A275" s="106" t="s">
        <v>1745</v>
      </c>
      <c r="B275" s="123" t="s">
        <v>356</v>
      </c>
      <c r="C275" s="58" t="s">
        <v>354</v>
      </c>
      <c r="D275" s="22">
        <v>1</v>
      </c>
      <c r="E275" s="51">
        <f>G275/11</f>
        <v>6</v>
      </c>
      <c r="F275" s="298">
        <f t="shared" si="70"/>
        <v>0.16666666666666666</v>
      </c>
      <c r="G275" s="65">
        <f>K275</f>
        <v>66</v>
      </c>
      <c r="H275" s="77">
        <v>9.0909090909090899</v>
      </c>
      <c r="I275" s="71">
        <f>M275/L275</f>
        <v>1.1000000000000001</v>
      </c>
      <c r="J275" s="23">
        <f>11/K275</f>
        <v>0.16666666666666666</v>
      </c>
      <c r="K275" s="65">
        <f>M275/(H275*I275)</f>
        <v>66</v>
      </c>
      <c r="L275" s="21">
        <v>600</v>
      </c>
      <c r="M275" s="21">
        <v>660</v>
      </c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</row>
    <row r="276" spans="1:23" s="26" customFormat="1" ht="30" customHeight="1" x14ac:dyDescent="0.2">
      <c r="A276" s="106" t="s">
        <v>1746</v>
      </c>
      <c r="B276" s="123" t="s">
        <v>357</v>
      </c>
      <c r="C276" s="58" t="s">
        <v>354</v>
      </c>
      <c r="D276" s="50">
        <v>1</v>
      </c>
      <c r="E276" s="51">
        <f>G276/11</f>
        <v>5.16</v>
      </c>
      <c r="F276" s="298">
        <f t="shared" si="70"/>
        <v>0.19379844961240308</v>
      </c>
      <c r="G276" s="65">
        <f>K276</f>
        <v>56.760000000000005</v>
      </c>
      <c r="H276" s="77">
        <v>10.570824524312895</v>
      </c>
      <c r="I276" s="71">
        <f>M276/L276</f>
        <v>1.1000000000000001</v>
      </c>
      <c r="J276" s="23">
        <f>11/K276</f>
        <v>0.19379844961240308</v>
      </c>
      <c r="K276" s="65">
        <f>M276/(H276*I276)</f>
        <v>56.760000000000005</v>
      </c>
      <c r="L276" s="21">
        <v>600</v>
      </c>
      <c r="M276" s="21">
        <v>660</v>
      </c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</row>
    <row r="277" spans="1:23" s="26" customFormat="1" ht="30" customHeight="1" x14ac:dyDescent="0.2">
      <c r="A277" s="106"/>
      <c r="B277" s="122" t="s">
        <v>358</v>
      </c>
      <c r="C277" s="28"/>
      <c r="D277" s="28"/>
      <c r="E277" s="28"/>
      <c r="F277" s="28"/>
      <c r="G277" s="28"/>
      <c r="H277" s="225"/>
      <c r="I277" s="63"/>
      <c r="J277" s="63"/>
      <c r="K277" s="63"/>
      <c r="L277" s="63"/>
      <c r="M277" s="63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</row>
    <row r="278" spans="1:23" s="26" customFormat="1" ht="30" customHeight="1" x14ac:dyDescent="0.2">
      <c r="A278" s="106" t="s">
        <v>1747</v>
      </c>
      <c r="B278" s="123" t="s">
        <v>359</v>
      </c>
      <c r="C278" s="21" t="s">
        <v>1</v>
      </c>
      <c r="D278" s="50">
        <v>1</v>
      </c>
      <c r="E278" s="51">
        <f t="shared" ref="E278:E296" si="107">G278/11</f>
        <v>52.800000000000018</v>
      </c>
      <c r="F278" s="298">
        <f t="shared" si="70"/>
        <v>1.8939393939393933E-2</v>
      </c>
      <c r="G278" s="65">
        <f t="shared" ref="G278:G296" si="108">K278</f>
        <v>580.80000000000018</v>
      </c>
      <c r="H278" s="77">
        <v>1.0330578512396691</v>
      </c>
      <c r="I278" s="71">
        <f t="shared" ref="I278:I296" si="109">M278/L278</f>
        <v>1.1000000000000001</v>
      </c>
      <c r="J278" s="23">
        <f t="shared" ref="J278:J296" si="110">11/K278</f>
        <v>1.8939393939393933E-2</v>
      </c>
      <c r="K278" s="65">
        <f t="shared" ref="K278:K296" si="111">M278/(H278*I278)</f>
        <v>580.80000000000018</v>
      </c>
      <c r="L278" s="21">
        <v>600</v>
      </c>
      <c r="M278" s="21">
        <v>660</v>
      </c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</row>
    <row r="279" spans="1:23" s="26" customFormat="1" ht="30" customHeight="1" x14ac:dyDescent="0.2">
      <c r="A279" s="106" t="s">
        <v>1748</v>
      </c>
      <c r="B279" s="123" t="s">
        <v>360</v>
      </c>
      <c r="C279" s="21" t="s">
        <v>1</v>
      </c>
      <c r="D279" s="22">
        <v>1</v>
      </c>
      <c r="E279" s="51">
        <f t="shared" si="107"/>
        <v>48.840000000000011</v>
      </c>
      <c r="F279" s="298">
        <f t="shared" si="70"/>
        <v>2.0475020475020471E-2</v>
      </c>
      <c r="G279" s="65">
        <f t="shared" si="108"/>
        <v>537.24000000000012</v>
      </c>
      <c r="H279" s="77">
        <v>1.1168192986374801</v>
      </c>
      <c r="I279" s="71">
        <f t="shared" si="109"/>
        <v>1.1000000000000001</v>
      </c>
      <c r="J279" s="23">
        <f t="shared" si="110"/>
        <v>2.0475020475020471E-2</v>
      </c>
      <c r="K279" s="65">
        <f t="shared" si="111"/>
        <v>537.24000000000012</v>
      </c>
      <c r="L279" s="21">
        <v>600</v>
      </c>
      <c r="M279" s="21">
        <v>660</v>
      </c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</row>
    <row r="280" spans="1:23" s="26" customFormat="1" ht="30" customHeight="1" x14ac:dyDescent="0.2">
      <c r="A280" s="106" t="s">
        <v>1749</v>
      </c>
      <c r="B280" s="123" t="s">
        <v>361</v>
      </c>
      <c r="C280" s="21" t="s">
        <v>1</v>
      </c>
      <c r="D280" s="50">
        <v>1</v>
      </c>
      <c r="E280" s="51">
        <f t="shared" si="107"/>
        <v>40.92</v>
      </c>
      <c r="F280" s="298">
        <f t="shared" si="70"/>
        <v>2.4437927663734114E-2</v>
      </c>
      <c r="G280" s="65">
        <f t="shared" si="108"/>
        <v>450.12</v>
      </c>
      <c r="H280" s="77">
        <v>1.3329778725673154</v>
      </c>
      <c r="I280" s="71">
        <f t="shared" si="109"/>
        <v>1.1000000000000001</v>
      </c>
      <c r="J280" s="23">
        <f t="shared" si="110"/>
        <v>2.4437927663734114E-2</v>
      </c>
      <c r="K280" s="65">
        <f t="shared" si="111"/>
        <v>450.12</v>
      </c>
      <c r="L280" s="21">
        <v>600</v>
      </c>
      <c r="M280" s="21">
        <v>660</v>
      </c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</row>
    <row r="281" spans="1:23" s="26" customFormat="1" ht="30" customHeight="1" x14ac:dyDescent="0.2">
      <c r="A281" s="106" t="s">
        <v>1750</v>
      </c>
      <c r="B281" s="123" t="s">
        <v>362</v>
      </c>
      <c r="C281" s="21" t="s">
        <v>1</v>
      </c>
      <c r="D281" s="22">
        <v>1</v>
      </c>
      <c r="E281" s="51">
        <f t="shared" si="107"/>
        <v>75.239999999999995</v>
      </c>
      <c r="F281" s="298">
        <f t="shared" si="70"/>
        <v>1.3290802764486976E-2</v>
      </c>
      <c r="G281" s="65">
        <f t="shared" si="108"/>
        <v>827.63999999999987</v>
      </c>
      <c r="H281" s="77">
        <v>0.72495287806292596</v>
      </c>
      <c r="I281" s="71">
        <f t="shared" si="109"/>
        <v>1.1000000000000001</v>
      </c>
      <c r="J281" s="23">
        <f t="shared" si="110"/>
        <v>1.3290802764486976E-2</v>
      </c>
      <c r="K281" s="65">
        <f t="shared" si="111"/>
        <v>827.63999999999987</v>
      </c>
      <c r="L281" s="21">
        <v>600</v>
      </c>
      <c r="M281" s="21">
        <v>660</v>
      </c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</row>
    <row r="282" spans="1:23" s="26" customFormat="1" ht="30" customHeight="1" x14ac:dyDescent="0.2">
      <c r="A282" s="106" t="s">
        <v>1751</v>
      </c>
      <c r="B282" s="123" t="s">
        <v>363</v>
      </c>
      <c r="C282" s="21" t="s">
        <v>1</v>
      </c>
      <c r="D282" s="50">
        <v>1</v>
      </c>
      <c r="E282" s="51">
        <f t="shared" si="107"/>
        <v>64.680000000000007</v>
      </c>
      <c r="F282" s="298">
        <f t="shared" si="70"/>
        <v>1.5460729746444031E-2</v>
      </c>
      <c r="G282" s="65">
        <f t="shared" si="108"/>
        <v>711.48</v>
      </c>
      <c r="H282" s="77">
        <v>0.84331253162421982</v>
      </c>
      <c r="I282" s="71">
        <f t="shared" si="109"/>
        <v>1.1000000000000001</v>
      </c>
      <c r="J282" s="23">
        <f t="shared" si="110"/>
        <v>1.5460729746444031E-2</v>
      </c>
      <c r="K282" s="65">
        <f t="shared" si="111"/>
        <v>711.48</v>
      </c>
      <c r="L282" s="21">
        <v>600</v>
      </c>
      <c r="M282" s="21">
        <v>660</v>
      </c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</row>
    <row r="283" spans="1:23" s="26" customFormat="1" ht="30" customHeight="1" x14ac:dyDescent="0.2">
      <c r="A283" s="106" t="s">
        <v>1752</v>
      </c>
      <c r="B283" s="123" t="s">
        <v>364</v>
      </c>
      <c r="C283" s="21" t="s">
        <v>1</v>
      </c>
      <c r="D283" s="22">
        <v>1</v>
      </c>
      <c r="E283" s="51">
        <f t="shared" si="107"/>
        <v>54.72</v>
      </c>
      <c r="F283" s="298">
        <f t="shared" si="70"/>
        <v>1.8274853801169593E-2</v>
      </c>
      <c r="G283" s="65">
        <f t="shared" si="108"/>
        <v>601.91999999999996</v>
      </c>
      <c r="H283" s="77">
        <v>0.99681020733652315</v>
      </c>
      <c r="I283" s="71">
        <f t="shared" si="109"/>
        <v>1.1000000000000001</v>
      </c>
      <c r="J283" s="23">
        <f t="shared" si="110"/>
        <v>1.8274853801169593E-2</v>
      </c>
      <c r="K283" s="65">
        <f t="shared" si="111"/>
        <v>601.91999999999996</v>
      </c>
      <c r="L283" s="21">
        <v>600</v>
      </c>
      <c r="M283" s="21">
        <v>660</v>
      </c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</row>
    <row r="284" spans="1:23" s="26" customFormat="1" ht="30" customHeight="1" x14ac:dyDescent="0.2">
      <c r="A284" s="106" t="s">
        <v>1753</v>
      </c>
      <c r="B284" s="123" t="s">
        <v>365</v>
      </c>
      <c r="C284" s="21" t="s">
        <v>1</v>
      </c>
      <c r="D284" s="50">
        <v>1</v>
      </c>
      <c r="E284" s="51">
        <f t="shared" si="107"/>
        <v>105.60000000000004</v>
      </c>
      <c r="F284" s="298">
        <f t="shared" si="70"/>
        <v>9.4696969696969665E-3</v>
      </c>
      <c r="G284" s="65">
        <f t="shared" si="108"/>
        <v>1161.6000000000004</v>
      </c>
      <c r="H284" s="77">
        <v>0.51652892561983454</v>
      </c>
      <c r="I284" s="71">
        <f t="shared" si="109"/>
        <v>1.1000000000000001</v>
      </c>
      <c r="J284" s="23">
        <f t="shared" si="110"/>
        <v>9.4696969696969665E-3</v>
      </c>
      <c r="K284" s="65">
        <f t="shared" si="111"/>
        <v>1161.6000000000004</v>
      </c>
      <c r="L284" s="21">
        <v>600</v>
      </c>
      <c r="M284" s="21">
        <v>660</v>
      </c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</row>
    <row r="285" spans="1:23" s="26" customFormat="1" ht="30" customHeight="1" x14ac:dyDescent="0.2">
      <c r="A285" s="106" t="s">
        <v>1754</v>
      </c>
      <c r="B285" s="123" t="s">
        <v>366</v>
      </c>
      <c r="C285" s="21" t="s">
        <v>1</v>
      </c>
      <c r="D285" s="22">
        <v>1</v>
      </c>
      <c r="E285" s="51">
        <f t="shared" si="107"/>
        <v>101.64</v>
      </c>
      <c r="F285" s="298">
        <f t="shared" si="70"/>
        <v>9.8386462022825669E-3</v>
      </c>
      <c r="G285" s="65">
        <f t="shared" si="108"/>
        <v>1118.04</v>
      </c>
      <c r="H285" s="77">
        <v>0.53665342921541259</v>
      </c>
      <c r="I285" s="71">
        <f t="shared" si="109"/>
        <v>1.1000000000000001</v>
      </c>
      <c r="J285" s="23">
        <f t="shared" si="110"/>
        <v>9.8386462022825669E-3</v>
      </c>
      <c r="K285" s="65">
        <f t="shared" si="111"/>
        <v>1118.04</v>
      </c>
      <c r="L285" s="21">
        <v>600</v>
      </c>
      <c r="M285" s="21">
        <v>660</v>
      </c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</row>
    <row r="286" spans="1:23" s="26" customFormat="1" ht="30" customHeight="1" x14ac:dyDescent="0.2">
      <c r="A286" s="106" t="s">
        <v>1755</v>
      </c>
      <c r="B286" s="123" t="s">
        <v>367</v>
      </c>
      <c r="C286" s="21" t="s">
        <v>1</v>
      </c>
      <c r="D286" s="50">
        <v>1</v>
      </c>
      <c r="E286" s="51">
        <f t="shared" si="107"/>
        <v>96.96</v>
      </c>
      <c r="F286" s="298">
        <f t="shared" si="70"/>
        <v>1.0313531353135313E-2</v>
      </c>
      <c r="G286" s="65">
        <f t="shared" si="108"/>
        <v>1066.56</v>
      </c>
      <c r="H286" s="77">
        <v>0.56255625562556255</v>
      </c>
      <c r="I286" s="71">
        <f t="shared" si="109"/>
        <v>1.1000000000000001</v>
      </c>
      <c r="J286" s="23">
        <f t="shared" si="110"/>
        <v>1.0313531353135313E-2</v>
      </c>
      <c r="K286" s="65">
        <f t="shared" si="111"/>
        <v>1066.56</v>
      </c>
      <c r="L286" s="21">
        <v>600</v>
      </c>
      <c r="M286" s="21">
        <v>660</v>
      </c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</row>
    <row r="287" spans="1:23" s="26" customFormat="1" ht="30" customHeight="1" x14ac:dyDescent="0.2">
      <c r="A287" s="106" t="s">
        <v>1756</v>
      </c>
      <c r="B287" s="123" t="s">
        <v>368</v>
      </c>
      <c r="C287" s="21" t="s">
        <v>1</v>
      </c>
      <c r="D287" s="22">
        <v>1</v>
      </c>
      <c r="E287" s="51">
        <f t="shared" si="107"/>
        <v>250.90909090909091</v>
      </c>
      <c r="F287" s="298">
        <f t="shared" si="70"/>
        <v>3.9855072463768114E-3</v>
      </c>
      <c r="G287" s="65">
        <f t="shared" si="108"/>
        <v>2760</v>
      </c>
      <c r="H287" s="77">
        <v>0.21739130434782608</v>
      </c>
      <c r="I287" s="71">
        <f t="shared" si="109"/>
        <v>1.1000000000000001</v>
      </c>
      <c r="J287" s="23">
        <f t="shared" si="110"/>
        <v>3.9855072463768114E-3</v>
      </c>
      <c r="K287" s="65">
        <f t="shared" si="111"/>
        <v>2760</v>
      </c>
      <c r="L287" s="21">
        <v>600</v>
      </c>
      <c r="M287" s="21">
        <v>660</v>
      </c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</row>
    <row r="288" spans="1:23" s="26" customFormat="1" ht="30" customHeight="1" x14ac:dyDescent="0.2">
      <c r="A288" s="106" t="s">
        <v>1757</v>
      </c>
      <c r="B288" s="123" t="s">
        <v>369</v>
      </c>
      <c r="C288" s="21" t="s">
        <v>1</v>
      </c>
      <c r="D288" s="50">
        <v>1</v>
      </c>
      <c r="E288" s="51">
        <f t="shared" si="107"/>
        <v>163.6363636363636</v>
      </c>
      <c r="F288" s="298">
        <f t="shared" si="70"/>
        <v>6.1111111111111123E-3</v>
      </c>
      <c r="G288" s="65">
        <f t="shared" si="108"/>
        <v>1799.9999999999995</v>
      </c>
      <c r="H288" s="77">
        <v>0.33333333333333337</v>
      </c>
      <c r="I288" s="71">
        <f t="shared" si="109"/>
        <v>1.1000000000000001</v>
      </c>
      <c r="J288" s="23">
        <f t="shared" si="110"/>
        <v>6.1111111111111123E-3</v>
      </c>
      <c r="K288" s="65">
        <f t="shared" si="111"/>
        <v>1799.9999999999995</v>
      </c>
      <c r="L288" s="21">
        <v>600</v>
      </c>
      <c r="M288" s="21">
        <v>660</v>
      </c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</row>
    <row r="289" spans="1:23" s="26" customFormat="1" ht="30" customHeight="1" x14ac:dyDescent="0.2">
      <c r="A289" s="106" t="s">
        <v>1758</v>
      </c>
      <c r="B289" s="123" t="s">
        <v>370</v>
      </c>
      <c r="C289" s="21" t="s">
        <v>1</v>
      </c>
      <c r="D289" s="22">
        <v>1</v>
      </c>
      <c r="E289" s="51">
        <f t="shared" si="107"/>
        <v>109.56</v>
      </c>
      <c r="F289" s="298">
        <f t="shared" si="70"/>
        <v>9.1274187659729829E-3</v>
      </c>
      <c r="G289" s="65">
        <f t="shared" si="108"/>
        <v>1205.1600000000001</v>
      </c>
      <c r="H289" s="77">
        <v>0.49785920541670803</v>
      </c>
      <c r="I289" s="71">
        <f t="shared" si="109"/>
        <v>1.1000000000000001</v>
      </c>
      <c r="J289" s="23">
        <f t="shared" si="110"/>
        <v>9.1274187659729829E-3</v>
      </c>
      <c r="K289" s="65">
        <f t="shared" si="111"/>
        <v>1205.1600000000001</v>
      </c>
      <c r="L289" s="21">
        <v>600</v>
      </c>
      <c r="M289" s="21">
        <v>660</v>
      </c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</row>
    <row r="290" spans="1:23" s="26" customFormat="1" ht="30" customHeight="1" x14ac:dyDescent="0.2">
      <c r="A290" s="106" t="s">
        <v>1759</v>
      </c>
      <c r="B290" s="123" t="s">
        <v>371</v>
      </c>
      <c r="C290" s="21" t="s">
        <v>1</v>
      </c>
      <c r="D290" s="50">
        <v>1</v>
      </c>
      <c r="E290" s="51">
        <f t="shared" si="107"/>
        <v>109.56</v>
      </c>
      <c r="F290" s="298">
        <f t="shared" si="70"/>
        <v>9.1274187659729829E-3</v>
      </c>
      <c r="G290" s="65">
        <f t="shared" si="108"/>
        <v>1205.1600000000001</v>
      </c>
      <c r="H290" s="77">
        <v>0.49785920541670803</v>
      </c>
      <c r="I290" s="71">
        <f t="shared" si="109"/>
        <v>1.1000000000000001</v>
      </c>
      <c r="J290" s="23">
        <f t="shared" si="110"/>
        <v>9.1274187659729829E-3</v>
      </c>
      <c r="K290" s="65">
        <f t="shared" si="111"/>
        <v>1205.1600000000001</v>
      </c>
      <c r="L290" s="21">
        <v>600</v>
      </c>
      <c r="M290" s="21">
        <v>660</v>
      </c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</row>
    <row r="291" spans="1:23" s="26" customFormat="1" ht="30" customHeight="1" x14ac:dyDescent="0.2">
      <c r="A291" s="106" t="s">
        <v>1760</v>
      </c>
      <c r="B291" s="123" t="s">
        <v>372</v>
      </c>
      <c r="C291" s="21" t="s">
        <v>1</v>
      </c>
      <c r="D291" s="22">
        <v>1</v>
      </c>
      <c r="E291" s="51">
        <f t="shared" si="107"/>
        <v>105</v>
      </c>
      <c r="F291" s="298">
        <f t="shared" si="70"/>
        <v>9.5238095238095247E-3</v>
      </c>
      <c r="G291" s="65">
        <f t="shared" si="108"/>
        <v>1155</v>
      </c>
      <c r="H291" s="77">
        <v>0.51948051948051943</v>
      </c>
      <c r="I291" s="71">
        <f t="shared" si="109"/>
        <v>1.1000000000000001</v>
      </c>
      <c r="J291" s="23">
        <f t="shared" si="110"/>
        <v>9.5238095238095247E-3</v>
      </c>
      <c r="K291" s="65">
        <f t="shared" si="111"/>
        <v>1155</v>
      </c>
      <c r="L291" s="21">
        <v>600</v>
      </c>
      <c r="M291" s="21">
        <v>660</v>
      </c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</row>
    <row r="292" spans="1:23" s="26" customFormat="1" ht="30" customHeight="1" x14ac:dyDescent="0.2">
      <c r="A292" s="106" t="s">
        <v>1761</v>
      </c>
      <c r="B292" s="123" t="s">
        <v>373</v>
      </c>
      <c r="C292" s="21" t="s">
        <v>1</v>
      </c>
      <c r="D292" s="50">
        <v>1</v>
      </c>
      <c r="E292" s="51">
        <f t="shared" si="107"/>
        <v>73.199999999999989</v>
      </c>
      <c r="F292" s="298">
        <f t="shared" si="70"/>
        <v>1.3661202185792351E-2</v>
      </c>
      <c r="G292" s="65">
        <f t="shared" si="108"/>
        <v>805.19999999999993</v>
      </c>
      <c r="H292" s="77">
        <v>0.7451564828614009</v>
      </c>
      <c r="I292" s="71">
        <f t="shared" si="109"/>
        <v>1.1000000000000001</v>
      </c>
      <c r="J292" s="23">
        <f t="shared" si="110"/>
        <v>1.3661202185792351E-2</v>
      </c>
      <c r="K292" s="65">
        <f t="shared" si="111"/>
        <v>805.19999999999993</v>
      </c>
      <c r="L292" s="21">
        <v>600</v>
      </c>
      <c r="M292" s="21">
        <v>660</v>
      </c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</row>
    <row r="293" spans="1:23" s="26" customFormat="1" ht="30" customHeight="1" x14ac:dyDescent="0.2">
      <c r="A293" s="106" t="s">
        <v>1762</v>
      </c>
      <c r="B293" s="123" t="s">
        <v>374</v>
      </c>
      <c r="C293" s="21" t="s">
        <v>1</v>
      </c>
      <c r="D293" s="22">
        <v>1</v>
      </c>
      <c r="E293" s="51">
        <f t="shared" si="107"/>
        <v>179.99999999999997</v>
      </c>
      <c r="F293" s="298">
        <f t="shared" si="70"/>
        <v>5.5555555555555558E-3</v>
      </c>
      <c r="G293" s="65">
        <f t="shared" si="108"/>
        <v>1979.9999999999998</v>
      </c>
      <c r="H293" s="77">
        <v>0.30303030303030304</v>
      </c>
      <c r="I293" s="71">
        <f t="shared" si="109"/>
        <v>1.1000000000000001</v>
      </c>
      <c r="J293" s="23">
        <f t="shared" si="110"/>
        <v>5.5555555555555558E-3</v>
      </c>
      <c r="K293" s="65">
        <f t="shared" si="111"/>
        <v>1979.9999999999998</v>
      </c>
      <c r="L293" s="21">
        <v>600</v>
      </c>
      <c r="M293" s="21">
        <v>660</v>
      </c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</row>
    <row r="294" spans="1:23" s="26" customFormat="1" ht="30" customHeight="1" x14ac:dyDescent="0.2">
      <c r="A294" s="106" t="s">
        <v>1763</v>
      </c>
      <c r="B294" s="123" t="s">
        <v>375</v>
      </c>
      <c r="C294" s="21" t="s">
        <v>1</v>
      </c>
      <c r="D294" s="50">
        <v>1</v>
      </c>
      <c r="E294" s="51">
        <f t="shared" si="107"/>
        <v>120</v>
      </c>
      <c r="F294" s="298">
        <f t="shared" si="70"/>
        <v>8.3333333333333332E-3</v>
      </c>
      <c r="G294" s="65">
        <f t="shared" si="108"/>
        <v>1320</v>
      </c>
      <c r="H294" s="77">
        <v>0.45454545454545453</v>
      </c>
      <c r="I294" s="71">
        <f t="shared" si="109"/>
        <v>1.1000000000000001</v>
      </c>
      <c r="J294" s="23">
        <f t="shared" si="110"/>
        <v>8.3333333333333332E-3</v>
      </c>
      <c r="K294" s="65">
        <f t="shared" si="111"/>
        <v>1320</v>
      </c>
      <c r="L294" s="21">
        <v>600</v>
      </c>
      <c r="M294" s="21">
        <v>660</v>
      </c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</row>
    <row r="295" spans="1:23" s="26" customFormat="1" ht="30" customHeight="1" x14ac:dyDescent="0.2">
      <c r="A295" s="106" t="s">
        <v>1764</v>
      </c>
      <c r="B295" s="124" t="s">
        <v>682</v>
      </c>
      <c r="C295" s="21" t="s">
        <v>354</v>
      </c>
      <c r="D295" s="22">
        <v>1</v>
      </c>
      <c r="E295" s="51">
        <f t="shared" si="107"/>
        <v>10.68</v>
      </c>
      <c r="F295" s="298">
        <f t="shared" si="70"/>
        <v>9.3632958801498134E-2</v>
      </c>
      <c r="G295" s="65">
        <f t="shared" si="108"/>
        <v>117.47999999999999</v>
      </c>
      <c r="H295" s="77">
        <v>5.1072522982635338</v>
      </c>
      <c r="I295" s="71">
        <f t="shared" si="109"/>
        <v>1.1000000000000001</v>
      </c>
      <c r="J295" s="23">
        <f t="shared" si="110"/>
        <v>9.3632958801498134E-2</v>
      </c>
      <c r="K295" s="65">
        <f t="shared" si="111"/>
        <v>117.47999999999999</v>
      </c>
      <c r="L295" s="21">
        <v>600</v>
      </c>
      <c r="M295" s="21">
        <v>660</v>
      </c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</row>
    <row r="296" spans="1:23" s="26" customFormat="1" ht="30" customHeight="1" x14ac:dyDescent="0.2">
      <c r="A296" s="106" t="s">
        <v>1765</v>
      </c>
      <c r="B296" s="124" t="s">
        <v>816</v>
      </c>
      <c r="C296" s="21" t="s">
        <v>817</v>
      </c>
      <c r="D296" s="50">
        <v>1</v>
      </c>
      <c r="E296" s="51">
        <f t="shared" si="107"/>
        <v>46.25454545454545</v>
      </c>
      <c r="F296" s="298">
        <f t="shared" si="70"/>
        <v>2.1619496855345914E-2</v>
      </c>
      <c r="G296" s="65">
        <f t="shared" si="108"/>
        <v>508.79999999999995</v>
      </c>
      <c r="H296" s="77">
        <v>1.179245283018868</v>
      </c>
      <c r="I296" s="71">
        <f t="shared" si="109"/>
        <v>1.1000000000000001</v>
      </c>
      <c r="J296" s="23">
        <f t="shared" si="110"/>
        <v>2.1619496855345914E-2</v>
      </c>
      <c r="K296" s="65">
        <f t="shared" si="111"/>
        <v>508.79999999999995</v>
      </c>
      <c r="L296" s="21">
        <v>600</v>
      </c>
      <c r="M296" s="21">
        <v>660</v>
      </c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</row>
    <row r="297" spans="1:23" s="26" customFormat="1" ht="33" customHeight="1" x14ac:dyDescent="0.2">
      <c r="A297" s="106"/>
      <c r="B297" s="122" t="s">
        <v>376</v>
      </c>
      <c r="C297" s="28"/>
      <c r="D297" s="28"/>
      <c r="E297" s="28"/>
      <c r="F297" s="298" t="e">
        <f t="shared" si="70"/>
        <v>#DIV/0!</v>
      </c>
      <c r="G297" s="28"/>
      <c r="H297" s="225"/>
      <c r="I297" s="63"/>
      <c r="J297" s="63"/>
      <c r="K297" s="63"/>
      <c r="L297" s="63"/>
      <c r="M297" s="63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</row>
    <row r="298" spans="1:23" s="26" customFormat="1" ht="30" customHeight="1" x14ac:dyDescent="0.2">
      <c r="A298" s="106" t="s">
        <v>1766</v>
      </c>
      <c r="B298" s="123" t="s">
        <v>377</v>
      </c>
      <c r="C298" s="21" t="s">
        <v>1</v>
      </c>
      <c r="D298" s="50">
        <v>1</v>
      </c>
      <c r="E298" s="51">
        <f>G298/11</f>
        <v>81.600000000000009</v>
      </c>
      <c r="F298" s="298">
        <f t="shared" si="70"/>
        <v>1.2254901960784314E-2</v>
      </c>
      <c r="G298" s="65">
        <f t="shared" ref="G298:G301" si="112">K298</f>
        <v>897.6</v>
      </c>
      <c r="H298" s="77">
        <v>0.66844919786096246</v>
      </c>
      <c r="I298" s="71">
        <f>M298/L298</f>
        <v>1.1000000000000001</v>
      </c>
      <c r="J298" s="23">
        <f>11/K298</f>
        <v>1.2254901960784314E-2</v>
      </c>
      <c r="K298" s="65">
        <f>M298/(H298*I298)</f>
        <v>897.6</v>
      </c>
      <c r="L298" s="21">
        <v>600</v>
      </c>
      <c r="M298" s="21">
        <v>660</v>
      </c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</row>
    <row r="299" spans="1:23" s="26" customFormat="1" ht="30" customHeight="1" x14ac:dyDescent="0.2">
      <c r="A299" s="106" t="s">
        <v>1767</v>
      </c>
      <c r="B299" s="123" t="s">
        <v>378</v>
      </c>
      <c r="C299" s="21" t="s">
        <v>1</v>
      </c>
      <c r="D299" s="22">
        <v>1</v>
      </c>
      <c r="E299" s="51">
        <f>G299/11</f>
        <v>71.28</v>
      </c>
      <c r="F299" s="298">
        <f t="shared" si="70"/>
        <v>1.4029180695847361E-2</v>
      </c>
      <c r="G299" s="65">
        <f t="shared" si="112"/>
        <v>784.08</v>
      </c>
      <c r="H299" s="77">
        <v>0.76522803795531058</v>
      </c>
      <c r="I299" s="71">
        <f>M299/L299</f>
        <v>1.1000000000000001</v>
      </c>
      <c r="J299" s="23">
        <f>11/K299</f>
        <v>1.4029180695847361E-2</v>
      </c>
      <c r="K299" s="65">
        <f>M299/(H299*I299)</f>
        <v>784.08</v>
      </c>
      <c r="L299" s="21">
        <v>600</v>
      </c>
      <c r="M299" s="21">
        <v>660</v>
      </c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</row>
    <row r="300" spans="1:23" s="26" customFormat="1" ht="30" customHeight="1" x14ac:dyDescent="0.2">
      <c r="A300" s="106" t="s">
        <v>1768</v>
      </c>
      <c r="B300" s="123" t="s">
        <v>379</v>
      </c>
      <c r="C300" s="21" t="s">
        <v>1</v>
      </c>
      <c r="D300" s="50">
        <v>1</v>
      </c>
      <c r="E300" s="51">
        <f>G300/11</f>
        <v>60</v>
      </c>
      <c r="F300" s="298">
        <f t="shared" si="70"/>
        <v>1.6666666666666666E-2</v>
      </c>
      <c r="G300" s="65">
        <f t="shared" si="112"/>
        <v>660</v>
      </c>
      <c r="H300" s="77">
        <v>0.90909090909090906</v>
      </c>
      <c r="I300" s="71">
        <f>M300/L300</f>
        <v>1.1000000000000001</v>
      </c>
      <c r="J300" s="23">
        <f>11/K300</f>
        <v>1.6666666666666666E-2</v>
      </c>
      <c r="K300" s="65">
        <f>M300/(H300*I300)</f>
        <v>660</v>
      </c>
      <c r="L300" s="21">
        <v>600</v>
      </c>
      <c r="M300" s="21">
        <v>660</v>
      </c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</row>
    <row r="301" spans="1:23" s="26" customFormat="1" ht="30" customHeight="1" x14ac:dyDescent="0.2">
      <c r="A301" s="106" t="s">
        <v>1769</v>
      </c>
      <c r="B301" s="125" t="s">
        <v>380</v>
      </c>
      <c r="C301" s="21" t="s">
        <v>1</v>
      </c>
      <c r="D301" s="22">
        <v>1</v>
      </c>
      <c r="E301" s="51">
        <f>G301/11</f>
        <v>141.81818181818178</v>
      </c>
      <c r="F301" s="298">
        <f t="shared" si="70"/>
        <v>7.0512820512820523E-3</v>
      </c>
      <c r="G301" s="65">
        <f t="shared" si="112"/>
        <v>1559.9999999999998</v>
      </c>
      <c r="H301" s="77">
        <v>0.38461538461538464</v>
      </c>
      <c r="I301" s="71">
        <f>M301/L301</f>
        <v>1.1000000000000001</v>
      </c>
      <c r="J301" s="23">
        <f>11/K301</f>
        <v>7.0512820512820523E-3</v>
      </c>
      <c r="K301" s="65">
        <f>M301/(H301*I301)</f>
        <v>1559.9999999999998</v>
      </c>
      <c r="L301" s="21">
        <v>600</v>
      </c>
      <c r="M301" s="21">
        <v>660</v>
      </c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</row>
    <row r="302" spans="1:23" s="26" customFormat="1" ht="30" customHeight="1" x14ac:dyDescent="0.2">
      <c r="A302" s="106"/>
      <c r="B302" s="122" t="s">
        <v>381</v>
      </c>
      <c r="C302" s="28"/>
      <c r="D302" s="28"/>
      <c r="E302" s="28"/>
      <c r="F302" s="298" t="e">
        <f t="shared" si="70"/>
        <v>#DIV/0!</v>
      </c>
      <c r="G302" s="28"/>
      <c r="H302" s="225"/>
      <c r="I302" s="63"/>
      <c r="J302" s="63"/>
      <c r="K302" s="63"/>
      <c r="L302" s="63"/>
      <c r="M302" s="63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</row>
    <row r="303" spans="1:23" s="26" customFormat="1" ht="30" customHeight="1" x14ac:dyDescent="0.2">
      <c r="A303" s="106" t="s">
        <v>1770</v>
      </c>
      <c r="B303" s="125" t="s">
        <v>382</v>
      </c>
      <c r="C303" s="21" t="s">
        <v>1</v>
      </c>
      <c r="D303" s="22">
        <v>1</v>
      </c>
      <c r="E303" s="51">
        <f>G303/11</f>
        <v>152.72727272727272</v>
      </c>
      <c r="F303" s="298">
        <f t="shared" si="70"/>
        <v>6.5476190476190486E-3</v>
      </c>
      <c r="G303" s="65">
        <f t="shared" ref="G303:G306" si="113">K303</f>
        <v>1679.9999999999998</v>
      </c>
      <c r="H303" s="77">
        <v>0.35714285714285715</v>
      </c>
      <c r="I303" s="71">
        <f>M303/L303</f>
        <v>1.1000000000000001</v>
      </c>
      <c r="J303" s="23">
        <f>11/K303</f>
        <v>6.5476190476190486E-3</v>
      </c>
      <c r="K303" s="65">
        <f>M303/(H303*I303)</f>
        <v>1679.9999999999998</v>
      </c>
      <c r="L303" s="21">
        <v>600</v>
      </c>
      <c r="M303" s="21">
        <v>660</v>
      </c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</row>
    <row r="304" spans="1:23" s="26" customFormat="1" ht="30" customHeight="1" x14ac:dyDescent="0.2">
      <c r="A304" s="106" t="s">
        <v>1771</v>
      </c>
      <c r="B304" s="126" t="s">
        <v>383</v>
      </c>
      <c r="C304" s="21" t="s">
        <v>1</v>
      </c>
      <c r="D304" s="50">
        <v>1</v>
      </c>
      <c r="E304" s="51">
        <f>G304/11</f>
        <v>229.09090909090909</v>
      </c>
      <c r="F304" s="298">
        <f t="shared" ref="F304:F370" si="114">11/G304</f>
        <v>4.3650793650793652E-3</v>
      </c>
      <c r="G304" s="65">
        <f t="shared" si="113"/>
        <v>2520</v>
      </c>
      <c r="H304" s="77">
        <v>0.23809523809523808</v>
      </c>
      <c r="I304" s="71">
        <f>M304/L304</f>
        <v>1.1000000000000001</v>
      </c>
      <c r="J304" s="23">
        <f>11/K304</f>
        <v>4.3650793650793652E-3</v>
      </c>
      <c r="K304" s="65">
        <f>M304/(H304*I304)</f>
        <v>2520</v>
      </c>
      <c r="L304" s="21">
        <v>600</v>
      </c>
      <c r="M304" s="21">
        <v>660</v>
      </c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</row>
    <row r="305" spans="1:23" s="26" customFormat="1" ht="30" customHeight="1" x14ac:dyDescent="0.2">
      <c r="A305" s="106" t="s">
        <v>1772</v>
      </c>
      <c r="B305" s="123" t="s">
        <v>384</v>
      </c>
      <c r="C305" s="20" t="s">
        <v>354</v>
      </c>
      <c r="D305" s="22">
        <v>1</v>
      </c>
      <c r="E305" s="51">
        <f>G305/11</f>
        <v>2.3999999999999995</v>
      </c>
      <c r="F305" s="298">
        <f t="shared" si="114"/>
        <v>0.41666666666666674</v>
      </c>
      <c r="G305" s="65">
        <f t="shared" si="113"/>
        <v>26.399999999999995</v>
      </c>
      <c r="H305" s="77">
        <v>22.72727272727273</v>
      </c>
      <c r="I305" s="71">
        <f>M305/L305</f>
        <v>1.1000000000000001</v>
      </c>
      <c r="J305" s="23">
        <f>11/K305</f>
        <v>0.41666666666666674</v>
      </c>
      <c r="K305" s="65">
        <f>M305/(H305*I305)</f>
        <v>26.399999999999995</v>
      </c>
      <c r="L305" s="21">
        <v>600</v>
      </c>
      <c r="M305" s="21">
        <v>660</v>
      </c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</row>
    <row r="306" spans="1:23" s="26" customFormat="1" ht="30" customHeight="1" x14ac:dyDescent="0.2">
      <c r="A306" s="106" t="s">
        <v>1773</v>
      </c>
      <c r="B306" s="123" t="s">
        <v>385</v>
      </c>
      <c r="C306" s="20" t="s">
        <v>354</v>
      </c>
      <c r="D306" s="50">
        <v>1</v>
      </c>
      <c r="E306" s="51">
        <f>G306/11</f>
        <v>7.3200000000000012</v>
      </c>
      <c r="F306" s="298">
        <f t="shared" si="114"/>
        <v>0.13661202185792348</v>
      </c>
      <c r="G306" s="65">
        <f t="shared" si="113"/>
        <v>80.52000000000001</v>
      </c>
      <c r="H306" s="77">
        <v>7.4515648286140079</v>
      </c>
      <c r="I306" s="71">
        <f>M306/L306</f>
        <v>1.1000000000000001</v>
      </c>
      <c r="J306" s="23">
        <f>11/K306</f>
        <v>0.13661202185792348</v>
      </c>
      <c r="K306" s="65">
        <f>M306/(H306*I306)</f>
        <v>80.52000000000001</v>
      </c>
      <c r="L306" s="21">
        <v>600</v>
      </c>
      <c r="M306" s="21">
        <v>660</v>
      </c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</row>
    <row r="307" spans="1:23" s="26" customFormat="1" ht="30" customHeight="1" x14ac:dyDescent="0.2">
      <c r="A307" s="106"/>
      <c r="B307" s="122" t="s">
        <v>386</v>
      </c>
      <c r="C307" s="28"/>
      <c r="D307" s="28"/>
      <c r="E307" s="28"/>
      <c r="F307" s="298" t="e">
        <f t="shared" si="114"/>
        <v>#DIV/0!</v>
      </c>
      <c r="G307" s="28"/>
      <c r="H307" s="225"/>
      <c r="I307" s="63"/>
      <c r="J307" s="63"/>
      <c r="K307" s="63"/>
      <c r="L307" s="63"/>
      <c r="M307" s="63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</row>
    <row r="308" spans="1:23" s="26" customFormat="1" ht="30" customHeight="1" x14ac:dyDescent="0.2">
      <c r="A308" s="106" t="s">
        <v>1774</v>
      </c>
      <c r="B308" s="123" t="s">
        <v>387</v>
      </c>
      <c r="C308" s="20" t="s">
        <v>354</v>
      </c>
      <c r="D308" s="50">
        <v>1</v>
      </c>
      <c r="E308" s="51">
        <f t="shared" ref="E308:E318" si="115">G308/11</f>
        <v>6.84</v>
      </c>
      <c r="F308" s="298">
        <f t="shared" si="114"/>
        <v>0.14619883040935674</v>
      </c>
      <c r="G308" s="65">
        <f t="shared" ref="G308:G318" si="116">K308</f>
        <v>75.239999999999995</v>
      </c>
      <c r="H308" s="77">
        <v>7.9744816586921852</v>
      </c>
      <c r="I308" s="71">
        <f t="shared" ref="I308:I318" si="117">M308/L308</f>
        <v>1.1000000000000001</v>
      </c>
      <c r="J308" s="23">
        <f t="shared" ref="J308:J318" si="118">11/K308</f>
        <v>0.14619883040935674</v>
      </c>
      <c r="K308" s="65">
        <f t="shared" ref="K308:K318" si="119">M308/(H308*I308)</f>
        <v>75.239999999999995</v>
      </c>
      <c r="L308" s="21">
        <v>600</v>
      </c>
      <c r="M308" s="21">
        <v>660</v>
      </c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</row>
    <row r="309" spans="1:23" s="26" customFormat="1" ht="30" customHeight="1" x14ac:dyDescent="0.2">
      <c r="A309" s="106" t="s">
        <v>1775</v>
      </c>
      <c r="B309" s="123" t="s">
        <v>388</v>
      </c>
      <c r="C309" s="20" t="s">
        <v>354</v>
      </c>
      <c r="D309" s="22">
        <v>1</v>
      </c>
      <c r="E309" s="51">
        <f t="shared" si="115"/>
        <v>12.96</v>
      </c>
      <c r="F309" s="298">
        <f t="shared" si="114"/>
        <v>7.716049382716049E-2</v>
      </c>
      <c r="G309" s="65">
        <f t="shared" si="116"/>
        <v>142.56</v>
      </c>
      <c r="H309" s="77">
        <v>4.2087542087542085</v>
      </c>
      <c r="I309" s="71">
        <f t="shared" si="117"/>
        <v>1.1000000000000001</v>
      </c>
      <c r="J309" s="23">
        <f t="shared" si="118"/>
        <v>7.716049382716049E-2</v>
      </c>
      <c r="K309" s="65">
        <f t="shared" si="119"/>
        <v>142.56</v>
      </c>
      <c r="L309" s="21">
        <v>600</v>
      </c>
      <c r="M309" s="21">
        <v>660</v>
      </c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</row>
    <row r="310" spans="1:23" s="26" customFormat="1" ht="30" customHeight="1" x14ac:dyDescent="0.2">
      <c r="A310" s="106" t="s">
        <v>1776</v>
      </c>
      <c r="B310" s="123" t="s">
        <v>389</v>
      </c>
      <c r="C310" s="20" t="s">
        <v>354</v>
      </c>
      <c r="D310" s="50">
        <v>1</v>
      </c>
      <c r="E310" s="51">
        <f t="shared" si="115"/>
        <v>14.520000000000003</v>
      </c>
      <c r="F310" s="298">
        <f t="shared" si="114"/>
        <v>6.8870523415977949E-2</v>
      </c>
      <c r="G310" s="65">
        <f t="shared" si="116"/>
        <v>159.72000000000003</v>
      </c>
      <c r="H310" s="77">
        <v>3.7565740045078884</v>
      </c>
      <c r="I310" s="71">
        <f t="shared" si="117"/>
        <v>1.1000000000000001</v>
      </c>
      <c r="J310" s="23">
        <f t="shared" si="118"/>
        <v>6.8870523415977949E-2</v>
      </c>
      <c r="K310" s="65">
        <f t="shared" si="119"/>
        <v>159.72000000000003</v>
      </c>
      <c r="L310" s="21">
        <v>600</v>
      </c>
      <c r="M310" s="21">
        <v>660</v>
      </c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</row>
    <row r="311" spans="1:23" s="26" customFormat="1" ht="30" customHeight="1" x14ac:dyDescent="0.2">
      <c r="A311" s="106" t="s">
        <v>1777</v>
      </c>
      <c r="B311" s="126" t="s">
        <v>822</v>
      </c>
      <c r="C311" s="21" t="s">
        <v>1</v>
      </c>
      <c r="D311" s="22">
        <v>1</v>
      </c>
      <c r="E311" s="51">
        <f t="shared" si="115"/>
        <v>73.199999999999989</v>
      </c>
      <c r="F311" s="298">
        <f t="shared" si="114"/>
        <v>1.3661202185792351E-2</v>
      </c>
      <c r="G311" s="65">
        <f t="shared" si="116"/>
        <v>805.19999999999993</v>
      </c>
      <c r="H311" s="77">
        <v>0.7451564828614009</v>
      </c>
      <c r="I311" s="71">
        <f t="shared" si="117"/>
        <v>1.1000000000000001</v>
      </c>
      <c r="J311" s="23">
        <f t="shared" si="118"/>
        <v>1.3661202185792351E-2</v>
      </c>
      <c r="K311" s="65">
        <f t="shared" si="119"/>
        <v>805.19999999999993</v>
      </c>
      <c r="L311" s="21">
        <v>600</v>
      </c>
      <c r="M311" s="21">
        <v>660</v>
      </c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</row>
    <row r="312" spans="1:23" s="26" customFormat="1" ht="30" customHeight="1" x14ac:dyDescent="0.2">
      <c r="A312" s="106" t="s">
        <v>1778</v>
      </c>
      <c r="B312" s="126" t="s">
        <v>823</v>
      </c>
      <c r="C312" s="21" t="s">
        <v>1</v>
      </c>
      <c r="D312" s="50">
        <v>1</v>
      </c>
      <c r="E312" s="51">
        <f t="shared" si="115"/>
        <v>31.679999999999996</v>
      </c>
      <c r="F312" s="298">
        <f t="shared" si="114"/>
        <v>3.1565656565656568E-2</v>
      </c>
      <c r="G312" s="65">
        <f t="shared" si="116"/>
        <v>348.47999999999996</v>
      </c>
      <c r="H312" s="77">
        <v>1.721763085399449</v>
      </c>
      <c r="I312" s="71">
        <f t="shared" si="117"/>
        <v>1.1000000000000001</v>
      </c>
      <c r="J312" s="23">
        <f t="shared" si="118"/>
        <v>3.1565656565656568E-2</v>
      </c>
      <c r="K312" s="65">
        <f t="shared" si="119"/>
        <v>348.47999999999996</v>
      </c>
      <c r="L312" s="21">
        <v>600</v>
      </c>
      <c r="M312" s="21">
        <v>660</v>
      </c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</row>
    <row r="313" spans="1:23" s="26" customFormat="1" ht="30" customHeight="1" x14ac:dyDescent="0.2">
      <c r="A313" s="106" t="s">
        <v>1779</v>
      </c>
      <c r="B313" s="126" t="s">
        <v>632</v>
      </c>
      <c r="C313" s="21" t="s">
        <v>1</v>
      </c>
      <c r="D313" s="22">
        <v>1</v>
      </c>
      <c r="E313" s="51">
        <f t="shared" si="115"/>
        <v>36.96</v>
      </c>
      <c r="F313" s="298">
        <f t="shared" si="114"/>
        <v>2.7056277056277056E-2</v>
      </c>
      <c r="G313" s="65">
        <f t="shared" si="116"/>
        <v>406.56</v>
      </c>
      <c r="H313" s="77">
        <v>1.4757969303423848</v>
      </c>
      <c r="I313" s="71">
        <f t="shared" si="117"/>
        <v>1.1000000000000001</v>
      </c>
      <c r="J313" s="23">
        <f t="shared" si="118"/>
        <v>2.7056277056277056E-2</v>
      </c>
      <c r="K313" s="65">
        <f t="shared" si="119"/>
        <v>406.56</v>
      </c>
      <c r="L313" s="21">
        <v>600</v>
      </c>
      <c r="M313" s="21">
        <v>660</v>
      </c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</row>
    <row r="314" spans="1:23" s="26" customFormat="1" ht="30" customHeight="1" x14ac:dyDescent="0.2">
      <c r="A314" s="106" t="s">
        <v>1780</v>
      </c>
      <c r="B314" s="126" t="s">
        <v>683</v>
      </c>
      <c r="C314" s="21" t="s">
        <v>1</v>
      </c>
      <c r="D314" s="50">
        <v>1</v>
      </c>
      <c r="E314" s="51">
        <f t="shared" si="115"/>
        <v>30.360000000000003</v>
      </c>
      <c r="F314" s="298">
        <f t="shared" si="114"/>
        <v>3.2938076416337281E-2</v>
      </c>
      <c r="G314" s="65">
        <f t="shared" si="116"/>
        <v>333.96000000000004</v>
      </c>
      <c r="H314" s="77">
        <v>1.7966223499820333</v>
      </c>
      <c r="I314" s="71">
        <f t="shared" si="117"/>
        <v>1.1000000000000001</v>
      </c>
      <c r="J314" s="23">
        <f t="shared" si="118"/>
        <v>3.2938076416337281E-2</v>
      </c>
      <c r="K314" s="65">
        <f t="shared" si="119"/>
        <v>333.96000000000004</v>
      </c>
      <c r="L314" s="21">
        <v>600</v>
      </c>
      <c r="M314" s="21">
        <v>660</v>
      </c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</row>
    <row r="315" spans="1:23" s="26" customFormat="1" ht="30" customHeight="1" x14ac:dyDescent="0.2">
      <c r="A315" s="106" t="s">
        <v>1781</v>
      </c>
      <c r="B315" s="126" t="s">
        <v>633</v>
      </c>
      <c r="C315" s="21" t="s">
        <v>1</v>
      </c>
      <c r="D315" s="22">
        <v>1</v>
      </c>
      <c r="E315" s="51">
        <f>G315/11</f>
        <v>29.519999999999996</v>
      </c>
      <c r="F315" s="298">
        <f t="shared" si="114"/>
        <v>3.3875338753387538E-2</v>
      </c>
      <c r="G315" s="65">
        <f t="shared" si="116"/>
        <v>324.71999999999997</v>
      </c>
      <c r="H315" s="79">
        <v>1.8477457501847747</v>
      </c>
      <c r="I315" s="71">
        <f t="shared" si="117"/>
        <v>1.1000000000000001</v>
      </c>
      <c r="J315" s="23">
        <f t="shared" si="118"/>
        <v>3.3875338753387538E-2</v>
      </c>
      <c r="K315" s="65">
        <f>M315/(H315*I315)</f>
        <v>324.71999999999997</v>
      </c>
      <c r="L315" s="21">
        <v>600</v>
      </c>
      <c r="M315" s="21">
        <v>660</v>
      </c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</row>
    <row r="316" spans="1:23" s="26" customFormat="1" ht="30" customHeight="1" x14ac:dyDescent="0.2">
      <c r="A316" s="106" t="s">
        <v>1782</v>
      </c>
      <c r="B316" s="126" t="s">
        <v>953</v>
      </c>
      <c r="C316" s="21" t="s">
        <v>1</v>
      </c>
      <c r="D316" s="50">
        <v>1</v>
      </c>
      <c r="E316" s="51">
        <f t="shared" si="115"/>
        <v>34.65</v>
      </c>
      <c r="F316" s="298">
        <f t="shared" si="114"/>
        <v>2.8860028860028863E-2</v>
      </c>
      <c r="G316" s="65">
        <f>K316</f>
        <v>381.15</v>
      </c>
      <c r="H316" s="79">
        <v>1.5741833923652104</v>
      </c>
      <c r="I316" s="71">
        <f t="shared" si="117"/>
        <v>1.1000000000000001</v>
      </c>
      <c r="J316" s="23">
        <f t="shared" si="118"/>
        <v>2.8860028860028863E-2</v>
      </c>
      <c r="K316" s="65">
        <f t="shared" si="119"/>
        <v>381.15</v>
      </c>
      <c r="L316" s="21">
        <v>600</v>
      </c>
      <c r="M316" s="21">
        <v>660</v>
      </c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</row>
    <row r="317" spans="1:23" s="26" customFormat="1" ht="30" customHeight="1" x14ac:dyDescent="0.2">
      <c r="A317" s="106" t="s">
        <v>1783</v>
      </c>
      <c r="B317" s="126" t="s">
        <v>684</v>
      </c>
      <c r="C317" s="21" t="s">
        <v>1</v>
      </c>
      <c r="D317" s="22">
        <v>1</v>
      </c>
      <c r="E317" s="51">
        <f t="shared" si="115"/>
        <v>30.96</v>
      </c>
      <c r="F317" s="298">
        <f t="shared" si="114"/>
        <v>3.2299741602067181E-2</v>
      </c>
      <c r="G317" s="65">
        <f t="shared" si="116"/>
        <v>340.56</v>
      </c>
      <c r="H317" s="77">
        <v>1.7618040873854828</v>
      </c>
      <c r="I317" s="71">
        <f t="shared" si="117"/>
        <v>1.1000000000000001</v>
      </c>
      <c r="J317" s="23">
        <f t="shared" si="118"/>
        <v>3.2299741602067181E-2</v>
      </c>
      <c r="K317" s="65">
        <f t="shared" si="119"/>
        <v>340.56</v>
      </c>
      <c r="L317" s="21">
        <v>600</v>
      </c>
      <c r="M317" s="21">
        <v>660</v>
      </c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</row>
    <row r="318" spans="1:23" s="26" customFormat="1" ht="30" customHeight="1" x14ac:dyDescent="0.2">
      <c r="A318" s="106" t="s">
        <v>1784</v>
      </c>
      <c r="B318" s="123" t="s">
        <v>634</v>
      </c>
      <c r="C318" s="21" t="s">
        <v>1</v>
      </c>
      <c r="D318" s="50">
        <v>1</v>
      </c>
      <c r="E318" s="51">
        <f t="shared" si="115"/>
        <v>30.480000000000004</v>
      </c>
      <c r="F318" s="298">
        <f t="shared" si="114"/>
        <v>3.2808398950131233E-2</v>
      </c>
      <c r="G318" s="65">
        <f t="shared" si="116"/>
        <v>335.28000000000003</v>
      </c>
      <c r="H318" s="77">
        <v>1.7895490336435216</v>
      </c>
      <c r="I318" s="71">
        <f t="shared" si="117"/>
        <v>1.1000000000000001</v>
      </c>
      <c r="J318" s="23">
        <f t="shared" si="118"/>
        <v>3.2808398950131233E-2</v>
      </c>
      <c r="K318" s="65">
        <f t="shared" si="119"/>
        <v>335.28000000000003</v>
      </c>
      <c r="L318" s="21">
        <v>600</v>
      </c>
      <c r="M318" s="21">
        <v>660</v>
      </c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</row>
    <row r="319" spans="1:23" s="26" customFormat="1" ht="30" customHeight="1" x14ac:dyDescent="0.2">
      <c r="A319" s="106"/>
      <c r="B319" s="122" t="s">
        <v>390</v>
      </c>
      <c r="C319" s="28"/>
      <c r="D319" s="28"/>
      <c r="E319" s="28"/>
      <c r="F319" s="28"/>
      <c r="G319" s="28"/>
      <c r="H319" s="225"/>
      <c r="I319" s="63"/>
      <c r="J319" s="63"/>
      <c r="K319" s="63"/>
      <c r="L319" s="63"/>
      <c r="M319" s="63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</row>
    <row r="320" spans="1:23" s="26" customFormat="1" ht="30" customHeight="1" x14ac:dyDescent="0.2">
      <c r="A320" s="106" t="s">
        <v>1785</v>
      </c>
      <c r="B320" s="126" t="s">
        <v>688</v>
      </c>
      <c r="C320" s="21" t="s">
        <v>1</v>
      </c>
      <c r="D320" s="50">
        <v>1</v>
      </c>
      <c r="E320" s="51">
        <f>G320/11</f>
        <v>32.28</v>
      </c>
      <c r="F320" s="298">
        <f t="shared" si="114"/>
        <v>3.0978934324659233E-2</v>
      </c>
      <c r="G320" s="65">
        <f t="shared" ref="G320:G324" si="120">K320</f>
        <v>355.08</v>
      </c>
      <c r="H320" s="77">
        <v>1.6897600540723217</v>
      </c>
      <c r="I320" s="71">
        <f>M320/L320</f>
        <v>1.1000000000000001</v>
      </c>
      <c r="J320" s="23">
        <f>11/K320</f>
        <v>3.0978934324659233E-2</v>
      </c>
      <c r="K320" s="65">
        <f>M320/(H320*I320)</f>
        <v>355.08</v>
      </c>
      <c r="L320" s="21">
        <v>600</v>
      </c>
      <c r="M320" s="21">
        <v>660</v>
      </c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</row>
    <row r="321" spans="1:23" s="26" customFormat="1" ht="30" customHeight="1" x14ac:dyDescent="0.2">
      <c r="A321" s="106" t="s">
        <v>1786</v>
      </c>
      <c r="B321" s="125" t="s">
        <v>685</v>
      </c>
      <c r="C321" s="21" t="s">
        <v>1</v>
      </c>
      <c r="D321" s="22">
        <v>1</v>
      </c>
      <c r="E321" s="51">
        <f>G321/11</f>
        <v>27.000000000000004</v>
      </c>
      <c r="F321" s="298">
        <f t="shared" si="114"/>
        <v>3.7037037037037028E-2</v>
      </c>
      <c r="G321" s="65">
        <f t="shared" si="120"/>
        <v>297.00000000000006</v>
      </c>
      <c r="H321" s="77">
        <v>2.0202020202020199</v>
      </c>
      <c r="I321" s="71">
        <f>M321/L321</f>
        <v>1.1000000000000001</v>
      </c>
      <c r="J321" s="23">
        <f>11/K321</f>
        <v>3.7037037037037028E-2</v>
      </c>
      <c r="K321" s="65">
        <f>M321/(H321*I321)</f>
        <v>297.00000000000006</v>
      </c>
      <c r="L321" s="21">
        <v>600</v>
      </c>
      <c r="M321" s="21">
        <v>660</v>
      </c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</row>
    <row r="322" spans="1:23" s="26" customFormat="1" ht="30" customHeight="1" x14ac:dyDescent="0.2">
      <c r="A322" s="106" t="s">
        <v>1787</v>
      </c>
      <c r="B322" s="125" t="s">
        <v>391</v>
      </c>
      <c r="C322" s="21" t="s">
        <v>1</v>
      </c>
      <c r="D322" s="50">
        <v>1</v>
      </c>
      <c r="E322" s="51">
        <f>G322/11</f>
        <v>22.44</v>
      </c>
      <c r="F322" s="298">
        <f t="shared" si="114"/>
        <v>4.4563279857397504E-2</v>
      </c>
      <c r="G322" s="65">
        <f t="shared" si="120"/>
        <v>246.84</v>
      </c>
      <c r="H322" s="77">
        <v>2.4307243558580454</v>
      </c>
      <c r="I322" s="71">
        <f>M322/L322</f>
        <v>1.1000000000000001</v>
      </c>
      <c r="J322" s="23">
        <f>11/K322</f>
        <v>4.4563279857397504E-2</v>
      </c>
      <c r="K322" s="65">
        <f>M322/(H322*I322)</f>
        <v>246.84</v>
      </c>
      <c r="L322" s="21">
        <v>600</v>
      </c>
      <c r="M322" s="21">
        <v>660</v>
      </c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</row>
    <row r="323" spans="1:23" s="26" customFormat="1" ht="30" customHeight="1" x14ac:dyDescent="0.2">
      <c r="A323" s="106" t="s">
        <v>1788</v>
      </c>
      <c r="B323" s="125" t="s">
        <v>686</v>
      </c>
      <c r="C323" s="21" t="s">
        <v>1</v>
      </c>
      <c r="D323" s="22">
        <v>1</v>
      </c>
      <c r="E323" s="51">
        <f>G323/11</f>
        <v>46.800000000000004</v>
      </c>
      <c r="F323" s="298">
        <f t="shared" si="114"/>
        <v>2.1367521367521364E-2</v>
      </c>
      <c r="G323" s="65">
        <f t="shared" si="120"/>
        <v>514.80000000000007</v>
      </c>
      <c r="H323" s="77">
        <v>1.1655011655011653</v>
      </c>
      <c r="I323" s="71">
        <f>M323/L323</f>
        <v>1.1000000000000001</v>
      </c>
      <c r="J323" s="23">
        <f>11/K323</f>
        <v>2.1367521367521364E-2</v>
      </c>
      <c r="K323" s="65">
        <f>M323/(H323*I323)</f>
        <v>514.80000000000007</v>
      </c>
      <c r="L323" s="21">
        <v>600</v>
      </c>
      <c r="M323" s="21">
        <v>660</v>
      </c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</row>
    <row r="324" spans="1:23" s="26" customFormat="1" ht="30" customHeight="1" x14ac:dyDescent="0.2">
      <c r="A324" s="106" t="s">
        <v>1789</v>
      </c>
      <c r="B324" s="125" t="s">
        <v>687</v>
      </c>
      <c r="C324" s="21" t="s">
        <v>1</v>
      </c>
      <c r="D324" s="50">
        <v>1</v>
      </c>
      <c r="E324" s="51">
        <f>G324/11</f>
        <v>52.08</v>
      </c>
      <c r="F324" s="298">
        <f t="shared" si="114"/>
        <v>1.9201228878648235E-2</v>
      </c>
      <c r="G324" s="65">
        <f t="shared" si="120"/>
        <v>572.88</v>
      </c>
      <c r="H324" s="77">
        <v>1.0473397570171763</v>
      </c>
      <c r="I324" s="71">
        <f>M324/L324</f>
        <v>1.1000000000000001</v>
      </c>
      <c r="J324" s="23">
        <f>11/K324</f>
        <v>1.9201228878648235E-2</v>
      </c>
      <c r="K324" s="65">
        <f>M324/(H324*I324)</f>
        <v>572.88</v>
      </c>
      <c r="L324" s="21">
        <v>600</v>
      </c>
      <c r="M324" s="21">
        <v>660</v>
      </c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</row>
    <row r="325" spans="1:23" s="26" customFormat="1" ht="30" customHeight="1" x14ac:dyDescent="0.2">
      <c r="A325" s="106"/>
      <c r="B325" s="122" t="s">
        <v>393</v>
      </c>
      <c r="C325" s="28"/>
      <c r="D325" s="28"/>
      <c r="E325" s="28"/>
      <c r="F325" s="28"/>
      <c r="G325" s="28"/>
      <c r="H325" s="225"/>
      <c r="I325" s="63"/>
      <c r="J325" s="63"/>
      <c r="K325" s="63"/>
      <c r="L325" s="63"/>
      <c r="M325" s="63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</row>
    <row r="326" spans="1:23" s="26" customFormat="1" ht="46.5" customHeight="1" x14ac:dyDescent="0.2">
      <c r="A326" s="106" t="s">
        <v>1790</v>
      </c>
      <c r="B326" s="126" t="s">
        <v>3217</v>
      </c>
      <c r="C326" s="21" t="s">
        <v>1</v>
      </c>
      <c r="D326" s="50">
        <v>1</v>
      </c>
      <c r="E326" s="51">
        <f>G326/11</f>
        <v>7.7259850630955444</v>
      </c>
      <c r="F326" s="298">
        <f t="shared" si="114"/>
        <v>0.12943333333333334</v>
      </c>
      <c r="G326" s="65">
        <f>K326</f>
        <v>84.985835694050991</v>
      </c>
      <c r="H326" s="77">
        <v>7.06</v>
      </c>
      <c r="I326" s="71">
        <f>M326/L326</f>
        <v>1.1000000000000001</v>
      </c>
      <c r="J326" s="23">
        <f>11/K326</f>
        <v>0.12943333333333334</v>
      </c>
      <c r="K326" s="65">
        <f>M326/(H326*I326)</f>
        <v>84.985835694050991</v>
      </c>
      <c r="L326" s="21">
        <v>600</v>
      </c>
      <c r="M326" s="21">
        <v>660</v>
      </c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</row>
    <row r="327" spans="1:23" s="26" customFormat="1" ht="30" customHeight="1" x14ac:dyDescent="0.2">
      <c r="A327" s="106" t="s">
        <v>1791</v>
      </c>
      <c r="B327" s="125" t="s">
        <v>689</v>
      </c>
      <c r="C327" s="21" t="s">
        <v>1</v>
      </c>
      <c r="D327" s="22">
        <v>1</v>
      </c>
      <c r="E327" s="51">
        <f>G327/11</f>
        <v>16.32</v>
      </c>
      <c r="F327" s="298">
        <f t="shared" si="114"/>
        <v>6.1274509803921566E-2</v>
      </c>
      <c r="G327" s="65">
        <f>K327</f>
        <v>179.52</v>
      </c>
      <c r="H327" s="77">
        <v>3.3422459893048124</v>
      </c>
      <c r="I327" s="71">
        <f>M327/L327</f>
        <v>1.1000000000000001</v>
      </c>
      <c r="J327" s="23">
        <f>11/K327</f>
        <v>6.1274509803921566E-2</v>
      </c>
      <c r="K327" s="65">
        <f>M327/(H327*I327)</f>
        <v>179.52</v>
      </c>
      <c r="L327" s="21">
        <v>600</v>
      </c>
      <c r="M327" s="21">
        <v>660</v>
      </c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</row>
    <row r="328" spans="1:23" s="26" customFormat="1" ht="30" customHeight="1" x14ac:dyDescent="0.2">
      <c r="A328" s="106"/>
      <c r="B328" s="122" t="s">
        <v>1262</v>
      </c>
      <c r="C328" s="28"/>
      <c r="D328" s="28"/>
      <c r="E328" s="28"/>
      <c r="F328" s="28"/>
      <c r="G328" s="28"/>
      <c r="H328" s="225"/>
      <c r="I328" s="63"/>
      <c r="J328" s="63"/>
      <c r="K328" s="63"/>
      <c r="L328" s="63"/>
      <c r="M328" s="63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</row>
    <row r="329" spans="1:23" s="26" customFormat="1" ht="30" customHeight="1" x14ac:dyDescent="0.2">
      <c r="A329" s="219">
        <v>11063</v>
      </c>
      <c r="B329" s="109" t="s">
        <v>3589</v>
      </c>
      <c r="C329" s="59" t="s">
        <v>3578</v>
      </c>
      <c r="D329" s="22"/>
      <c r="E329" s="301">
        <f>G329/11</f>
        <v>21.6</v>
      </c>
      <c r="F329" s="298">
        <f t="shared" ref="F329:F332" si="121">11/G329</f>
        <v>4.6296296296296294E-2</v>
      </c>
      <c r="G329" s="302">
        <f>L329/H329</f>
        <v>237.60000000000002</v>
      </c>
      <c r="H329" s="303">
        <v>2.5252525252525251</v>
      </c>
      <c r="I329" s="71"/>
      <c r="J329" s="298"/>
      <c r="K329" s="302"/>
      <c r="L329" s="297">
        <v>600</v>
      </c>
      <c r="M329" s="297">
        <v>660</v>
      </c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</row>
    <row r="330" spans="1:23" s="26" customFormat="1" ht="30" customHeight="1" x14ac:dyDescent="0.2">
      <c r="A330" s="219">
        <v>11064</v>
      </c>
      <c r="B330" s="109" t="s">
        <v>3588</v>
      </c>
      <c r="C330" s="59" t="s">
        <v>3579</v>
      </c>
      <c r="D330" s="22"/>
      <c r="E330" s="301">
        <f>G330/11</f>
        <v>21.6</v>
      </c>
      <c r="F330" s="298">
        <f t="shared" si="121"/>
        <v>4.6296296296296294E-2</v>
      </c>
      <c r="G330" s="302">
        <f t="shared" ref="G330:G332" si="122">L330/H330</f>
        <v>237.60000000000002</v>
      </c>
      <c r="H330" s="303">
        <v>2.5252525252525251</v>
      </c>
      <c r="I330" s="71"/>
      <c r="J330" s="298"/>
      <c r="K330" s="302"/>
      <c r="L330" s="297">
        <v>600</v>
      </c>
      <c r="M330" s="297">
        <v>660</v>
      </c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</row>
    <row r="331" spans="1:23" s="26" customFormat="1" ht="30" customHeight="1" x14ac:dyDescent="0.2">
      <c r="A331" s="219">
        <v>11065</v>
      </c>
      <c r="B331" s="109" t="s">
        <v>3587</v>
      </c>
      <c r="C331" s="59" t="s">
        <v>3578</v>
      </c>
      <c r="D331" s="22"/>
      <c r="E331" s="301">
        <f>G331/11</f>
        <v>21.6</v>
      </c>
      <c r="F331" s="298">
        <f t="shared" si="121"/>
        <v>4.6296296296296294E-2</v>
      </c>
      <c r="G331" s="302">
        <f t="shared" si="122"/>
        <v>237.60000000000002</v>
      </c>
      <c r="H331" s="303">
        <v>2.5252525252525251</v>
      </c>
      <c r="I331" s="71"/>
      <c r="J331" s="298"/>
      <c r="K331" s="302"/>
      <c r="L331" s="297">
        <v>600</v>
      </c>
      <c r="M331" s="297">
        <v>660</v>
      </c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</row>
    <row r="332" spans="1:23" s="26" customFormat="1" ht="30" customHeight="1" x14ac:dyDescent="0.2">
      <c r="A332" s="219">
        <v>11066</v>
      </c>
      <c r="B332" s="109" t="s">
        <v>3586</v>
      </c>
      <c r="C332" s="59" t="s">
        <v>3579</v>
      </c>
      <c r="D332" s="22"/>
      <c r="E332" s="301">
        <f>G332/11</f>
        <v>21.6</v>
      </c>
      <c r="F332" s="298">
        <f t="shared" si="121"/>
        <v>4.6296296296296294E-2</v>
      </c>
      <c r="G332" s="302">
        <f t="shared" si="122"/>
        <v>237.60000000000002</v>
      </c>
      <c r="H332" s="303">
        <v>2.5252525252525251</v>
      </c>
      <c r="I332" s="71"/>
      <c r="J332" s="298"/>
      <c r="K332" s="302"/>
      <c r="L332" s="297">
        <v>600</v>
      </c>
      <c r="M332" s="297">
        <v>660</v>
      </c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</row>
    <row r="333" spans="1:23" s="26" customFormat="1" ht="30" customHeight="1" x14ac:dyDescent="0.2">
      <c r="A333" s="106"/>
      <c r="B333" s="122" t="s">
        <v>394</v>
      </c>
      <c r="C333" s="28"/>
      <c r="D333" s="28"/>
      <c r="E333" s="28"/>
      <c r="F333" s="28"/>
      <c r="G333" s="28"/>
      <c r="H333" s="225"/>
      <c r="I333" s="63"/>
      <c r="J333" s="63"/>
      <c r="K333" s="63"/>
      <c r="L333" s="63"/>
      <c r="M333" s="63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</row>
    <row r="334" spans="1:23" s="26" customFormat="1" ht="30" customHeight="1" x14ac:dyDescent="0.2">
      <c r="A334" s="106" t="s">
        <v>1792</v>
      </c>
      <c r="B334" s="123" t="s">
        <v>395</v>
      </c>
      <c r="C334" s="21" t="s">
        <v>1</v>
      </c>
      <c r="D334" s="22">
        <v>1</v>
      </c>
      <c r="E334" s="51">
        <f t="shared" ref="E334:E339" si="123">G334/11</f>
        <v>65.399999999999991</v>
      </c>
      <c r="F334" s="298">
        <f t="shared" si="114"/>
        <v>1.5290519877675841E-2</v>
      </c>
      <c r="G334" s="65">
        <f t="shared" ref="G334:G339" si="124">K334</f>
        <v>719.4</v>
      </c>
      <c r="H334" s="77">
        <v>0.8340283569641368</v>
      </c>
      <c r="I334" s="71">
        <f t="shared" ref="I334:I339" si="125">M334/L334</f>
        <v>1.1000000000000001</v>
      </c>
      <c r="J334" s="23">
        <f t="shared" ref="J334:J339" si="126">11/K334</f>
        <v>1.5290519877675841E-2</v>
      </c>
      <c r="K334" s="65">
        <f t="shared" ref="K334:K339" si="127">M334/(H334*I334)</f>
        <v>719.4</v>
      </c>
      <c r="L334" s="21">
        <v>600</v>
      </c>
      <c r="M334" s="21">
        <v>660</v>
      </c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</row>
    <row r="335" spans="1:23" s="26" customFormat="1" ht="30" customHeight="1" x14ac:dyDescent="0.2">
      <c r="A335" s="106" t="s">
        <v>1793</v>
      </c>
      <c r="B335" s="123" t="s">
        <v>396</v>
      </c>
      <c r="C335" s="21" t="s">
        <v>1</v>
      </c>
      <c r="D335" s="50">
        <v>1</v>
      </c>
      <c r="E335" s="51">
        <f t="shared" si="123"/>
        <v>61.68</v>
      </c>
      <c r="F335" s="298">
        <f t="shared" si="114"/>
        <v>1.6212710765239946E-2</v>
      </c>
      <c r="G335" s="65">
        <f t="shared" si="124"/>
        <v>678.48</v>
      </c>
      <c r="H335" s="77">
        <v>0.8843296781039971</v>
      </c>
      <c r="I335" s="71">
        <f t="shared" si="125"/>
        <v>1.1000000000000001</v>
      </c>
      <c r="J335" s="23">
        <f t="shared" si="126"/>
        <v>1.6212710765239946E-2</v>
      </c>
      <c r="K335" s="65">
        <f t="shared" si="127"/>
        <v>678.48</v>
      </c>
      <c r="L335" s="21">
        <v>600</v>
      </c>
      <c r="M335" s="21">
        <v>660</v>
      </c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</row>
    <row r="336" spans="1:23" s="26" customFormat="1" ht="30" customHeight="1" x14ac:dyDescent="0.2">
      <c r="A336" s="106" t="s">
        <v>1794</v>
      </c>
      <c r="B336" s="123" t="s">
        <v>397</v>
      </c>
      <c r="C336" s="21" t="s">
        <v>1</v>
      </c>
      <c r="D336" s="22">
        <v>1</v>
      </c>
      <c r="E336" s="51">
        <f t="shared" si="123"/>
        <v>56.76</v>
      </c>
      <c r="F336" s="298">
        <f t="shared" si="114"/>
        <v>1.7618040873854827E-2</v>
      </c>
      <c r="G336" s="65">
        <f t="shared" si="124"/>
        <v>624.36</v>
      </c>
      <c r="H336" s="77">
        <v>0.96098404766480872</v>
      </c>
      <c r="I336" s="71">
        <f t="shared" si="125"/>
        <v>1.1000000000000001</v>
      </c>
      <c r="J336" s="23">
        <f t="shared" si="126"/>
        <v>1.7618040873854827E-2</v>
      </c>
      <c r="K336" s="65">
        <f t="shared" si="127"/>
        <v>624.36</v>
      </c>
      <c r="L336" s="21">
        <v>600</v>
      </c>
      <c r="M336" s="21">
        <v>660</v>
      </c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</row>
    <row r="337" spans="1:23" s="26" customFormat="1" ht="30" customHeight="1" x14ac:dyDescent="0.2">
      <c r="A337" s="106" t="s">
        <v>1795</v>
      </c>
      <c r="B337" s="123" t="s">
        <v>398</v>
      </c>
      <c r="C337" s="21" t="s">
        <v>1</v>
      </c>
      <c r="D337" s="50">
        <v>1</v>
      </c>
      <c r="E337" s="51">
        <f t="shared" si="123"/>
        <v>53.519999999999989</v>
      </c>
      <c r="F337" s="298">
        <f t="shared" si="114"/>
        <v>1.8684603886397613E-2</v>
      </c>
      <c r="G337" s="65">
        <f t="shared" si="124"/>
        <v>588.71999999999991</v>
      </c>
      <c r="H337" s="77">
        <v>1.019160211985324</v>
      </c>
      <c r="I337" s="71">
        <f t="shared" si="125"/>
        <v>1.1000000000000001</v>
      </c>
      <c r="J337" s="23">
        <f t="shared" si="126"/>
        <v>1.8684603886397613E-2</v>
      </c>
      <c r="K337" s="65">
        <f t="shared" si="127"/>
        <v>588.71999999999991</v>
      </c>
      <c r="L337" s="21">
        <v>600</v>
      </c>
      <c r="M337" s="21">
        <v>660</v>
      </c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</row>
    <row r="338" spans="1:23" s="26" customFormat="1" ht="30" customHeight="1" x14ac:dyDescent="0.2">
      <c r="A338" s="106" t="s">
        <v>1796</v>
      </c>
      <c r="B338" s="123" t="s">
        <v>399</v>
      </c>
      <c r="C338" s="21" t="s">
        <v>1</v>
      </c>
      <c r="D338" s="22">
        <v>1</v>
      </c>
      <c r="E338" s="51">
        <f t="shared" si="123"/>
        <v>53.639999999999993</v>
      </c>
      <c r="F338" s="298">
        <f t="shared" si="114"/>
        <v>1.8642803877703208E-2</v>
      </c>
      <c r="G338" s="65">
        <f t="shared" si="124"/>
        <v>590.04</v>
      </c>
      <c r="H338" s="77">
        <v>1.016880211511084</v>
      </c>
      <c r="I338" s="71">
        <f t="shared" si="125"/>
        <v>1.1000000000000001</v>
      </c>
      <c r="J338" s="23">
        <f t="shared" si="126"/>
        <v>1.8642803877703208E-2</v>
      </c>
      <c r="K338" s="65">
        <f t="shared" si="127"/>
        <v>590.04</v>
      </c>
      <c r="L338" s="21">
        <v>600</v>
      </c>
      <c r="M338" s="21">
        <v>660</v>
      </c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</row>
    <row r="339" spans="1:23" s="26" customFormat="1" ht="30" customHeight="1" x14ac:dyDescent="0.2">
      <c r="A339" s="106" t="s">
        <v>1797</v>
      </c>
      <c r="B339" s="123" t="s">
        <v>400</v>
      </c>
      <c r="C339" s="21" t="s">
        <v>1</v>
      </c>
      <c r="D339" s="50">
        <v>1</v>
      </c>
      <c r="E339" s="51">
        <f t="shared" si="123"/>
        <v>50.639999999999986</v>
      </c>
      <c r="F339" s="298">
        <f t="shared" si="114"/>
        <v>1.9747235387045817E-2</v>
      </c>
      <c r="G339" s="65">
        <f t="shared" si="124"/>
        <v>557.03999999999985</v>
      </c>
      <c r="H339" s="77">
        <v>1.077121930202499</v>
      </c>
      <c r="I339" s="71">
        <f t="shared" si="125"/>
        <v>1.1000000000000001</v>
      </c>
      <c r="J339" s="23">
        <f t="shared" si="126"/>
        <v>1.9747235387045817E-2</v>
      </c>
      <c r="K339" s="65">
        <f t="shared" si="127"/>
        <v>557.03999999999985</v>
      </c>
      <c r="L339" s="21">
        <v>600</v>
      </c>
      <c r="M339" s="21">
        <v>660</v>
      </c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</row>
    <row r="340" spans="1:23" s="26" customFormat="1" ht="30" customHeight="1" x14ac:dyDescent="0.2">
      <c r="A340" s="106"/>
      <c r="B340" s="122" t="s">
        <v>1263</v>
      </c>
      <c r="C340" s="28"/>
      <c r="D340" s="28"/>
      <c r="E340" s="28"/>
      <c r="F340" s="28"/>
      <c r="G340" s="28"/>
      <c r="H340" s="225"/>
      <c r="I340" s="63"/>
      <c r="J340" s="63"/>
      <c r="K340" s="63"/>
      <c r="L340" s="63"/>
      <c r="M340" s="63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</row>
    <row r="341" spans="1:23" s="26" customFormat="1" ht="30" customHeight="1" x14ac:dyDescent="0.2">
      <c r="A341" s="106" t="s">
        <v>1798</v>
      </c>
      <c r="B341" s="110" t="s">
        <v>818</v>
      </c>
      <c r="C341" s="21" t="s">
        <v>1</v>
      </c>
      <c r="D341" s="50">
        <v>1</v>
      </c>
      <c r="E341" s="51">
        <f t="shared" ref="E341:E350" si="128">G341/11</f>
        <v>37.199999999999996</v>
      </c>
      <c r="F341" s="298">
        <f t="shared" si="114"/>
        <v>2.6881720430107527E-2</v>
      </c>
      <c r="G341" s="65">
        <f t="shared" ref="G341:G350" si="129">K341</f>
        <v>409.2</v>
      </c>
      <c r="H341" s="77">
        <v>1.466275659824047</v>
      </c>
      <c r="I341" s="71">
        <f t="shared" ref="I341:I350" si="130">M341/L341</f>
        <v>1.1000000000000001</v>
      </c>
      <c r="J341" s="23">
        <f t="shared" ref="J341:J350" si="131">11/K341</f>
        <v>2.6881720430107527E-2</v>
      </c>
      <c r="K341" s="65">
        <f t="shared" ref="K341:K350" si="132">M341/(H341*I341)</f>
        <v>409.2</v>
      </c>
      <c r="L341" s="21">
        <v>600</v>
      </c>
      <c r="M341" s="21">
        <v>660</v>
      </c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</row>
    <row r="342" spans="1:23" s="26" customFormat="1" ht="30" customHeight="1" x14ac:dyDescent="0.2">
      <c r="A342" s="106" t="s">
        <v>1799</v>
      </c>
      <c r="B342" s="110" t="s">
        <v>819</v>
      </c>
      <c r="C342" s="21" t="s">
        <v>1</v>
      </c>
      <c r="D342" s="22">
        <v>1</v>
      </c>
      <c r="E342" s="51">
        <f t="shared" si="128"/>
        <v>28.79999999999999</v>
      </c>
      <c r="F342" s="298">
        <f t="shared" si="114"/>
        <v>3.4722222222222231E-2</v>
      </c>
      <c r="G342" s="65">
        <f t="shared" si="129"/>
        <v>316.7999999999999</v>
      </c>
      <c r="H342" s="77">
        <v>1.8939393939393943</v>
      </c>
      <c r="I342" s="71">
        <f t="shared" si="130"/>
        <v>1.1000000000000001</v>
      </c>
      <c r="J342" s="23">
        <f t="shared" si="131"/>
        <v>3.4722222222222231E-2</v>
      </c>
      <c r="K342" s="65">
        <f t="shared" si="132"/>
        <v>316.7999999999999</v>
      </c>
      <c r="L342" s="21">
        <v>600</v>
      </c>
      <c r="M342" s="21">
        <v>660</v>
      </c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</row>
    <row r="343" spans="1:23" s="26" customFormat="1" ht="30" customHeight="1" x14ac:dyDescent="0.2">
      <c r="A343" s="106" t="s">
        <v>1800</v>
      </c>
      <c r="B343" s="110" t="s">
        <v>820</v>
      </c>
      <c r="C343" s="21" t="s">
        <v>1</v>
      </c>
      <c r="D343" s="50">
        <v>1</v>
      </c>
      <c r="E343" s="51">
        <f t="shared" si="128"/>
        <v>32.72727272727272</v>
      </c>
      <c r="F343" s="298">
        <f t="shared" si="114"/>
        <v>3.0555555555555561E-2</v>
      </c>
      <c r="G343" s="65">
        <f t="shared" si="129"/>
        <v>359.99999999999994</v>
      </c>
      <c r="H343" s="77">
        <v>1.6666666666666667</v>
      </c>
      <c r="I343" s="71">
        <f t="shared" si="130"/>
        <v>1.1000000000000001</v>
      </c>
      <c r="J343" s="23">
        <f t="shared" si="131"/>
        <v>3.0555555555555561E-2</v>
      </c>
      <c r="K343" s="65">
        <f t="shared" si="132"/>
        <v>359.99999999999994</v>
      </c>
      <c r="L343" s="21">
        <v>600</v>
      </c>
      <c r="M343" s="21">
        <v>660</v>
      </c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</row>
    <row r="344" spans="1:23" s="26" customFormat="1" ht="30" customHeight="1" x14ac:dyDescent="0.2">
      <c r="A344" s="106" t="s">
        <v>1801</v>
      </c>
      <c r="B344" s="110" t="s">
        <v>821</v>
      </c>
      <c r="C344" s="21" t="s">
        <v>1</v>
      </c>
      <c r="D344" s="22">
        <v>1</v>
      </c>
      <c r="E344" s="51">
        <f t="shared" si="128"/>
        <v>25.200000000000003</v>
      </c>
      <c r="F344" s="298">
        <f t="shared" si="114"/>
        <v>3.9682539682539673E-2</v>
      </c>
      <c r="G344" s="65">
        <f t="shared" si="129"/>
        <v>277.20000000000005</v>
      </c>
      <c r="H344" s="220">
        <v>2.164502164502164</v>
      </c>
      <c r="I344" s="71">
        <f t="shared" si="130"/>
        <v>1.1000000000000001</v>
      </c>
      <c r="J344" s="23">
        <f t="shared" si="131"/>
        <v>3.9682539682539673E-2</v>
      </c>
      <c r="K344" s="65">
        <f t="shared" si="132"/>
        <v>277.20000000000005</v>
      </c>
      <c r="L344" s="21">
        <v>600</v>
      </c>
      <c r="M344" s="21">
        <v>660</v>
      </c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</row>
    <row r="345" spans="1:23" s="26" customFormat="1" ht="30" customHeight="1" x14ac:dyDescent="0.2">
      <c r="A345" s="106" t="s">
        <v>1802</v>
      </c>
      <c r="B345" s="110" t="s">
        <v>1264</v>
      </c>
      <c r="C345" s="21" t="s">
        <v>1</v>
      </c>
      <c r="D345" s="50">
        <v>1</v>
      </c>
      <c r="E345" s="51">
        <f t="shared" si="128"/>
        <v>18.18181818181818</v>
      </c>
      <c r="F345" s="298">
        <f t="shared" si="114"/>
        <v>5.5000000000000007E-2</v>
      </c>
      <c r="G345" s="65">
        <f t="shared" si="129"/>
        <v>199.99999999999997</v>
      </c>
      <c r="H345" s="77">
        <v>3</v>
      </c>
      <c r="I345" s="71">
        <f t="shared" si="130"/>
        <v>1.1000000000000001</v>
      </c>
      <c r="J345" s="23">
        <f t="shared" si="131"/>
        <v>5.5000000000000007E-2</v>
      </c>
      <c r="K345" s="65">
        <f t="shared" si="132"/>
        <v>199.99999999999997</v>
      </c>
      <c r="L345" s="21">
        <v>600</v>
      </c>
      <c r="M345" s="21">
        <v>660</v>
      </c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</row>
    <row r="346" spans="1:23" s="26" customFormat="1" ht="30" customHeight="1" x14ac:dyDescent="0.2">
      <c r="A346" s="106" t="s">
        <v>1803</v>
      </c>
      <c r="B346" s="110" t="s">
        <v>1268</v>
      </c>
      <c r="C346" s="21" t="s">
        <v>1</v>
      </c>
      <c r="D346" s="22">
        <v>1</v>
      </c>
      <c r="E346" s="51">
        <f t="shared" si="128"/>
        <v>9.0909090909090899</v>
      </c>
      <c r="F346" s="298">
        <f t="shared" si="114"/>
        <v>0.11000000000000001</v>
      </c>
      <c r="G346" s="65">
        <f t="shared" si="129"/>
        <v>99.999999999999986</v>
      </c>
      <c r="H346" s="77">
        <v>6</v>
      </c>
      <c r="I346" s="71">
        <f t="shared" si="130"/>
        <v>1.1000000000000001</v>
      </c>
      <c r="J346" s="23">
        <f t="shared" si="131"/>
        <v>0.11000000000000001</v>
      </c>
      <c r="K346" s="65">
        <f t="shared" si="132"/>
        <v>99.999999999999986</v>
      </c>
      <c r="L346" s="21">
        <v>600</v>
      </c>
      <c r="M346" s="21">
        <v>660</v>
      </c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</row>
    <row r="347" spans="1:23" s="26" customFormat="1" ht="30" customHeight="1" x14ac:dyDescent="0.2">
      <c r="A347" s="106" t="s">
        <v>1804</v>
      </c>
      <c r="B347" s="110" t="s">
        <v>1265</v>
      </c>
      <c r="C347" s="21" t="s">
        <v>1</v>
      </c>
      <c r="D347" s="50">
        <v>1</v>
      </c>
      <c r="E347" s="51">
        <f t="shared" si="128"/>
        <v>5.4545454545454541</v>
      </c>
      <c r="F347" s="298">
        <f t="shared" si="114"/>
        <v>0.18333333333333332</v>
      </c>
      <c r="G347" s="65">
        <f t="shared" si="129"/>
        <v>60</v>
      </c>
      <c r="H347" s="77">
        <v>10</v>
      </c>
      <c r="I347" s="71">
        <f t="shared" si="130"/>
        <v>1.1000000000000001</v>
      </c>
      <c r="J347" s="23">
        <f t="shared" si="131"/>
        <v>0.18333333333333332</v>
      </c>
      <c r="K347" s="65">
        <f t="shared" si="132"/>
        <v>60</v>
      </c>
      <c r="L347" s="21">
        <v>600</v>
      </c>
      <c r="M347" s="21">
        <v>660</v>
      </c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</row>
    <row r="348" spans="1:23" s="26" customFormat="1" ht="30" customHeight="1" x14ac:dyDescent="0.2">
      <c r="A348" s="106" t="s">
        <v>1805</v>
      </c>
      <c r="B348" s="110" t="s">
        <v>1266</v>
      </c>
      <c r="C348" s="21" t="s">
        <v>1</v>
      </c>
      <c r="D348" s="22">
        <v>1</v>
      </c>
      <c r="E348" s="51">
        <f t="shared" si="128"/>
        <v>12.121212121212119</v>
      </c>
      <c r="F348" s="298">
        <f t="shared" si="114"/>
        <v>8.2500000000000018E-2</v>
      </c>
      <c r="G348" s="65">
        <f t="shared" si="129"/>
        <v>133.33333333333331</v>
      </c>
      <c r="H348" s="77">
        <v>4.5</v>
      </c>
      <c r="I348" s="71">
        <f t="shared" si="130"/>
        <v>1.1000000000000001</v>
      </c>
      <c r="J348" s="23">
        <f t="shared" si="131"/>
        <v>8.2500000000000018E-2</v>
      </c>
      <c r="K348" s="65">
        <f t="shared" si="132"/>
        <v>133.33333333333331</v>
      </c>
      <c r="L348" s="21">
        <v>600</v>
      </c>
      <c r="M348" s="21">
        <v>660</v>
      </c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</row>
    <row r="349" spans="1:23" s="26" customFormat="1" ht="30" customHeight="1" x14ac:dyDescent="0.2">
      <c r="A349" s="106" t="s">
        <v>1806</v>
      </c>
      <c r="B349" s="110" t="s">
        <v>1269</v>
      </c>
      <c r="C349" s="21" t="s">
        <v>1</v>
      </c>
      <c r="D349" s="50">
        <v>1</v>
      </c>
      <c r="E349" s="51">
        <f t="shared" si="128"/>
        <v>6.0606060606060597</v>
      </c>
      <c r="F349" s="298">
        <f t="shared" si="114"/>
        <v>0.16500000000000004</v>
      </c>
      <c r="G349" s="65">
        <f t="shared" si="129"/>
        <v>66.666666666666657</v>
      </c>
      <c r="H349" s="77">
        <v>9</v>
      </c>
      <c r="I349" s="71">
        <f t="shared" si="130"/>
        <v>1.1000000000000001</v>
      </c>
      <c r="J349" s="23">
        <f t="shared" si="131"/>
        <v>0.16500000000000004</v>
      </c>
      <c r="K349" s="65">
        <f t="shared" si="132"/>
        <v>66.666666666666657</v>
      </c>
      <c r="L349" s="21">
        <v>600</v>
      </c>
      <c r="M349" s="21">
        <v>660</v>
      </c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</row>
    <row r="350" spans="1:23" s="26" customFormat="1" ht="30" customHeight="1" x14ac:dyDescent="0.2">
      <c r="A350" s="106" t="s">
        <v>1807</v>
      </c>
      <c r="B350" s="110" t="s">
        <v>1267</v>
      </c>
      <c r="C350" s="21" t="s">
        <v>1</v>
      </c>
      <c r="D350" s="22">
        <v>1</v>
      </c>
      <c r="E350" s="51">
        <f t="shared" si="128"/>
        <v>3.6363636363636362</v>
      </c>
      <c r="F350" s="298">
        <f t="shared" si="114"/>
        <v>0.27500000000000002</v>
      </c>
      <c r="G350" s="65">
        <f t="shared" si="129"/>
        <v>40</v>
      </c>
      <c r="H350" s="77">
        <v>15</v>
      </c>
      <c r="I350" s="71">
        <f t="shared" si="130"/>
        <v>1.1000000000000001</v>
      </c>
      <c r="J350" s="23">
        <f t="shared" si="131"/>
        <v>0.27500000000000002</v>
      </c>
      <c r="K350" s="65">
        <f t="shared" si="132"/>
        <v>40</v>
      </c>
      <c r="L350" s="21">
        <v>600</v>
      </c>
      <c r="M350" s="21">
        <v>660</v>
      </c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</row>
    <row r="351" spans="1:23" s="26" customFormat="1" ht="30" customHeight="1" x14ac:dyDescent="0.2">
      <c r="A351" s="106" t="s">
        <v>2929</v>
      </c>
      <c r="B351" s="110" t="s">
        <v>2928</v>
      </c>
      <c r="C351" s="21" t="s">
        <v>8</v>
      </c>
      <c r="D351" s="22">
        <v>1</v>
      </c>
      <c r="E351" s="51">
        <f t="shared" ref="E351" si="133">G351/11</f>
        <v>0.90909090909090906</v>
      </c>
      <c r="F351" s="298">
        <f t="shared" si="114"/>
        <v>1.1000000000000001</v>
      </c>
      <c r="G351" s="65">
        <f t="shared" ref="G351" si="134">K351</f>
        <v>10</v>
      </c>
      <c r="H351" s="77">
        <v>60</v>
      </c>
      <c r="I351" s="71">
        <f t="shared" ref="I351" si="135">M351/L351</f>
        <v>1.1000000000000001</v>
      </c>
      <c r="J351" s="23">
        <f t="shared" ref="J351" si="136">11/K351</f>
        <v>1.1000000000000001</v>
      </c>
      <c r="K351" s="65">
        <f t="shared" ref="K351" si="137">M351/(H351*I351)</f>
        <v>10</v>
      </c>
      <c r="L351" s="21">
        <v>600</v>
      </c>
      <c r="M351" s="21">
        <v>660</v>
      </c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</row>
    <row r="352" spans="1:23" s="26" customFormat="1" ht="30" customHeight="1" x14ac:dyDescent="0.2">
      <c r="A352" s="106"/>
      <c r="B352" s="122" t="s">
        <v>401</v>
      </c>
      <c r="C352" s="28"/>
      <c r="D352" s="28"/>
      <c r="E352" s="28"/>
      <c r="F352" s="298" t="e">
        <f t="shared" si="114"/>
        <v>#DIV/0!</v>
      </c>
      <c r="G352" s="28"/>
      <c r="H352" s="225"/>
      <c r="I352" s="63"/>
      <c r="J352" s="63"/>
      <c r="K352" s="63"/>
      <c r="L352" s="63"/>
      <c r="M352" s="63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</row>
    <row r="353" spans="1:23" s="26" customFormat="1" ht="30" customHeight="1" x14ac:dyDescent="0.2">
      <c r="A353" s="106" t="s">
        <v>1808</v>
      </c>
      <c r="B353" s="109" t="s">
        <v>402</v>
      </c>
      <c r="C353" s="59" t="s">
        <v>1</v>
      </c>
      <c r="D353" s="22">
        <v>1</v>
      </c>
      <c r="E353" s="51">
        <f>G353/11</f>
        <v>63.359999999999992</v>
      </c>
      <c r="F353" s="298">
        <f t="shared" si="114"/>
        <v>1.5782828282828284E-2</v>
      </c>
      <c r="G353" s="65">
        <f>K353</f>
        <v>696.95999999999992</v>
      </c>
      <c r="H353" s="77">
        <v>0.8608815426997245</v>
      </c>
      <c r="I353" s="71">
        <f>M353/L353</f>
        <v>1.1000000000000001</v>
      </c>
      <c r="J353" s="23">
        <f>11/K353</f>
        <v>1.5782828282828284E-2</v>
      </c>
      <c r="K353" s="65">
        <f>M353/(H353*I353)</f>
        <v>696.95999999999992</v>
      </c>
      <c r="L353" s="21">
        <v>600</v>
      </c>
      <c r="M353" s="21">
        <v>660</v>
      </c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</row>
    <row r="354" spans="1:23" s="26" customFormat="1" ht="30" customHeight="1" x14ac:dyDescent="0.2">
      <c r="A354" s="106" t="s">
        <v>1809</v>
      </c>
      <c r="B354" s="109" t="s">
        <v>403</v>
      </c>
      <c r="C354" s="59" t="s">
        <v>1</v>
      </c>
      <c r="D354" s="50">
        <v>1</v>
      </c>
      <c r="E354" s="51">
        <f>G354/11</f>
        <v>114.84</v>
      </c>
      <c r="F354" s="298">
        <f t="shared" si="114"/>
        <v>8.7077673284569838E-3</v>
      </c>
      <c r="G354" s="65">
        <f>K354</f>
        <v>1263.24</v>
      </c>
      <c r="H354" s="77">
        <v>0.47496912700674448</v>
      </c>
      <c r="I354" s="71">
        <f>M354/L354</f>
        <v>1.1000000000000001</v>
      </c>
      <c r="J354" s="23">
        <f>11/K354</f>
        <v>8.7077673284569838E-3</v>
      </c>
      <c r="K354" s="65">
        <f>M354/(H354*I354)</f>
        <v>1263.24</v>
      </c>
      <c r="L354" s="21">
        <v>600</v>
      </c>
      <c r="M354" s="21">
        <v>660</v>
      </c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</row>
    <row r="355" spans="1:23" s="26" customFormat="1" ht="30" customHeight="1" x14ac:dyDescent="0.2">
      <c r="A355" s="106"/>
      <c r="B355" s="122" t="s">
        <v>2930</v>
      </c>
      <c r="C355" s="28"/>
      <c r="D355" s="28"/>
      <c r="E355" s="28"/>
      <c r="F355" s="298" t="e">
        <f t="shared" si="114"/>
        <v>#DIV/0!</v>
      </c>
      <c r="G355" s="28"/>
      <c r="H355" s="225"/>
      <c r="I355" s="63"/>
      <c r="J355" s="63"/>
      <c r="K355" s="63"/>
      <c r="L355" s="63"/>
      <c r="M355" s="63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</row>
    <row r="356" spans="1:23" s="26" customFormat="1" ht="30" customHeight="1" x14ac:dyDescent="0.2">
      <c r="A356" s="106" t="s">
        <v>1810</v>
      </c>
      <c r="B356" s="123" t="s">
        <v>2931</v>
      </c>
      <c r="C356" s="21" t="s">
        <v>354</v>
      </c>
      <c r="D356" s="50">
        <v>1</v>
      </c>
      <c r="E356" s="51">
        <f>G356/11</f>
        <v>1.7999999999999994</v>
      </c>
      <c r="F356" s="298">
        <f t="shared" si="114"/>
        <v>0.55555555555555569</v>
      </c>
      <c r="G356" s="65">
        <f>K356</f>
        <v>19.799999999999994</v>
      </c>
      <c r="H356" s="77">
        <v>30.303030303030308</v>
      </c>
      <c r="I356" s="71">
        <f>M356/L356</f>
        <v>1.1000000000000001</v>
      </c>
      <c r="J356" s="23">
        <f>11/K356</f>
        <v>0.55555555555555569</v>
      </c>
      <c r="K356" s="65">
        <f>M356/(H356*I356)</f>
        <v>19.799999999999994</v>
      </c>
      <c r="L356" s="21">
        <v>600</v>
      </c>
      <c r="M356" s="21">
        <v>660</v>
      </c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</row>
    <row r="357" spans="1:23" s="26" customFormat="1" ht="30" customHeight="1" x14ac:dyDescent="0.2">
      <c r="A357" s="106"/>
      <c r="B357" s="122" t="s">
        <v>404</v>
      </c>
      <c r="C357" s="28"/>
      <c r="D357" s="28"/>
      <c r="E357" s="28"/>
      <c r="F357" s="298" t="e">
        <f t="shared" si="114"/>
        <v>#DIV/0!</v>
      </c>
      <c r="G357" s="28"/>
      <c r="H357" s="225"/>
      <c r="I357" s="63"/>
      <c r="J357" s="63"/>
      <c r="K357" s="63"/>
      <c r="L357" s="63"/>
      <c r="M357" s="63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</row>
    <row r="358" spans="1:23" s="26" customFormat="1" ht="30" customHeight="1" x14ac:dyDescent="0.2">
      <c r="A358" s="106" t="s">
        <v>1811</v>
      </c>
      <c r="B358" s="123" t="s">
        <v>405</v>
      </c>
      <c r="C358" s="21" t="s">
        <v>354</v>
      </c>
      <c r="D358" s="50">
        <v>1</v>
      </c>
      <c r="E358" s="51">
        <f>G358/11</f>
        <v>31.92</v>
      </c>
      <c r="F358" s="298">
        <f t="shared" si="114"/>
        <v>3.1328320802005011E-2</v>
      </c>
      <c r="G358" s="65">
        <f t="shared" ref="G358:G360" si="138">K358</f>
        <v>351.12</v>
      </c>
      <c r="H358" s="77">
        <v>1.7088174982911823</v>
      </c>
      <c r="I358" s="71">
        <f>M358/L358</f>
        <v>1.1000000000000001</v>
      </c>
      <c r="J358" s="23">
        <f>11/K358</f>
        <v>3.1328320802005011E-2</v>
      </c>
      <c r="K358" s="65">
        <f>M358/(H358*I358)</f>
        <v>351.12</v>
      </c>
      <c r="L358" s="21">
        <v>600</v>
      </c>
      <c r="M358" s="21">
        <v>660</v>
      </c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</row>
    <row r="359" spans="1:23" s="26" customFormat="1" ht="30" customHeight="1" x14ac:dyDescent="0.2">
      <c r="A359" s="106" t="s">
        <v>1812</v>
      </c>
      <c r="B359" s="123" t="s">
        <v>406</v>
      </c>
      <c r="C359" s="21" t="s">
        <v>354</v>
      </c>
      <c r="D359" s="22">
        <v>1</v>
      </c>
      <c r="E359" s="51">
        <f>G359/11</f>
        <v>22.44</v>
      </c>
      <c r="F359" s="298">
        <f t="shared" si="114"/>
        <v>4.4563279857397504E-2</v>
      </c>
      <c r="G359" s="65">
        <f t="shared" si="138"/>
        <v>246.84</v>
      </c>
      <c r="H359" s="77">
        <v>2.4307243558580454</v>
      </c>
      <c r="I359" s="71">
        <f>M359/L359</f>
        <v>1.1000000000000001</v>
      </c>
      <c r="J359" s="23">
        <f>11/K359</f>
        <v>4.4563279857397504E-2</v>
      </c>
      <c r="K359" s="65">
        <f>M359/(H359*I359)</f>
        <v>246.84</v>
      </c>
      <c r="L359" s="21">
        <v>600</v>
      </c>
      <c r="M359" s="21">
        <v>660</v>
      </c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</row>
    <row r="360" spans="1:23" s="26" customFormat="1" ht="30" customHeight="1" x14ac:dyDescent="0.2">
      <c r="A360" s="106" t="s">
        <v>1813</v>
      </c>
      <c r="B360" s="123" t="s">
        <v>407</v>
      </c>
      <c r="C360" s="21" t="s">
        <v>354</v>
      </c>
      <c r="D360" s="50">
        <v>1</v>
      </c>
      <c r="E360" s="51">
        <f>G360/11</f>
        <v>17.16</v>
      </c>
      <c r="F360" s="298">
        <f t="shared" si="114"/>
        <v>5.8275058275058279E-2</v>
      </c>
      <c r="G360" s="65">
        <f t="shared" si="138"/>
        <v>188.76</v>
      </c>
      <c r="H360" s="77">
        <v>3.1786395422759059</v>
      </c>
      <c r="I360" s="71">
        <f>M360/L360</f>
        <v>1.1000000000000001</v>
      </c>
      <c r="J360" s="23">
        <f>11/K360</f>
        <v>5.8275058275058279E-2</v>
      </c>
      <c r="K360" s="65">
        <f>M360/(H360*I360)</f>
        <v>188.76</v>
      </c>
      <c r="L360" s="21">
        <v>600</v>
      </c>
      <c r="M360" s="21">
        <v>660</v>
      </c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</row>
    <row r="361" spans="1:23" s="26" customFormat="1" ht="30" customHeight="1" x14ac:dyDescent="0.2">
      <c r="A361" s="106"/>
      <c r="B361" s="122" t="s">
        <v>408</v>
      </c>
      <c r="C361" s="28"/>
      <c r="D361" s="28"/>
      <c r="E361" s="28"/>
      <c r="F361" s="298" t="e">
        <f t="shared" si="114"/>
        <v>#DIV/0!</v>
      </c>
      <c r="G361" s="28"/>
      <c r="H361" s="225"/>
      <c r="I361" s="63"/>
      <c r="J361" s="63"/>
      <c r="K361" s="63"/>
      <c r="L361" s="63"/>
      <c r="M361" s="63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</row>
    <row r="362" spans="1:23" s="26" customFormat="1" ht="30" customHeight="1" x14ac:dyDescent="0.2">
      <c r="A362" s="106" t="s">
        <v>1814</v>
      </c>
      <c r="B362" s="123" t="s">
        <v>518</v>
      </c>
      <c r="C362" s="21" t="s">
        <v>1</v>
      </c>
      <c r="D362" s="50">
        <v>1</v>
      </c>
      <c r="E362" s="51">
        <f>G362/11</f>
        <v>15.120000000000003</v>
      </c>
      <c r="F362" s="298">
        <f t="shared" si="114"/>
        <v>6.6137566137566134E-2</v>
      </c>
      <c r="G362" s="65">
        <f t="shared" ref="G362:G364" si="139">K362</f>
        <v>166.32000000000002</v>
      </c>
      <c r="H362" s="77">
        <v>3.6075036075036069</v>
      </c>
      <c r="I362" s="71">
        <f>M362/L362</f>
        <v>1.1000000000000001</v>
      </c>
      <c r="J362" s="23">
        <f>11/K362</f>
        <v>6.6137566137566134E-2</v>
      </c>
      <c r="K362" s="65">
        <f>M362/(H362*I362)</f>
        <v>166.32000000000002</v>
      </c>
      <c r="L362" s="21">
        <v>600</v>
      </c>
      <c r="M362" s="21">
        <v>660</v>
      </c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</row>
    <row r="363" spans="1:23" s="26" customFormat="1" ht="30" customHeight="1" x14ac:dyDescent="0.2">
      <c r="A363" s="106" t="s">
        <v>1815</v>
      </c>
      <c r="B363" s="123" t="s">
        <v>409</v>
      </c>
      <c r="C363" s="21" t="s">
        <v>1</v>
      </c>
      <c r="D363" s="22">
        <v>1</v>
      </c>
      <c r="E363" s="51">
        <f>G363/11</f>
        <v>5.0399999999999991</v>
      </c>
      <c r="F363" s="298">
        <f t="shared" si="114"/>
        <v>0.19841269841269846</v>
      </c>
      <c r="G363" s="65">
        <f t="shared" si="139"/>
        <v>55.439999999999991</v>
      </c>
      <c r="H363" s="77">
        <v>10.822510822510823</v>
      </c>
      <c r="I363" s="71">
        <f>M363/L363</f>
        <v>1.1000000000000001</v>
      </c>
      <c r="J363" s="23">
        <f>11/K363</f>
        <v>0.19841269841269846</v>
      </c>
      <c r="K363" s="65">
        <f>M363/(H363*I363)</f>
        <v>55.439999999999991</v>
      </c>
      <c r="L363" s="21">
        <v>600</v>
      </c>
      <c r="M363" s="21">
        <v>660</v>
      </c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</row>
    <row r="364" spans="1:23" s="26" customFormat="1" ht="30" customHeight="1" x14ac:dyDescent="0.2">
      <c r="A364" s="106" t="s">
        <v>1816</v>
      </c>
      <c r="B364" s="123" t="s">
        <v>410</v>
      </c>
      <c r="C364" s="21" t="s">
        <v>1</v>
      </c>
      <c r="D364" s="50">
        <v>1</v>
      </c>
      <c r="E364" s="51">
        <f>G364/11</f>
        <v>3.8400000000000003</v>
      </c>
      <c r="F364" s="298">
        <f t="shared" si="114"/>
        <v>0.26041666666666663</v>
      </c>
      <c r="G364" s="65">
        <f t="shared" si="139"/>
        <v>42.24</v>
      </c>
      <c r="H364" s="77">
        <v>14.204545454545453</v>
      </c>
      <c r="I364" s="71">
        <f>M364/L364</f>
        <v>1.1000000000000001</v>
      </c>
      <c r="J364" s="23">
        <f>11/K364</f>
        <v>0.26041666666666663</v>
      </c>
      <c r="K364" s="65">
        <f>M364/(H364*I364)</f>
        <v>42.24</v>
      </c>
      <c r="L364" s="21">
        <v>600</v>
      </c>
      <c r="M364" s="21">
        <v>660</v>
      </c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</row>
    <row r="365" spans="1:23" s="26" customFormat="1" ht="30" customHeight="1" x14ac:dyDescent="0.2">
      <c r="A365" s="106"/>
      <c r="B365" s="122" t="s">
        <v>411</v>
      </c>
      <c r="C365" s="28"/>
      <c r="D365" s="28"/>
      <c r="E365" s="28"/>
      <c r="F365" s="298" t="e">
        <f t="shared" si="114"/>
        <v>#DIV/0!</v>
      </c>
      <c r="G365" s="28"/>
      <c r="H365" s="225"/>
      <c r="I365" s="63"/>
      <c r="J365" s="63"/>
      <c r="K365" s="63"/>
      <c r="L365" s="63"/>
      <c r="M365" s="63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</row>
    <row r="366" spans="1:23" s="26" customFormat="1" ht="30" customHeight="1" x14ac:dyDescent="0.2">
      <c r="A366" s="106" t="s">
        <v>1817</v>
      </c>
      <c r="B366" s="126" t="s">
        <v>412</v>
      </c>
      <c r="C366" s="21" t="s">
        <v>1</v>
      </c>
      <c r="D366" s="50">
        <v>1</v>
      </c>
      <c r="E366" s="51">
        <f t="shared" ref="E366:E391" si="140">G366/11</f>
        <v>19.199999999999996</v>
      </c>
      <c r="F366" s="298">
        <f t="shared" si="114"/>
        <v>5.2083333333333343E-2</v>
      </c>
      <c r="G366" s="65">
        <f t="shared" ref="G366:G391" si="141">K366</f>
        <v>211.19999999999996</v>
      </c>
      <c r="H366" s="77">
        <v>2.8409090909090913</v>
      </c>
      <c r="I366" s="71">
        <f t="shared" ref="I366:I391" si="142">M366/L366</f>
        <v>1.1000000000000001</v>
      </c>
      <c r="J366" s="23">
        <f t="shared" ref="J366:J391" si="143">11/K366</f>
        <v>5.2083333333333343E-2</v>
      </c>
      <c r="K366" s="65">
        <f t="shared" ref="K366:K391" si="144">M366/(H366*I366)</f>
        <v>211.19999999999996</v>
      </c>
      <c r="L366" s="21">
        <v>600</v>
      </c>
      <c r="M366" s="21">
        <v>660</v>
      </c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</row>
    <row r="367" spans="1:23" s="26" customFormat="1" ht="30" customHeight="1" x14ac:dyDescent="0.2">
      <c r="A367" s="106" t="s">
        <v>1818</v>
      </c>
      <c r="B367" s="126" t="s">
        <v>413</v>
      </c>
      <c r="C367" s="21" t="s">
        <v>1</v>
      </c>
      <c r="D367" s="22">
        <v>1</v>
      </c>
      <c r="E367" s="51">
        <f t="shared" si="140"/>
        <v>13.44</v>
      </c>
      <c r="F367" s="298">
        <f t="shared" si="114"/>
        <v>7.4404761904761904E-2</v>
      </c>
      <c r="G367" s="65">
        <f t="shared" si="141"/>
        <v>147.84</v>
      </c>
      <c r="H367" s="77">
        <v>4.0584415584415581</v>
      </c>
      <c r="I367" s="71">
        <f t="shared" si="142"/>
        <v>1.1000000000000001</v>
      </c>
      <c r="J367" s="23">
        <f t="shared" si="143"/>
        <v>7.4404761904761904E-2</v>
      </c>
      <c r="K367" s="65">
        <f t="shared" si="144"/>
        <v>147.84</v>
      </c>
      <c r="L367" s="21">
        <v>600</v>
      </c>
      <c r="M367" s="21">
        <v>660</v>
      </c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</row>
    <row r="368" spans="1:23" s="26" customFormat="1" ht="30" customHeight="1" x14ac:dyDescent="0.2">
      <c r="A368" s="106" t="s">
        <v>1819</v>
      </c>
      <c r="B368" s="126" t="s">
        <v>414</v>
      </c>
      <c r="C368" s="21" t="s">
        <v>1</v>
      </c>
      <c r="D368" s="50">
        <v>1</v>
      </c>
      <c r="E368" s="51">
        <f t="shared" si="140"/>
        <v>10.32</v>
      </c>
      <c r="F368" s="298">
        <f t="shared" si="114"/>
        <v>9.6899224806201542E-2</v>
      </c>
      <c r="G368" s="65">
        <f t="shared" si="141"/>
        <v>113.52000000000001</v>
      </c>
      <c r="H368" s="77">
        <v>5.2854122621564477</v>
      </c>
      <c r="I368" s="71">
        <f t="shared" si="142"/>
        <v>1.1000000000000001</v>
      </c>
      <c r="J368" s="23">
        <f t="shared" si="143"/>
        <v>9.6899224806201542E-2</v>
      </c>
      <c r="K368" s="65">
        <f t="shared" si="144"/>
        <v>113.52000000000001</v>
      </c>
      <c r="L368" s="21">
        <v>600</v>
      </c>
      <c r="M368" s="21">
        <v>660</v>
      </c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</row>
    <row r="369" spans="1:23" s="26" customFormat="1" ht="30" customHeight="1" x14ac:dyDescent="0.2">
      <c r="A369" s="106" t="s">
        <v>1820</v>
      </c>
      <c r="B369" s="126" t="s">
        <v>415</v>
      </c>
      <c r="C369" s="21" t="s">
        <v>1</v>
      </c>
      <c r="D369" s="22">
        <v>1</v>
      </c>
      <c r="E369" s="51">
        <f t="shared" si="140"/>
        <v>8.52</v>
      </c>
      <c r="F369" s="298">
        <f t="shared" si="114"/>
        <v>0.11737089201877934</v>
      </c>
      <c r="G369" s="65">
        <f t="shared" si="141"/>
        <v>93.72</v>
      </c>
      <c r="H369" s="77">
        <v>6.4020486555697822</v>
      </c>
      <c r="I369" s="71">
        <f t="shared" si="142"/>
        <v>1.1000000000000001</v>
      </c>
      <c r="J369" s="23">
        <f t="shared" si="143"/>
        <v>0.11737089201877934</v>
      </c>
      <c r="K369" s="65">
        <f t="shared" si="144"/>
        <v>93.72</v>
      </c>
      <c r="L369" s="21">
        <v>600</v>
      </c>
      <c r="M369" s="21">
        <v>660</v>
      </c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</row>
    <row r="370" spans="1:23" s="26" customFormat="1" ht="30" customHeight="1" x14ac:dyDescent="0.2">
      <c r="A370" s="106" t="s">
        <v>1821</v>
      </c>
      <c r="B370" s="126" t="s">
        <v>509</v>
      </c>
      <c r="C370" s="21" t="s">
        <v>1</v>
      </c>
      <c r="D370" s="50">
        <v>1</v>
      </c>
      <c r="E370" s="51">
        <f t="shared" si="140"/>
        <v>6.6000000000000005</v>
      </c>
      <c r="F370" s="298">
        <f t="shared" si="114"/>
        <v>0.15151515151515149</v>
      </c>
      <c r="G370" s="65">
        <f t="shared" si="141"/>
        <v>72.600000000000009</v>
      </c>
      <c r="H370" s="77">
        <v>8.2644628099173545</v>
      </c>
      <c r="I370" s="71">
        <f t="shared" si="142"/>
        <v>1.1000000000000001</v>
      </c>
      <c r="J370" s="23">
        <f t="shared" si="143"/>
        <v>0.15151515151515149</v>
      </c>
      <c r="K370" s="65">
        <f t="shared" si="144"/>
        <v>72.600000000000009</v>
      </c>
      <c r="L370" s="21">
        <v>600</v>
      </c>
      <c r="M370" s="21">
        <v>660</v>
      </c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</row>
    <row r="371" spans="1:23" s="26" customFormat="1" ht="30" customHeight="1" x14ac:dyDescent="0.2">
      <c r="A371" s="106" t="s">
        <v>1822</v>
      </c>
      <c r="B371" s="126" t="s">
        <v>510</v>
      </c>
      <c r="C371" s="21" t="s">
        <v>1</v>
      </c>
      <c r="D371" s="22">
        <v>1</v>
      </c>
      <c r="E371" s="51">
        <f t="shared" si="140"/>
        <v>6.1199999999999983</v>
      </c>
      <c r="F371" s="298">
        <f t="shared" ref="F371:F434" si="145">11/G371</f>
        <v>0.16339869281045757</v>
      </c>
      <c r="G371" s="65">
        <f t="shared" si="141"/>
        <v>67.319999999999979</v>
      </c>
      <c r="H371" s="77">
        <v>8.9126559714795022</v>
      </c>
      <c r="I371" s="71">
        <f t="shared" si="142"/>
        <v>1.1000000000000001</v>
      </c>
      <c r="J371" s="23">
        <f t="shared" si="143"/>
        <v>0.16339869281045757</v>
      </c>
      <c r="K371" s="65">
        <f t="shared" si="144"/>
        <v>67.319999999999979</v>
      </c>
      <c r="L371" s="21">
        <v>600</v>
      </c>
      <c r="M371" s="21">
        <v>660</v>
      </c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</row>
    <row r="372" spans="1:23" s="26" customFormat="1" ht="30" customHeight="1" x14ac:dyDescent="0.2">
      <c r="A372" s="106" t="s">
        <v>1823</v>
      </c>
      <c r="B372" s="126" t="s">
        <v>416</v>
      </c>
      <c r="C372" s="21" t="s">
        <v>1</v>
      </c>
      <c r="D372" s="50">
        <v>1</v>
      </c>
      <c r="E372" s="51">
        <f t="shared" si="140"/>
        <v>55.800000000000004</v>
      </c>
      <c r="F372" s="298">
        <f t="shared" si="145"/>
        <v>1.7921146953405017E-2</v>
      </c>
      <c r="G372" s="65">
        <f t="shared" si="141"/>
        <v>613.80000000000007</v>
      </c>
      <c r="H372" s="77">
        <v>0.97751710654936452</v>
      </c>
      <c r="I372" s="71">
        <f t="shared" si="142"/>
        <v>1.1000000000000001</v>
      </c>
      <c r="J372" s="23">
        <f t="shared" si="143"/>
        <v>1.7921146953405017E-2</v>
      </c>
      <c r="K372" s="65">
        <f t="shared" si="144"/>
        <v>613.80000000000007</v>
      </c>
      <c r="L372" s="21">
        <v>600</v>
      </c>
      <c r="M372" s="21">
        <v>660</v>
      </c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</row>
    <row r="373" spans="1:23" s="26" customFormat="1" ht="30" customHeight="1" x14ac:dyDescent="0.2">
      <c r="A373" s="106" t="s">
        <v>1824</v>
      </c>
      <c r="B373" s="126" t="s">
        <v>417</v>
      </c>
      <c r="C373" s="21" t="s">
        <v>1</v>
      </c>
      <c r="D373" s="22">
        <v>1</v>
      </c>
      <c r="E373" s="51">
        <f t="shared" si="140"/>
        <v>40.200000000000003</v>
      </c>
      <c r="F373" s="298">
        <f t="shared" si="145"/>
        <v>2.4875621890547261E-2</v>
      </c>
      <c r="G373" s="65">
        <f t="shared" si="141"/>
        <v>442.20000000000005</v>
      </c>
      <c r="H373" s="77">
        <v>1.3568521031207597</v>
      </c>
      <c r="I373" s="71">
        <f t="shared" si="142"/>
        <v>1.1000000000000001</v>
      </c>
      <c r="J373" s="23">
        <f t="shared" si="143"/>
        <v>2.4875621890547261E-2</v>
      </c>
      <c r="K373" s="65">
        <f t="shared" si="144"/>
        <v>442.20000000000005</v>
      </c>
      <c r="L373" s="21">
        <v>600</v>
      </c>
      <c r="M373" s="21">
        <v>660</v>
      </c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</row>
    <row r="374" spans="1:23" s="26" customFormat="1" ht="30" customHeight="1" x14ac:dyDescent="0.2">
      <c r="A374" s="106" t="s">
        <v>1825</v>
      </c>
      <c r="B374" s="126" t="s">
        <v>418</v>
      </c>
      <c r="C374" s="21" t="s">
        <v>1</v>
      </c>
      <c r="D374" s="50">
        <v>1</v>
      </c>
      <c r="E374" s="51">
        <f t="shared" si="140"/>
        <v>28.56</v>
      </c>
      <c r="F374" s="298">
        <f t="shared" si="145"/>
        <v>3.5014005602240897E-2</v>
      </c>
      <c r="G374" s="65">
        <f t="shared" si="141"/>
        <v>314.15999999999997</v>
      </c>
      <c r="H374" s="77">
        <v>1.9098548510313216</v>
      </c>
      <c r="I374" s="71">
        <f t="shared" si="142"/>
        <v>1.1000000000000001</v>
      </c>
      <c r="J374" s="23">
        <f t="shared" si="143"/>
        <v>3.5014005602240897E-2</v>
      </c>
      <c r="K374" s="65">
        <f t="shared" si="144"/>
        <v>314.15999999999997</v>
      </c>
      <c r="L374" s="21">
        <v>600</v>
      </c>
      <c r="M374" s="21">
        <v>660</v>
      </c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</row>
    <row r="375" spans="1:23" s="26" customFormat="1" ht="30" customHeight="1" x14ac:dyDescent="0.2">
      <c r="A375" s="106" t="s">
        <v>1826</v>
      </c>
      <c r="B375" s="127" t="s">
        <v>419</v>
      </c>
      <c r="C375" s="21" t="s">
        <v>1</v>
      </c>
      <c r="D375" s="22">
        <v>1</v>
      </c>
      <c r="E375" s="51">
        <f t="shared" si="140"/>
        <v>57.59999999999998</v>
      </c>
      <c r="F375" s="298">
        <f t="shared" si="145"/>
        <v>1.7361111111111115E-2</v>
      </c>
      <c r="G375" s="65">
        <f t="shared" si="141"/>
        <v>633.5999999999998</v>
      </c>
      <c r="H375" s="77">
        <v>0.94696969696969713</v>
      </c>
      <c r="I375" s="71">
        <f t="shared" si="142"/>
        <v>1.1000000000000001</v>
      </c>
      <c r="J375" s="23">
        <f t="shared" si="143"/>
        <v>1.7361111111111115E-2</v>
      </c>
      <c r="K375" s="65">
        <f t="shared" si="144"/>
        <v>633.5999999999998</v>
      </c>
      <c r="L375" s="21">
        <v>600</v>
      </c>
      <c r="M375" s="21">
        <v>660</v>
      </c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</row>
    <row r="376" spans="1:23" s="26" customFormat="1" ht="30" customHeight="1" x14ac:dyDescent="0.2">
      <c r="A376" s="106" t="s">
        <v>1827</v>
      </c>
      <c r="B376" s="127" t="s">
        <v>420</v>
      </c>
      <c r="C376" s="21" t="s">
        <v>1</v>
      </c>
      <c r="D376" s="50">
        <v>1</v>
      </c>
      <c r="E376" s="51">
        <f t="shared" si="140"/>
        <v>52.199999999999996</v>
      </c>
      <c r="F376" s="298">
        <f t="shared" si="145"/>
        <v>1.9157088122605366E-2</v>
      </c>
      <c r="G376" s="65">
        <f t="shared" si="141"/>
        <v>574.19999999999993</v>
      </c>
      <c r="H376" s="77">
        <v>1.044932079414838</v>
      </c>
      <c r="I376" s="71">
        <f t="shared" si="142"/>
        <v>1.1000000000000001</v>
      </c>
      <c r="J376" s="23">
        <f t="shared" si="143"/>
        <v>1.9157088122605366E-2</v>
      </c>
      <c r="K376" s="65">
        <f t="shared" si="144"/>
        <v>574.19999999999993</v>
      </c>
      <c r="L376" s="21">
        <v>600</v>
      </c>
      <c r="M376" s="21">
        <v>660</v>
      </c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</row>
    <row r="377" spans="1:23" s="26" customFormat="1" ht="30" customHeight="1" x14ac:dyDescent="0.2">
      <c r="A377" s="106" t="s">
        <v>1828</v>
      </c>
      <c r="B377" s="127" t="s">
        <v>421</v>
      </c>
      <c r="C377" s="21" t="s">
        <v>1</v>
      </c>
      <c r="D377" s="22">
        <v>1</v>
      </c>
      <c r="E377" s="51">
        <f t="shared" si="140"/>
        <v>89.52</v>
      </c>
      <c r="F377" s="298">
        <f t="shared" si="145"/>
        <v>1.1170688114387846E-2</v>
      </c>
      <c r="G377" s="65">
        <f t="shared" si="141"/>
        <v>984.72</v>
      </c>
      <c r="H377" s="77">
        <v>0.60931026078479156</v>
      </c>
      <c r="I377" s="71">
        <f t="shared" si="142"/>
        <v>1.1000000000000001</v>
      </c>
      <c r="J377" s="23">
        <f t="shared" si="143"/>
        <v>1.1170688114387846E-2</v>
      </c>
      <c r="K377" s="65">
        <f t="shared" si="144"/>
        <v>984.72</v>
      </c>
      <c r="L377" s="21">
        <v>600</v>
      </c>
      <c r="M377" s="21">
        <v>660</v>
      </c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</row>
    <row r="378" spans="1:23" s="26" customFormat="1" ht="30" customHeight="1" x14ac:dyDescent="0.2">
      <c r="A378" s="106" t="s">
        <v>1829</v>
      </c>
      <c r="B378" s="127" t="s">
        <v>422</v>
      </c>
      <c r="C378" s="21" t="s">
        <v>1</v>
      </c>
      <c r="D378" s="50">
        <v>1</v>
      </c>
      <c r="E378" s="51">
        <f t="shared" si="140"/>
        <v>113.88000000000001</v>
      </c>
      <c r="F378" s="298">
        <f t="shared" si="145"/>
        <v>8.7811731647348089E-3</v>
      </c>
      <c r="G378" s="65">
        <f t="shared" si="141"/>
        <v>1252.68</v>
      </c>
      <c r="H378" s="77">
        <v>0.47897308171280767</v>
      </c>
      <c r="I378" s="71">
        <f t="shared" si="142"/>
        <v>1.1000000000000001</v>
      </c>
      <c r="J378" s="23">
        <f t="shared" si="143"/>
        <v>8.7811731647348089E-3</v>
      </c>
      <c r="K378" s="65">
        <f t="shared" si="144"/>
        <v>1252.68</v>
      </c>
      <c r="L378" s="21">
        <v>600</v>
      </c>
      <c r="M378" s="21">
        <v>660</v>
      </c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</row>
    <row r="379" spans="1:23" s="26" customFormat="1" ht="30" customHeight="1" x14ac:dyDescent="0.2">
      <c r="A379" s="106" t="s">
        <v>1830</v>
      </c>
      <c r="B379" s="127" t="s">
        <v>423</v>
      </c>
      <c r="C379" s="21" t="s">
        <v>1</v>
      </c>
      <c r="D379" s="22">
        <v>1</v>
      </c>
      <c r="E379" s="51">
        <f t="shared" si="140"/>
        <v>113.88000000000001</v>
      </c>
      <c r="F379" s="298">
        <f t="shared" si="145"/>
        <v>8.7811731647348089E-3</v>
      </c>
      <c r="G379" s="65">
        <f t="shared" si="141"/>
        <v>1252.68</v>
      </c>
      <c r="H379" s="77">
        <v>0.47897308171280767</v>
      </c>
      <c r="I379" s="71">
        <f t="shared" si="142"/>
        <v>1.1000000000000001</v>
      </c>
      <c r="J379" s="23">
        <f t="shared" si="143"/>
        <v>8.7811731647348089E-3</v>
      </c>
      <c r="K379" s="65">
        <f t="shared" si="144"/>
        <v>1252.68</v>
      </c>
      <c r="L379" s="21">
        <v>600</v>
      </c>
      <c r="M379" s="21">
        <v>660</v>
      </c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</row>
    <row r="380" spans="1:23" s="26" customFormat="1" ht="30" customHeight="1" x14ac:dyDescent="0.2">
      <c r="A380" s="106" t="s">
        <v>1831</v>
      </c>
      <c r="B380" s="127" t="s">
        <v>424</v>
      </c>
      <c r="C380" s="21" t="s">
        <v>1</v>
      </c>
      <c r="D380" s="50">
        <v>1</v>
      </c>
      <c r="E380" s="51">
        <f t="shared" si="140"/>
        <v>16.799999999999997</v>
      </c>
      <c r="F380" s="298">
        <f t="shared" si="145"/>
        <v>5.9523809523809527E-2</v>
      </c>
      <c r="G380" s="65">
        <f t="shared" si="141"/>
        <v>184.79999999999998</v>
      </c>
      <c r="H380" s="77">
        <v>3.2467532467532467</v>
      </c>
      <c r="I380" s="71">
        <f t="shared" si="142"/>
        <v>1.1000000000000001</v>
      </c>
      <c r="J380" s="23">
        <f t="shared" si="143"/>
        <v>5.9523809523809527E-2</v>
      </c>
      <c r="K380" s="65">
        <f t="shared" si="144"/>
        <v>184.79999999999998</v>
      </c>
      <c r="L380" s="21">
        <v>600</v>
      </c>
      <c r="M380" s="21">
        <v>660</v>
      </c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</row>
    <row r="381" spans="1:23" s="26" customFormat="1" ht="30" customHeight="1" x14ac:dyDescent="0.2">
      <c r="A381" s="106" t="s">
        <v>1832</v>
      </c>
      <c r="B381" s="127" t="s">
        <v>425</v>
      </c>
      <c r="C381" s="21" t="s">
        <v>1</v>
      </c>
      <c r="D381" s="22">
        <v>1</v>
      </c>
      <c r="E381" s="51">
        <f t="shared" si="140"/>
        <v>14.88</v>
      </c>
      <c r="F381" s="298">
        <f t="shared" si="145"/>
        <v>6.7204301075268813E-2</v>
      </c>
      <c r="G381" s="65">
        <f t="shared" si="141"/>
        <v>163.68</v>
      </c>
      <c r="H381" s="77">
        <v>3.6656891495601172</v>
      </c>
      <c r="I381" s="71">
        <f t="shared" si="142"/>
        <v>1.1000000000000001</v>
      </c>
      <c r="J381" s="23">
        <f t="shared" si="143"/>
        <v>6.7204301075268813E-2</v>
      </c>
      <c r="K381" s="65">
        <f t="shared" si="144"/>
        <v>163.68</v>
      </c>
      <c r="L381" s="21">
        <v>600</v>
      </c>
      <c r="M381" s="21">
        <v>660</v>
      </c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</row>
    <row r="382" spans="1:23" s="26" customFormat="1" ht="30" customHeight="1" x14ac:dyDescent="0.2">
      <c r="A382" s="106" t="s">
        <v>1833</v>
      </c>
      <c r="B382" s="128" t="s">
        <v>426</v>
      </c>
      <c r="C382" s="21" t="s">
        <v>1</v>
      </c>
      <c r="D382" s="50">
        <v>1</v>
      </c>
      <c r="E382" s="51">
        <f t="shared" si="140"/>
        <v>76.559999999999988</v>
      </c>
      <c r="F382" s="298">
        <f t="shared" si="145"/>
        <v>1.3061650992685478E-2</v>
      </c>
      <c r="G382" s="65">
        <f t="shared" si="141"/>
        <v>842.15999999999985</v>
      </c>
      <c r="H382" s="77">
        <v>0.71245369051011687</v>
      </c>
      <c r="I382" s="71">
        <f t="shared" si="142"/>
        <v>1.1000000000000001</v>
      </c>
      <c r="J382" s="23">
        <f t="shared" si="143"/>
        <v>1.3061650992685478E-2</v>
      </c>
      <c r="K382" s="65">
        <f t="shared" si="144"/>
        <v>842.15999999999985</v>
      </c>
      <c r="L382" s="21">
        <v>600</v>
      </c>
      <c r="M382" s="21">
        <v>660</v>
      </c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</row>
    <row r="383" spans="1:23" s="26" customFormat="1" ht="30" customHeight="1" x14ac:dyDescent="0.2">
      <c r="A383" s="106" t="s">
        <v>1834</v>
      </c>
      <c r="B383" s="128" t="s">
        <v>427</v>
      </c>
      <c r="C383" s="21" t="s">
        <v>1</v>
      </c>
      <c r="D383" s="22">
        <v>1</v>
      </c>
      <c r="E383" s="51">
        <f t="shared" si="140"/>
        <v>83.16</v>
      </c>
      <c r="F383" s="298">
        <f t="shared" si="145"/>
        <v>1.2025012025012025E-2</v>
      </c>
      <c r="G383" s="65">
        <f t="shared" si="141"/>
        <v>914.76</v>
      </c>
      <c r="H383" s="77">
        <v>0.65590974681883774</v>
      </c>
      <c r="I383" s="71">
        <f t="shared" si="142"/>
        <v>1.1000000000000001</v>
      </c>
      <c r="J383" s="23">
        <f t="shared" si="143"/>
        <v>1.2025012025012025E-2</v>
      </c>
      <c r="K383" s="65">
        <f t="shared" si="144"/>
        <v>914.76</v>
      </c>
      <c r="L383" s="21">
        <v>600</v>
      </c>
      <c r="M383" s="21">
        <v>660</v>
      </c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</row>
    <row r="384" spans="1:23" s="26" customFormat="1" ht="30" customHeight="1" x14ac:dyDescent="0.2">
      <c r="A384" s="106" t="s">
        <v>1835</v>
      </c>
      <c r="B384" s="127" t="s">
        <v>428</v>
      </c>
      <c r="C384" s="21" t="s">
        <v>1</v>
      </c>
      <c r="D384" s="50">
        <v>1</v>
      </c>
      <c r="E384" s="51">
        <f t="shared" si="140"/>
        <v>120</v>
      </c>
      <c r="F384" s="298">
        <f t="shared" si="145"/>
        <v>8.3333333333333332E-3</v>
      </c>
      <c r="G384" s="65">
        <f t="shared" si="141"/>
        <v>1320</v>
      </c>
      <c r="H384" s="77">
        <v>0.45454545454545453</v>
      </c>
      <c r="I384" s="71">
        <f t="shared" si="142"/>
        <v>1.1000000000000001</v>
      </c>
      <c r="J384" s="23">
        <f t="shared" si="143"/>
        <v>8.3333333333333332E-3</v>
      </c>
      <c r="K384" s="65">
        <f t="shared" si="144"/>
        <v>1320</v>
      </c>
      <c r="L384" s="21">
        <v>600</v>
      </c>
      <c r="M384" s="21">
        <v>660</v>
      </c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</row>
    <row r="385" spans="1:23" s="26" customFormat="1" ht="30" customHeight="1" x14ac:dyDescent="0.2">
      <c r="A385" s="106" t="s">
        <v>1836</v>
      </c>
      <c r="B385" s="127" t="s">
        <v>429</v>
      </c>
      <c r="C385" s="21" t="s">
        <v>1</v>
      </c>
      <c r="D385" s="22">
        <v>1</v>
      </c>
      <c r="E385" s="51">
        <f t="shared" si="140"/>
        <v>128.63999999999999</v>
      </c>
      <c r="F385" s="298">
        <f t="shared" si="145"/>
        <v>7.7736318407960209E-3</v>
      </c>
      <c r="G385" s="65">
        <f t="shared" si="141"/>
        <v>1415.0399999999997</v>
      </c>
      <c r="H385" s="77">
        <v>0.42401628222523746</v>
      </c>
      <c r="I385" s="71">
        <f t="shared" si="142"/>
        <v>1.1000000000000001</v>
      </c>
      <c r="J385" s="23">
        <f t="shared" si="143"/>
        <v>7.7736318407960209E-3</v>
      </c>
      <c r="K385" s="65">
        <f t="shared" si="144"/>
        <v>1415.0399999999997</v>
      </c>
      <c r="L385" s="21">
        <v>600</v>
      </c>
      <c r="M385" s="21">
        <v>660</v>
      </c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</row>
    <row r="386" spans="1:23" s="26" customFormat="1" ht="30" customHeight="1" x14ac:dyDescent="0.2">
      <c r="A386" s="106" t="s">
        <v>1837</v>
      </c>
      <c r="B386" s="127" t="s">
        <v>430</v>
      </c>
      <c r="C386" s="21" t="s">
        <v>1</v>
      </c>
      <c r="D386" s="50">
        <v>1</v>
      </c>
      <c r="E386" s="51">
        <f t="shared" si="140"/>
        <v>119.16</v>
      </c>
      <c r="F386" s="298">
        <f t="shared" si="145"/>
        <v>8.3920778784827132E-3</v>
      </c>
      <c r="G386" s="65">
        <f t="shared" si="141"/>
        <v>1310.76</v>
      </c>
      <c r="H386" s="77">
        <v>0.45774970246269336</v>
      </c>
      <c r="I386" s="71">
        <f t="shared" si="142"/>
        <v>1.1000000000000001</v>
      </c>
      <c r="J386" s="23">
        <f t="shared" si="143"/>
        <v>8.3920778784827132E-3</v>
      </c>
      <c r="K386" s="65">
        <f t="shared" si="144"/>
        <v>1310.76</v>
      </c>
      <c r="L386" s="21">
        <v>600</v>
      </c>
      <c r="M386" s="21">
        <v>660</v>
      </c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</row>
    <row r="387" spans="1:23" s="26" customFormat="1" ht="30" customHeight="1" x14ac:dyDescent="0.2">
      <c r="A387" s="106" t="s">
        <v>1838</v>
      </c>
      <c r="B387" s="127" t="s">
        <v>431</v>
      </c>
      <c r="C387" s="21" t="s">
        <v>1</v>
      </c>
      <c r="D387" s="22">
        <v>1</v>
      </c>
      <c r="E387" s="51">
        <f t="shared" si="140"/>
        <v>349.09090909090907</v>
      </c>
      <c r="F387" s="298">
        <f t="shared" si="145"/>
        <v>2.8645833333333331E-3</v>
      </c>
      <c r="G387" s="65">
        <f t="shared" si="141"/>
        <v>3840</v>
      </c>
      <c r="H387" s="77">
        <v>0.15625</v>
      </c>
      <c r="I387" s="71">
        <f t="shared" si="142"/>
        <v>1.1000000000000001</v>
      </c>
      <c r="J387" s="23">
        <f t="shared" si="143"/>
        <v>2.8645833333333331E-3</v>
      </c>
      <c r="K387" s="65">
        <f t="shared" si="144"/>
        <v>3840</v>
      </c>
      <c r="L387" s="21">
        <v>600</v>
      </c>
      <c r="M387" s="21">
        <v>660</v>
      </c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</row>
    <row r="388" spans="1:23" s="26" customFormat="1" ht="30" customHeight="1" x14ac:dyDescent="0.2">
      <c r="A388" s="106" t="s">
        <v>1839</v>
      </c>
      <c r="B388" s="127" t="s">
        <v>432</v>
      </c>
      <c r="C388" s="21" t="s">
        <v>1</v>
      </c>
      <c r="D388" s="50">
        <v>1</v>
      </c>
      <c r="E388" s="51">
        <f t="shared" si="140"/>
        <v>33.36</v>
      </c>
      <c r="F388" s="298">
        <f t="shared" si="145"/>
        <v>2.9976019184652279E-2</v>
      </c>
      <c r="G388" s="65">
        <f t="shared" si="141"/>
        <v>366.96</v>
      </c>
      <c r="H388" s="77">
        <v>1.6350555918901242</v>
      </c>
      <c r="I388" s="71">
        <f t="shared" si="142"/>
        <v>1.1000000000000001</v>
      </c>
      <c r="J388" s="23">
        <f t="shared" si="143"/>
        <v>2.9976019184652279E-2</v>
      </c>
      <c r="K388" s="65">
        <f t="shared" si="144"/>
        <v>366.96</v>
      </c>
      <c r="L388" s="21">
        <v>600</v>
      </c>
      <c r="M388" s="21">
        <v>660</v>
      </c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</row>
    <row r="389" spans="1:23" s="26" customFormat="1" ht="30" customHeight="1" x14ac:dyDescent="0.2">
      <c r="A389" s="106" t="s">
        <v>1840</v>
      </c>
      <c r="B389" s="127" t="s">
        <v>433</v>
      </c>
      <c r="C389" s="21" t="s">
        <v>1</v>
      </c>
      <c r="D389" s="22">
        <v>1</v>
      </c>
      <c r="E389" s="51">
        <f t="shared" si="140"/>
        <v>12.48</v>
      </c>
      <c r="F389" s="298">
        <f t="shared" si="145"/>
        <v>8.0128205128205121E-2</v>
      </c>
      <c r="G389" s="65">
        <f t="shared" si="141"/>
        <v>137.28</v>
      </c>
      <c r="H389" s="77">
        <v>4.37062937062937</v>
      </c>
      <c r="I389" s="71">
        <f t="shared" si="142"/>
        <v>1.1000000000000001</v>
      </c>
      <c r="J389" s="23">
        <f t="shared" si="143"/>
        <v>8.0128205128205121E-2</v>
      </c>
      <c r="K389" s="65">
        <f t="shared" si="144"/>
        <v>137.28</v>
      </c>
      <c r="L389" s="21">
        <v>600</v>
      </c>
      <c r="M389" s="21">
        <v>660</v>
      </c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</row>
    <row r="390" spans="1:23" s="26" customFormat="1" ht="30" customHeight="1" x14ac:dyDescent="0.2">
      <c r="A390" s="106" t="s">
        <v>1841</v>
      </c>
      <c r="B390" s="127" t="s">
        <v>434</v>
      </c>
      <c r="C390" s="21" t="s">
        <v>1</v>
      </c>
      <c r="D390" s="50">
        <v>1</v>
      </c>
      <c r="E390" s="51">
        <f t="shared" si="140"/>
        <v>11.04</v>
      </c>
      <c r="F390" s="298">
        <f t="shared" si="145"/>
        <v>9.0579710144927536E-2</v>
      </c>
      <c r="G390" s="65">
        <f t="shared" si="141"/>
        <v>121.44</v>
      </c>
      <c r="H390" s="77">
        <v>4.9407114624505928</v>
      </c>
      <c r="I390" s="71">
        <f t="shared" si="142"/>
        <v>1.1000000000000001</v>
      </c>
      <c r="J390" s="23">
        <f t="shared" si="143"/>
        <v>9.0579710144927536E-2</v>
      </c>
      <c r="K390" s="65">
        <f t="shared" si="144"/>
        <v>121.44</v>
      </c>
      <c r="L390" s="21">
        <v>600</v>
      </c>
      <c r="M390" s="21">
        <v>660</v>
      </c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</row>
    <row r="391" spans="1:23" s="26" customFormat="1" ht="30" customHeight="1" x14ac:dyDescent="0.2">
      <c r="A391" s="106" t="s">
        <v>1842</v>
      </c>
      <c r="B391" s="127" t="s">
        <v>435</v>
      </c>
      <c r="C391" s="21" t="s">
        <v>1</v>
      </c>
      <c r="D391" s="22">
        <v>1</v>
      </c>
      <c r="E391" s="51">
        <f t="shared" si="140"/>
        <v>10.32</v>
      </c>
      <c r="F391" s="298">
        <f t="shared" si="145"/>
        <v>9.6899224806201542E-2</v>
      </c>
      <c r="G391" s="65">
        <f t="shared" si="141"/>
        <v>113.52000000000001</v>
      </c>
      <c r="H391" s="77">
        <v>5.2854122621564477</v>
      </c>
      <c r="I391" s="71">
        <f t="shared" si="142"/>
        <v>1.1000000000000001</v>
      </c>
      <c r="J391" s="23">
        <f t="shared" si="143"/>
        <v>9.6899224806201542E-2</v>
      </c>
      <c r="K391" s="65">
        <f t="shared" si="144"/>
        <v>113.52000000000001</v>
      </c>
      <c r="L391" s="21">
        <v>600</v>
      </c>
      <c r="M391" s="21">
        <v>660</v>
      </c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</row>
    <row r="392" spans="1:23" s="26" customFormat="1" ht="30" customHeight="1" x14ac:dyDescent="0.2">
      <c r="A392" s="106"/>
      <c r="B392" s="129" t="s">
        <v>613</v>
      </c>
      <c r="C392" s="33"/>
      <c r="D392" s="33"/>
      <c r="E392" s="33"/>
      <c r="F392" s="298" t="e">
        <f t="shared" si="145"/>
        <v>#DIV/0!</v>
      </c>
      <c r="G392" s="33"/>
      <c r="H392" s="226"/>
      <c r="I392" s="63"/>
      <c r="J392" s="63"/>
      <c r="K392" s="63"/>
      <c r="L392" s="63"/>
      <c r="M392" s="63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</row>
    <row r="393" spans="1:23" s="26" customFormat="1" ht="30" customHeight="1" x14ac:dyDescent="0.2">
      <c r="A393" s="106" t="s">
        <v>1843</v>
      </c>
      <c r="B393" s="126" t="s">
        <v>622</v>
      </c>
      <c r="C393" s="21" t="s">
        <v>1</v>
      </c>
      <c r="D393" s="22">
        <v>1</v>
      </c>
      <c r="E393" s="51">
        <f t="shared" ref="E393:E403" si="146">G393/11</f>
        <v>54.545454545454547</v>
      </c>
      <c r="F393" s="298">
        <f t="shared" si="145"/>
        <v>1.8333333333333333E-2</v>
      </c>
      <c r="G393" s="65">
        <f t="shared" ref="G393:G403" si="147">K393</f>
        <v>600</v>
      </c>
      <c r="H393" s="77">
        <v>1</v>
      </c>
      <c r="I393" s="71">
        <f t="shared" ref="I393:I403" si="148">M393/L393</f>
        <v>1.1000000000000001</v>
      </c>
      <c r="J393" s="23">
        <f t="shared" ref="J393:J403" si="149">11/K393</f>
        <v>1.8333333333333333E-2</v>
      </c>
      <c r="K393" s="65">
        <f t="shared" ref="K393:K403" si="150">M393/(H393*I393)</f>
        <v>600</v>
      </c>
      <c r="L393" s="21">
        <v>600</v>
      </c>
      <c r="M393" s="21">
        <v>660</v>
      </c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</row>
    <row r="394" spans="1:23" s="26" customFormat="1" ht="30" customHeight="1" x14ac:dyDescent="0.2">
      <c r="A394" s="106" t="s">
        <v>1844</v>
      </c>
      <c r="B394" s="126" t="s">
        <v>623</v>
      </c>
      <c r="C394" s="21" t="s">
        <v>1</v>
      </c>
      <c r="D394" s="50">
        <v>1</v>
      </c>
      <c r="E394" s="51">
        <f t="shared" si="146"/>
        <v>36.36363636363636</v>
      </c>
      <c r="F394" s="298">
        <f t="shared" si="145"/>
        <v>2.7500000000000004E-2</v>
      </c>
      <c r="G394" s="65">
        <f t="shared" si="147"/>
        <v>399.99999999999994</v>
      </c>
      <c r="H394" s="77">
        <v>1.5</v>
      </c>
      <c r="I394" s="71">
        <f t="shared" si="148"/>
        <v>1.1000000000000001</v>
      </c>
      <c r="J394" s="23">
        <f t="shared" si="149"/>
        <v>2.7500000000000004E-2</v>
      </c>
      <c r="K394" s="65">
        <f t="shared" si="150"/>
        <v>399.99999999999994</v>
      </c>
      <c r="L394" s="21">
        <v>600</v>
      </c>
      <c r="M394" s="21">
        <v>660</v>
      </c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</row>
    <row r="395" spans="1:23" s="26" customFormat="1" ht="30" customHeight="1" x14ac:dyDescent="0.2">
      <c r="A395" s="106" t="s">
        <v>1845</v>
      </c>
      <c r="B395" s="126" t="s">
        <v>624</v>
      </c>
      <c r="C395" s="21" t="s">
        <v>1</v>
      </c>
      <c r="D395" s="22">
        <v>1</v>
      </c>
      <c r="E395" s="51">
        <f t="shared" si="146"/>
        <v>44.836363636363629</v>
      </c>
      <c r="F395" s="298">
        <f t="shared" si="145"/>
        <v>2.2303325223033254E-2</v>
      </c>
      <c r="G395" s="65">
        <f t="shared" si="147"/>
        <v>493.19999999999993</v>
      </c>
      <c r="H395" s="77">
        <v>1.2165450121654502</v>
      </c>
      <c r="I395" s="71">
        <f t="shared" si="148"/>
        <v>1.1000000000000001</v>
      </c>
      <c r="J395" s="23">
        <f t="shared" si="149"/>
        <v>2.2303325223033254E-2</v>
      </c>
      <c r="K395" s="65">
        <f t="shared" si="150"/>
        <v>493.19999999999993</v>
      </c>
      <c r="L395" s="21">
        <v>600</v>
      </c>
      <c r="M395" s="21">
        <v>660</v>
      </c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</row>
    <row r="396" spans="1:23" s="26" customFormat="1" ht="30" customHeight="1" x14ac:dyDescent="0.2">
      <c r="A396" s="106" t="s">
        <v>1846</v>
      </c>
      <c r="B396" s="126" t="s">
        <v>625</v>
      </c>
      <c r="C396" s="21" t="s">
        <v>1</v>
      </c>
      <c r="D396" s="50">
        <v>1</v>
      </c>
      <c r="E396" s="51">
        <f t="shared" si="146"/>
        <v>27.272727272727273</v>
      </c>
      <c r="F396" s="298">
        <f t="shared" si="145"/>
        <v>3.6666666666666667E-2</v>
      </c>
      <c r="G396" s="65">
        <f t="shared" si="147"/>
        <v>300</v>
      </c>
      <c r="H396" s="77">
        <v>2</v>
      </c>
      <c r="I396" s="71">
        <f t="shared" si="148"/>
        <v>1.1000000000000001</v>
      </c>
      <c r="J396" s="23">
        <f t="shared" si="149"/>
        <v>3.6666666666666667E-2</v>
      </c>
      <c r="K396" s="65">
        <f t="shared" si="150"/>
        <v>300</v>
      </c>
      <c r="L396" s="21">
        <v>600</v>
      </c>
      <c r="M396" s="21">
        <v>660</v>
      </c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</row>
    <row r="397" spans="1:23" s="26" customFormat="1" ht="30" customHeight="1" x14ac:dyDescent="0.2">
      <c r="A397" s="106" t="s">
        <v>1847</v>
      </c>
      <c r="B397" s="125" t="s">
        <v>626</v>
      </c>
      <c r="C397" s="21" t="s">
        <v>1</v>
      </c>
      <c r="D397" s="22">
        <v>1</v>
      </c>
      <c r="E397" s="51">
        <f t="shared" si="146"/>
        <v>31.63636363636363</v>
      </c>
      <c r="F397" s="298">
        <f t="shared" si="145"/>
        <v>3.1609195402298854E-2</v>
      </c>
      <c r="G397" s="65">
        <f t="shared" si="147"/>
        <v>347.99999999999994</v>
      </c>
      <c r="H397" s="77">
        <v>1.7241379310344829</v>
      </c>
      <c r="I397" s="71">
        <f t="shared" si="148"/>
        <v>1.1000000000000001</v>
      </c>
      <c r="J397" s="23">
        <f t="shared" si="149"/>
        <v>3.1609195402298854E-2</v>
      </c>
      <c r="K397" s="65">
        <f t="shared" si="150"/>
        <v>347.99999999999994</v>
      </c>
      <c r="L397" s="21">
        <v>600</v>
      </c>
      <c r="M397" s="21">
        <v>660</v>
      </c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</row>
    <row r="398" spans="1:23" s="26" customFormat="1" ht="30" customHeight="1" x14ac:dyDescent="0.2">
      <c r="A398" s="106" t="s">
        <v>1848</v>
      </c>
      <c r="B398" s="125" t="s">
        <v>627</v>
      </c>
      <c r="C398" s="21" t="s">
        <v>1</v>
      </c>
      <c r="D398" s="50">
        <v>1</v>
      </c>
      <c r="E398" s="51">
        <f t="shared" si="146"/>
        <v>20.979020979020977</v>
      </c>
      <c r="F398" s="298">
        <f t="shared" si="145"/>
        <v>4.766666666666667E-2</v>
      </c>
      <c r="G398" s="65">
        <f t="shared" si="147"/>
        <v>230.76923076923075</v>
      </c>
      <c r="H398" s="77">
        <v>2.6</v>
      </c>
      <c r="I398" s="71">
        <f t="shared" si="148"/>
        <v>1.1000000000000001</v>
      </c>
      <c r="J398" s="23">
        <f t="shared" si="149"/>
        <v>4.766666666666667E-2</v>
      </c>
      <c r="K398" s="65">
        <f t="shared" si="150"/>
        <v>230.76923076923075</v>
      </c>
      <c r="L398" s="21">
        <v>600</v>
      </c>
      <c r="M398" s="21">
        <v>660</v>
      </c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</row>
    <row r="399" spans="1:23" s="26" customFormat="1" ht="36.75" customHeight="1" x14ac:dyDescent="0.2">
      <c r="A399" s="106" t="s">
        <v>1849</v>
      </c>
      <c r="B399" s="126" t="s">
        <v>628</v>
      </c>
      <c r="C399" s="21" t="s">
        <v>1</v>
      </c>
      <c r="D399" s="22">
        <v>1</v>
      </c>
      <c r="E399" s="51">
        <f t="shared" si="146"/>
        <v>57.927272727272722</v>
      </c>
      <c r="F399" s="298">
        <f t="shared" si="145"/>
        <v>1.7263025737602012E-2</v>
      </c>
      <c r="G399" s="65">
        <f t="shared" si="147"/>
        <v>637.19999999999993</v>
      </c>
      <c r="H399" s="77">
        <v>0.94161958568738235</v>
      </c>
      <c r="I399" s="71">
        <f t="shared" si="148"/>
        <v>1.1000000000000001</v>
      </c>
      <c r="J399" s="23">
        <f t="shared" si="149"/>
        <v>1.7263025737602012E-2</v>
      </c>
      <c r="K399" s="65">
        <f t="shared" si="150"/>
        <v>637.19999999999993</v>
      </c>
      <c r="L399" s="21">
        <v>600</v>
      </c>
      <c r="M399" s="21">
        <v>660</v>
      </c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</row>
    <row r="400" spans="1:23" s="26" customFormat="1" ht="30" customHeight="1" x14ac:dyDescent="0.2">
      <c r="A400" s="106" t="s">
        <v>1850</v>
      </c>
      <c r="B400" s="126" t="s">
        <v>629</v>
      </c>
      <c r="C400" s="21" t="s">
        <v>1</v>
      </c>
      <c r="D400" s="50">
        <v>1</v>
      </c>
      <c r="E400" s="51">
        <f t="shared" si="146"/>
        <v>38.961038961038959</v>
      </c>
      <c r="F400" s="298">
        <f t="shared" si="145"/>
        <v>2.5666666666666667E-2</v>
      </c>
      <c r="G400" s="65">
        <f t="shared" si="147"/>
        <v>428.57142857142856</v>
      </c>
      <c r="H400" s="77">
        <v>1.4</v>
      </c>
      <c r="I400" s="71">
        <f t="shared" si="148"/>
        <v>1.1000000000000001</v>
      </c>
      <c r="J400" s="23">
        <f t="shared" si="149"/>
        <v>2.5666666666666667E-2</v>
      </c>
      <c r="K400" s="65">
        <f t="shared" si="150"/>
        <v>428.57142857142856</v>
      </c>
      <c r="L400" s="21">
        <v>600</v>
      </c>
      <c r="M400" s="21">
        <v>660</v>
      </c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</row>
    <row r="401" spans="1:23" s="26" customFormat="1" ht="30" customHeight="1" x14ac:dyDescent="0.2">
      <c r="A401" s="106" t="s">
        <v>1851</v>
      </c>
      <c r="B401" s="126" t="s">
        <v>630</v>
      </c>
      <c r="C401" s="21" t="s">
        <v>1</v>
      </c>
      <c r="D401" s="22">
        <v>1</v>
      </c>
      <c r="E401" s="51">
        <f t="shared" si="146"/>
        <v>70.25454545454545</v>
      </c>
      <c r="F401" s="298">
        <f t="shared" si="145"/>
        <v>1.4233954451345756E-2</v>
      </c>
      <c r="G401" s="65">
        <f t="shared" si="147"/>
        <v>772.8</v>
      </c>
      <c r="H401" s="77">
        <v>0.77639751552795033</v>
      </c>
      <c r="I401" s="71">
        <f t="shared" si="148"/>
        <v>1.1000000000000001</v>
      </c>
      <c r="J401" s="23">
        <f t="shared" si="149"/>
        <v>1.4233954451345756E-2</v>
      </c>
      <c r="K401" s="65">
        <f t="shared" si="150"/>
        <v>772.8</v>
      </c>
      <c r="L401" s="21">
        <v>600</v>
      </c>
      <c r="M401" s="21">
        <v>660</v>
      </c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</row>
    <row r="402" spans="1:23" s="26" customFormat="1" ht="30" customHeight="1" x14ac:dyDescent="0.2">
      <c r="A402" s="106" t="s">
        <v>1852</v>
      </c>
      <c r="B402" s="126" t="s">
        <v>631</v>
      </c>
      <c r="C402" s="21" t="s">
        <v>1</v>
      </c>
      <c r="D402" s="50">
        <v>1</v>
      </c>
      <c r="E402" s="51">
        <f t="shared" si="146"/>
        <v>45.454545454545453</v>
      </c>
      <c r="F402" s="298">
        <f t="shared" si="145"/>
        <v>2.1999999999999999E-2</v>
      </c>
      <c r="G402" s="65">
        <f t="shared" si="147"/>
        <v>500</v>
      </c>
      <c r="H402" s="77">
        <v>1.2</v>
      </c>
      <c r="I402" s="71">
        <f t="shared" si="148"/>
        <v>1.1000000000000001</v>
      </c>
      <c r="J402" s="23">
        <f t="shared" si="149"/>
        <v>2.1999999999999999E-2</v>
      </c>
      <c r="K402" s="65">
        <f t="shared" si="150"/>
        <v>500</v>
      </c>
      <c r="L402" s="21">
        <v>600</v>
      </c>
      <c r="M402" s="21">
        <v>660</v>
      </c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</row>
    <row r="403" spans="1:23" s="26" customFormat="1" ht="30" customHeight="1" x14ac:dyDescent="0.2">
      <c r="A403" s="106" t="s">
        <v>1853</v>
      </c>
      <c r="B403" s="125" t="s">
        <v>392</v>
      </c>
      <c r="C403" s="21" t="s">
        <v>1</v>
      </c>
      <c r="D403" s="22">
        <v>1</v>
      </c>
      <c r="E403" s="51">
        <f t="shared" si="146"/>
        <v>8.7272727272727266</v>
      </c>
      <c r="F403" s="298">
        <f t="shared" si="145"/>
        <v>0.11458333333333336</v>
      </c>
      <c r="G403" s="65">
        <f t="shared" si="147"/>
        <v>95.999999999999986</v>
      </c>
      <c r="H403" s="77">
        <v>6.25</v>
      </c>
      <c r="I403" s="71">
        <f t="shared" si="148"/>
        <v>1.1000000000000001</v>
      </c>
      <c r="J403" s="23">
        <f t="shared" si="149"/>
        <v>0.11458333333333336</v>
      </c>
      <c r="K403" s="65">
        <f t="shared" si="150"/>
        <v>95.999999999999986</v>
      </c>
      <c r="L403" s="21">
        <v>600</v>
      </c>
      <c r="M403" s="21">
        <v>660</v>
      </c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</row>
    <row r="404" spans="1:23" s="26" customFormat="1" ht="30" customHeight="1" x14ac:dyDescent="0.2">
      <c r="A404" s="106"/>
      <c r="B404" s="112" t="s">
        <v>638</v>
      </c>
      <c r="C404" s="34"/>
      <c r="D404" s="34"/>
      <c r="E404" s="34"/>
      <c r="F404" s="298" t="e">
        <f t="shared" si="145"/>
        <v>#DIV/0!</v>
      </c>
      <c r="G404" s="34"/>
      <c r="H404" s="223"/>
      <c r="I404" s="63"/>
      <c r="J404" s="63"/>
      <c r="K404" s="63"/>
      <c r="L404" s="63"/>
      <c r="M404" s="63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</row>
    <row r="405" spans="1:23" s="26" customFormat="1" ht="30" customHeight="1" x14ac:dyDescent="0.2">
      <c r="A405" s="106"/>
      <c r="B405" s="130" t="s">
        <v>585</v>
      </c>
      <c r="C405" s="25"/>
      <c r="D405" s="25"/>
      <c r="E405" s="25"/>
      <c r="F405" s="298" t="e">
        <f t="shared" si="145"/>
        <v>#DIV/0!</v>
      </c>
      <c r="G405" s="25"/>
      <c r="H405" s="227"/>
      <c r="I405" s="63"/>
      <c r="J405" s="63"/>
      <c r="K405" s="63"/>
      <c r="L405" s="63"/>
      <c r="M405" s="63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</row>
    <row r="406" spans="1:23" s="26" customFormat="1" ht="30" customHeight="1" x14ac:dyDescent="0.2">
      <c r="A406" s="106" t="s">
        <v>1854</v>
      </c>
      <c r="B406" s="131" t="s">
        <v>571</v>
      </c>
      <c r="C406" s="21" t="s">
        <v>132</v>
      </c>
      <c r="D406" s="50">
        <v>1</v>
      </c>
      <c r="E406" s="51">
        <f t="shared" ref="E406:E417" si="151">G406/11</f>
        <v>0.18181818181818182</v>
      </c>
      <c r="F406" s="298">
        <f t="shared" si="145"/>
        <v>5.5</v>
      </c>
      <c r="G406" s="65">
        <f>M406/(H406*I406)</f>
        <v>2</v>
      </c>
      <c r="H406" s="77">
        <v>300</v>
      </c>
      <c r="I406" s="71">
        <f t="shared" ref="I406:I417" si="152">M406/L406</f>
        <v>1.1000000000000001</v>
      </c>
      <c r="J406" s="23">
        <f t="shared" ref="J406:J417" si="153">11/K406</f>
        <v>5.5</v>
      </c>
      <c r="K406" s="65">
        <f t="shared" ref="K406:K417" si="154">M406/(H406*I406)</f>
        <v>2</v>
      </c>
      <c r="L406" s="21">
        <v>600</v>
      </c>
      <c r="M406" s="21">
        <v>660</v>
      </c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</row>
    <row r="407" spans="1:23" s="26" customFormat="1" ht="30" customHeight="1" x14ac:dyDescent="0.2">
      <c r="A407" s="106" t="s">
        <v>1855</v>
      </c>
      <c r="B407" s="131" t="s">
        <v>961</v>
      </c>
      <c r="C407" s="21" t="s">
        <v>132</v>
      </c>
      <c r="D407" s="22">
        <v>1</v>
      </c>
      <c r="E407" s="51">
        <f t="shared" si="151"/>
        <v>2.1818181818181817</v>
      </c>
      <c r="F407" s="298">
        <f t="shared" si="145"/>
        <v>0.45833333333333343</v>
      </c>
      <c r="G407" s="65">
        <f>M407/(H407*I407)</f>
        <v>23.999999999999996</v>
      </c>
      <c r="H407" s="77">
        <v>25</v>
      </c>
      <c r="I407" s="71">
        <f t="shared" si="152"/>
        <v>1.1000000000000001</v>
      </c>
      <c r="J407" s="23">
        <f t="shared" si="153"/>
        <v>0.45833333333333343</v>
      </c>
      <c r="K407" s="65">
        <f t="shared" si="154"/>
        <v>23.999999999999996</v>
      </c>
      <c r="L407" s="21">
        <v>600</v>
      </c>
      <c r="M407" s="21">
        <v>660</v>
      </c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</row>
    <row r="408" spans="1:23" s="26" customFormat="1" ht="30" customHeight="1" x14ac:dyDescent="0.2">
      <c r="A408" s="106" t="s">
        <v>1856</v>
      </c>
      <c r="B408" s="132" t="s">
        <v>572</v>
      </c>
      <c r="C408" s="21" t="s">
        <v>132</v>
      </c>
      <c r="D408" s="22">
        <v>1</v>
      </c>
      <c r="E408" s="51">
        <f t="shared" si="151"/>
        <v>2.6181818181818177</v>
      </c>
      <c r="F408" s="298">
        <f t="shared" si="145"/>
        <v>0.38194444444444453</v>
      </c>
      <c r="G408" s="65">
        <f>M408/(H408*I408)</f>
        <v>28.799999999999994</v>
      </c>
      <c r="H408" s="77">
        <v>20.833333333333336</v>
      </c>
      <c r="I408" s="71">
        <f t="shared" si="152"/>
        <v>1.1000000000000001</v>
      </c>
      <c r="J408" s="23">
        <f t="shared" si="153"/>
        <v>0.38194444444444453</v>
      </c>
      <c r="K408" s="65">
        <f t="shared" si="154"/>
        <v>28.799999999999994</v>
      </c>
      <c r="L408" s="21">
        <v>600</v>
      </c>
      <c r="M408" s="21">
        <v>660</v>
      </c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</row>
    <row r="409" spans="1:23" s="26" customFormat="1" ht="30" customHeight="1" x14ac:dyDescent="0.2">
      <c r="A409" s="106" t="s">
        <v>1857</v>
      </c>
      <c r="B409" s="132" t="s">
        <v>573</v>
      </c>
      <c r="C409" s="21" t="s">
        <v>132</v>
      </c>
      <c r="D409" s="50">
        <v>1</v>
      </c>
      <c r="E409" s="51">
        <f t="shared" si="151"/>
        <v>5.7599999999999989</v>
      </c>
      <c r="F409" s="298">
        <f t="shared" si="145"/>
        <v>0.17361111111111113</v>
      </c>
      <c r="G409" s="65">
        <f t="shared" ref="G409:G417" si="155">K409</f>
        <v>63.359999999999992</v>
      </c>
      <c r="H409" s="77">
        <v>9.4696969696969706</v>
      </c>
      <c r="I409" s="71">
        <f t="shared" si="152"/>
        <v>1.1000000000000001</v>
      </c>
      <c r="J409" s="23">
        <f t="shared" si="153"/>
        <v>0.17361111111111113</v>
      </c>
      <c r="K409" s="65">
        <f t="shared" si="154"/>
        <v>63.359999999999992</v>
      </c>
      <c r="L409" s="21">
        <v>600</v>
      </c>
      <c r="M409" s="21">
        <v>660</v>
      </c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</row>
    <row r="410" spans="1:23" s="26" customFormat="1" ht="30" customHeight="1" x14ac:dyDescent="0.2">
      <c r="A410" s="106" t="s">
        <v>1858</v>
      </c>
      <c r="B410" s="113" t="s">
        <v>581</v>
      </c>
      <c r="C410" s="21" t="s">
        <v>132</v>
      </c>
      <c r="D410" s="22">
        <v>1</v>
      </c>
      <c r="E410" s="51">
        <f t="shared" si="151"/>
        <v>57.59999999999998</v>
      </c>
      <c r="F410" s="298">
        <f t="shared" si="145"/>
        <v>1.7361111111111115E-2</v>
      </c>
      <c r="G410" s="65">
        <f t="shared" si="155"/>
        <v>633.5999999999998</v>
      </c>
      <c r="H410" s="77">
        <v>0.94696969696969713</v>
      </c>
      <c r="I410" s="71">
        <f t="shared" si="152"/>
        <v>1.1000000000000001</v>
      </c>
      <c r="J410" s="23">
        <f t="shared" si="153"/>
        <v>1.7361111111111115E-2</v>
      </c>
      <c r="K410" s="65">
        <f t="shared" si="154"/>
        <v>633.5999999999998</v>
      </c>
      <c r="L410" s="21">
        <v>600</v>
      </c>
      <c r="M410" s="21">
        <v>660</v>
      </c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</row>
    <row r="411" spans="1:23" s="26" customFormat="1" ht="34.5" customHeight="1" x14ac:dyDescent="0.2">
      <c r="A411" s="106" t="s">
        <v>1859</v>
      </c>
      <c r="B411" s="113" t="s">
        <v>582</v>
      </c>
      <c r="C411" s="21" t="s">
        <v>132</v>
      </c>
      <c r="D411" s="50">
        <v>1</v>
      </c>
      <c r="E411" s="51">
        <f t="shared" si="151"/>
        <v>41.040000000000006</v>
      </c>
      <c r="F411" s="298">
        <f t="shared" si="145"/>
        <v>2.4366471734892786E-2</v>
      </c>
      <c r="G411" s="65">
        <f t="shared" si="155"/>
        <v>451.44000000000005</v>
      </c>
      <c r="H411" s="77">
        <v>1.3290802764486973</v>
      </c>
      <c r="I411" s="71">
        <f t="shared" si="152"/>
        <v>1.1000000000000001</v>
      </c>
      <c r="J411" s="23">
        <f t="shared" si="153"/>
        <v>2.4366471734892786E-2</v>
      </c>
      <c r="K411" s="65">
        <f t="shared" si="154"/>
        <v>451.44000000000005</v>
      </c>
      <c r="L411" s="21">
        <v>600</v>
      </c>
      <c r="M411" s="21">
        <v>660</v>
      </c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</row>
    <row r="412" spans="1:23" s="26" customFormat="1" ht="36" customHeight="1" x14ac:dyDescent="0.2">
      <c r="A412" s="106" t="s">
        <v>1860</v>
      </c>
      <c r="B412" s="113" t="s">
        <v>583</v>
      </c>
      <c r="C412" s="21" t="s">
        <v>132</v>
      </c>
      <c r="D412" s="22">
        <v>1</v>
      </c>
      <c r="E412" s="51">
        <f t="shared" si="151"/>
        <v>34.79999999999999</v>
      </c>
      <c r="F412" s="298">
        <f t="shared" si="145"/>
        <v>2.8735632183908053E-2</v>
      </c>
      <c r="G412" s="65">
        <f t="shared" si="155"/>
        <v>382.7999999999999</v>
      </c>
      <c r="H412" s="77">
        <v>1.5673981191222572</v>
      </c>
      <c r="I412" s="71">
        <f t="shared" si="152"/>
        <v>1.1000000000000001</v>
      </c>
      <c r="J412" s="23">
        <f t="shared" si="153"/>
        <v>2.8735632183908053E-2</v>
      </c>
      <c r="K412" s="65">
        <f t="shared" si="154"/>
        <v>382.7999999999999</v>
      </c>
      <c r="L412" s="21">
        <v>600</v>
      </c>
      <c r="M412" s="21">
        <v>660</v>
      </c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</row>
    <row r="413" spans="1:23" s="26" customFormat="1" ht="30" customHeight="1" x14ac:dyDescent="0.2">
      <c r="A413" s="106" t="s">
        <v>1861</v>
      </c>
      <c r="B413" s="113" t="s">
        <v>587</v>
      </c>
      <c r="C413" s="21" t="s">
        <v>132</v>
      </c>
      <c r="D413" s="50">
        <v>1</v>
      </c>
      <c r="E413" s="51">
        <f t="shared" si="151"/>
        <v>16.799999999999997</v>
      </c>
      <c r="F413" s="298">
        <f t="shared" si="145"/>
        <v>5.9523809523809527E-2</v>
      </c>
      <c r="G413" s="65">
        <f t="shared" si="155"/>
        <v>184.79999999999998</v>
      </c>
      <c r="H413" s="77">
        <v>3.2467532467532467</v>
      </c>
      <c r="I413" s="71">
        <f t="shared" si="152"/>
        <v>1.1000000000000001</v>
      </c>
      <c r="J413" s="23">
        <f t="shared" si="153"/>
        <v>5.9523809523809527E-2</v>
      </c>
      <c r="K413" s="65">
        <f t="shared" si="154"/>
        <v>184.79999999999998</v>
      </c>
      <c r="L413" s="21">
        <v>600</v>
      </c>
      <c r="M413" s="21">
        <v>660</v>
      </c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</row>
    <row r="414" spans="1:23" s="26" customFormat="1" ht="30" customHeight="1" x14ac:dyDescent="0.2">
      <c r="A414" s="106" t="s">
        <v>1862</v>
      </c>
      <c r="B414" s="113" t="s">
        <v>588</v>
      </c>
      <c r="C414" s="21" t="s">
        <v>132</v>
      </c>
      <c r="D414" s="22">
        <v>1</v>
      </c>
      <c r="E414" s="51">
        <f t="shared" si="151"/>
        <v>10.799999999999999</v>
      </c>
      <c r="F414" s="298">
        <f t="shared" si="145"/>
        <v>9.2592592592592601E-2</v>
      </c>
      <c r="G414" s="65">
        <f t="shared" si="155"/>
        <v>118.8</v>
      </c>
      <c r="H414" s="77">
        <v>5.0505050505050502</v>
      </c>
      <c r="I414" s="71">
        <f t="shared" si="152"/>
        <v>1.1000000000000001</v>
      </c>
      <c r="J414" s="23">
        <f t="shared" si="153"/>
        <v>9.2592592592592601E-2</v>
      </c>
      <c r="K414" s="65">
        <f t="shared" si="154"/>
        <v>118.8</v>
      </c>
      <c r="L414" s="21">
        <v>600</v>
      </c>
      <c r="M414" s="21">
        <v>660</v>
      </c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</row>
    <row r="415" spans="1:23" s="26" customFormat="1" ht="30" customHeight="1" x14ac:dyDescent="0.2">
      <c r="A415" s="106" t="s">
        <v>1863</v>
      </c>
      <c r="B415" s="113" t="s">
        <v>584</v>
      </c>
      <c r="C415" s="21" t="s">
        <v>132</v>
      </c>
      <c r="D415" s="50">
        <v>1</v>
      </c>
      <c r="E415" s="51">
        <f t="shared" si="151"/>
        <v>13.8</v>
      </c>
      <c r="F415" s="298">
        <f t="shared" si="145"/>
        <v>7.2463768115942018E-2</v>
      </c>
      <c r="G415" s="65">
        <f t="shared" si="155"/>
        <v>151.80000000000001</v>
      </c>
      <c r="H415" s="77">
        <v>3.9525691699604737</v>
      </c>
      <c r="I415" s="71">
        <f t="shared" si="152"/>
        <v>1.1000000000000001</v>
      </c>
      <c r="J415" s="23">
        <f t="shared" si="153"/>
        <v>7.2463768115942018E-2</v>
      </c>
      <c r="K415" s="65">
        <f t="shared" si="154"/>
        <v>151.80000000000001</v>
      </c>
      <c r="L415" s="21">
        <v>600</v>
      </c>
      <c r="M415" s="21">
        <v>660</v>
      </c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</row>
    <row r="416" spans="1:23" s="26" customFormat="1" ht="30" customHeight="1" x14ac:dyDescent="0.2">
      <c r="A416" s="106" t="s">
        <v>1864</v>
      </c>
      <c r="B416" s="113" t="s">
        <v>935</v>
      </c>
      <c r="C416" s="21" t="s">
        <v>132</v>
      </c>
      <c r="D416" s="22">
        <v>1</v>
      </c>
      <c r="E416" s="51">
        <f t="shared" si="151"/>
        <v>34.090909090909086</v>
      </c>
      <c r="F416" s="298">
        <f t="shared" si="145"/>
        <v>2.9333333333333336E-2</v>
      </c>
      <c r="G416" s="65">
        <f t="shared" si="155"/>
        <v>374.99999999999994</v>
      </c>
      <c r="H416" s="77">
        <v>1.6</v>
      </c>
      <c r="I416" s="71">
        <f t="shared" si="152"/>
        <v>1.1000000000000001</v>
      </c>
      <c r="J416" s="23">
        <f t="shared" si="153"/>
        <v>2.9333333333333336E-2</v>
      </c>
      <c r="K416" s="65">
        <f t="shared" si="154"/>
        <v>374.99999999999994</v>
      </c>
      <c r="L416" s="21">
        <v>600</v>
      </c>
      <c r="M416" s="21">
        <v>660</v>
      </c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</row>
    <row r="417" spans="1:23" s="26" customFormat="1" ht="30" customHeight="1" x14ac:dyDescent="0.2">
      <c r="A417" s="106" t="s">
        <v>1865</v>
      </c>
      <c r="B417" s="113" t="s">
        <v>934</v>
      </c>
      <c r="C417" s="21" t="s">
        <v>132</v>
      </c>
      <c r="D417" s="50">
        <v>1</v>
      </c>
      <c r="E417" s="51">
        <f t="shared" si="151"/>
        <v>2.1599999999999997</v>
      </c>
      <c r="F417" s="298">
        <f t="shared" si="145"/>
        <v>0.46296296296296302</v>
      </c>
      <c r="G417" s="65">
        <f t="shared" si="155"/>
        <v>23.759999999999998</v>
      </c>
      <c r="H417" s="77">
        <v>25.252525252525253</v>
      </c>
      <c r="I417" s="71">
        <f t="shared" si="152"/>
        <v>1.1000000000000001</v>
      </c>
      <c r="J417" s="23">
        <f t="shared" si="153"/>
        <v>0.46296296296296302</v>
      </c>
      <c r="K417" s="65">
        <f t="shared" si="154"/>
        <v>23.759999999999998</v>
      </c>
      <c r="L417" s="21">
        <v>600</v>
      </c>
      <c r="M417" s="21">
        <v>660</v>
      </c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</row>
    <row r="418" spans="1:23" s="26" customFormat="1" ht="60.75" customHeight="1" x14ac:dyDescent="0.2">
      <c r="A418" s="106"/>
      <c r="B418" s="133" t="s">
        <v>942</v>
      </c>
      <c r="C418" s="37"/>
      <c r="D418" s="37"/>
      <c r="E418" s="37"/>
      <c r="F418" s="298" t="e">
        <f t="shared" si="145"/>
        <v>#DIV/0!</v>
      </c>
      <c r="G418" s="37"/>
      <c r="H418" s="228"/>
      <c r="I418" s="63"/>
      <c r="J418" s="63"/>
      <c r="K418" s="63"/>
      <c r="L418" s="63"/>
      <c r="M418" s="63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</row>
    <row r="419" spans="1:23" s="26" customFormat="1" ht="30" customHeight="1" x14ac:dyDescent="0.2">
      <c r="A419" s="106" t="s">
        <v>1866</v>
      </c>
      <c r="B419" s="132" t="s">
        <v>937</v>
      </c>
      <c r="C419" s="21" t="s">
        <v>132</v>
      </c>
      <c r="D419" s="22">
        <v>1</v>
      </c>
      <c r="E419" s="51">
        <f t="shared" ref="E419:E424" si="156">G419/11</f>
        <v>1.8181818181818181</v>
      </c>
      <c r="F419" s="298">
        <f t="shared" si="145"/>
        <v>0.55000000000000004</v>
      </c>
      <c r="G419" s="65">
        <f>M419/(H419*I419)</f>
        <v>20</v>
      </c>
      <c r="H419" s="77">
        <v>30</v>
      </c>
      <c r="I419" s="71">
        <f t="shared" ref="I419:I424" si="157">M419/L419</f>
        <v>1.1000000000000001</v>
      </c>
      <c r="J419" s="23">
        <f t="shared" ref="J419:J424" si="158">11/K419</f>
        <v>0.55000000000000004</v>
      </c>
      <c r="K419" s="65">
        <f t="shared" ref="K419:K424" si="159">M419/(H419*I419)</f>
        <v>20</v>
      </c>
      <c r="L419" s="21">
        <v>600</v>
      </c>
      <c r="M419" s="21">
        <v>660</v>
      </c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</row>
    <row r="420" spans="1:23" s="26" customFormat="1" ht="43.5" customHeight="1" x14ac:dyDescent="0.2">
      <c r="A420" s="106" t="s">
        <v>1867</v>
      </c>
      <c r="B420" s="132" t="s">
        <v>878</v>
      </c>
      <c r="C420" s="21" t="s">
        <v>132</v>
      </c>
      <c r="D420" s="50">
        <v>1</v>
      </c>
      <c r="E420" s="51">
        <f t="shared" si="156"/>
        <v>2.64</v>
      </c>
      <c r="F420" s="298">
        <f t="shared" si="145"/>
        <v>0.37878787878787878</v>
      </c>
      <c r="G420" s="65">
        <f>M420/(H420*I420)</f>
        <v>29.04</v>
      </c>
      <c r="H420" s="77">
        <v>20.661157024793386</v>
      </c>
      <c r="I420" s="71">
        <f t="shared" si="157"/>
        <v>1.1000000000000001</v>
      </c>
      <c r="J420" s="23">
        <f t="shared" si="158"/>
        <v>0.37878787878787878</v>
      </c>
      <c r="K420" s="65">
        <f t="shared" si="159"/>
        <v>29.04</v>
      </c>
      <c r="L420" s="21">
        <v>600</v>
      </c>
      <c r="M420" s="21">
        <v>660</v>
      </c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</row>
    <row r="421" spans="1:23" s="26" customFormat="1" ht="30" customHeight="1" x14ac:dyDescent="0.2">
      <c r="A421" s="106" t="s">
        <v>1868</v>
      </c>
      <c r="B421" s="113" t="s">
        <v>879</v>
      </c>
      <c r="C421" s="21" t="s">
        <v>132</v>
      </c>
      <c r="D421" s="22">
        <v>1</v>
      </c>
      <c r="E421" s="51">
        <f t="shared" si="156"/>
        <v>4.08</v>
      </c>
      <c r="F421" s="298">
        <f t="shared" si="145"/>
        <v>0.24509803921568626</v>
      </c>
      <c r="G421" s="65">
        <f>M421/(H421*I421)</f>
        <v>44.88</v>
      </c>
      <c r="H421" s="77">
        <v>13.36898395721925</v>
      </c>
      <c r="I421" s="71">
        <f t="shared" si="157"/>
        <v>1.1000000000000001</v>
      </c>
      <c r="J421" s="23">
        <f t="shared" si="158"/>
        <v>0.24509803921568626</v>
      </c>
      <c r="K421" s="65">
        <f t="shared" si="159"/>
        <v>44.88</v>
      </c>
      <c r="L421" s="21">
        <v>600</v>
      </c>
      <c r="M421" s="21">
        <v>660</v>
      </c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</row>
    <row r="422" spans="1:23" s="26" customFormat="1" ht="30" customHeight="1" x14ac:dyDescent="0.2">
      <c r="A422" s="106" t="s">
        <v>1869</v>
      </c>
      <c r="B422" s="113" t="s">
        <v>589</v>
      </c>
      <c r="C422" s="21" t="s">
        <v>132</v>
      </c>
      <c r="D422" s="50">
        <v>1</v>
      </c>
      <c r="E422" s="51">
        <f t="shared" si="156"/>
        <v>2.64</v>
      </c>
      <c r="F422" s="298">
        <f t="shared" si="145"/>
        <v>0.37878787878787878</v>
      </c>
      <c r="G422" s="65">
        <f>M422/(H422*I422)</f>
        <v>29.04</v>
      </c>
      <c r="H422" s="77">
        <v>20.661157024793386</v>
      </c>
      <c r="I422" s="71">
        <f t="shared" si="157"/>
        <v>1.1000000000000001</v>
      </c>
      <c r="J422" s="23">
        <f t="shared" si="158"/>
        <v>0.37878787878787878</v>
      </c>
      <c r="K422" s="65">
        <f t="shared" si="159"/>
        <v>29.04</v>
      </c>
      <c r="L422" s="21">
        <v>600</v>
      </c>
      <c r="M422" s="21">
        <v>660</v>
      </c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</row>
    <row r="423" spans="1:23" s="26" customFormat="1" ht="52.5" customHeight="1" x14ac:dyDescent="0.2">
      <c r="A423" s="106" t="s">
        <v>1870</v>
      </c>
      <c r="B423" s="113" t="s">
        <v>590</v>
      </c>
      <c r="C423" s="21" t="s">
        <v>132</v>
      </c>
      <c r="D423" s="22">
        <v>1</v>
      </c>
      <c r="E423" s="51">
        <f t="shared" si="156"/>
        <v>32.999999999999993</v>
      </c>
      <c r="F423" s="298">
        <f t="shared" si="145"/>
        <v>3.0303030303030307E-2</v>
      </c>
      <c r="G423" s="65">
        <f>M423/(H423*I423)</f>
        <v>362.99999999999994</v>
      </c>
      <c r="H423" s="77">
        <v>1.6528925619834711</v>
      </c>
      <c r="I423" s="71">
        <f t="shared" si="157"/>
        <v>1.1000000000000001</v>
      </c>
      <c r="J423" s="23">
        <f t="shared" si="158"/>
        <v>3.0303030303030307E-2</v>
      </c>
      <c r="K423" s="65">
        <f t="shared" si="159"/>
        <v>362.99999999999994</v>
      </c>
      <c r="L423" s="21">
        <v>600</v>
      </c>
      <c r="M423" s="21">
        <v>660</v>
      </c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</row>
    <row r="424" spans="1:23" s="26" customFormat="1" ht="30" customHeight="1" x14ac:dyDescent="0.2">
      <c r="A424" s="106" t="s">
        <v>1871</v>
      </c>
      <c r="B424" s="113" t="s">
        <v>591</v>
      </c>
      <c r="C424" s="21" t="s">
        <v>132</v>
      </c>
      <c r="D424" s="50">
        <v>1</v>
      </c>
      <c r="E424" s="51">
        <f t="shared" si="156"/>
        <v>7.1999999999999975</v>
      </c>
      <c r="F424" s="298">
        <f t="shared" si="145"/>
        <v>0.13888888888888892</v>
      </c>
      <c r="G424" s="65">
        <f>K424</f>
        <v>79.199999999999974</v>
      </c>
      <c r="H424" s="77">
        <v>7.575757575757577</v>
      </c>
      <c r="I424" s="71">
        <f t="shared" si="157"/>
        <v>1.1000000000000001</v>
      </c>
      <c r="J424" s="23">
        <f t="shared" si="158"/>
        <v>0.13888888888888892</v>
      </c>
      <c r="K424" s="65">
        <f t="shared" si="159"/>
        <v>79.199999999999974</v>
      </c>
      <c r="L424" s="21">
        <v>600</v>
      </c>
      <c r="M424" s="21">
        <v>660</v>
      </c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</row>
    <row r="425" spans="1:23" s="26" customFormat="1" ht="30" customHeight="1" x14ac:dyDescent="0.2">
      <c r="A425" s="106"/>
      <c r="B425" s="130" t="s">
        <v>944</v>
      </c>
      <c r="C425" s="37"/>
      <c r="D425" s="37"/>
      <c r="E425" s="37"/>
      <c r="F425" s="298" t="e">
        <f t="shared" si="145"/>
        <v>#DIV/0!</v>
      </c>
      <c r="G425" s="37"/>
      <c r="H425" s="228"/>
      <c r="I425" s="63"/>
      <c r="J425" s="63"/>
      <c r="K425" s="63"/>
      <c r="L425" s="63"/>
      <c r="M425" s="63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</row>
    <row r="426" spans="1:23" s="26" customFormat="1" ht="30" customHeight="1" x14ac:dyDescent="0.2">
      <c r="A426" s="106" t="s">
        <v>1872</v>
      </c>
      <c r="B426" s="113" t="s">
        <v>945</v>
      </c>
      <c r="C426" s="21" t="s">
        <v>220</v>
      </c>
      <c r="D426" s="22">
        <v>1</v>
      </c>
      <c r="E426" s="51">
        <f>G426/11</f>
        <v>10.996363636363634</v>
      </c>
      <c r="F426" s="298">
        <f t="shared" si="145"/>
        <v>9.0939153439153458E-2</v>
      </c>
      <c r="G426" s="80">
        <v>120.95999999999998</v>
      </c>
      <c r="H426" s="77">
        <v>4.9603174603174613</v>
      </c>
      <c r="I426" s="71">
        <f>M426/L426</f>
        <v>1.1000000000000001</v>
      </c>
      <c r="J426" s="23">
        <f>11/K426</f>
        <v>9.0939153439153472E-2</v>
      </c>
      <c r="K426" s="65">
        <f>M426/(H426*I426)</f>
        <v>120.95999999999995</v>
      </c>
      <c r="L426" s="21">
        <v>600</v>
      </c>
      <c r="M426" s="21">
        <v>660</v>
      </c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</row>
    <row r="427" spans="1:23" s="26" customFormat="1" ht="39" customHeight="1" x14ac:dyDescent="0.2">
      <c r="A427" s="106" t="s">
        <v>1873</v>
      </c>
      <c r="B427" s="132" t="s">
        <v>946</v>
      </c>
      <c r="C427" s="21" t="s">
        <v>220</v>
      </c>
      <c r="D427" s="50">
        <v>1</v>
      </c>
      <c r="E427" s="51">
        <f>G427/11</f>
        <v>9.7363636363636363</v>
      </c>
      <c r="F427" s="298">
        <f t="shared" si="145"/>
        <v>0.10270774976657331</v>
      </c>
      <c r="G427" s="80">
        <v>107.1</v>
      </c>
      <c r="H427" s="77">
        <v>5.6022408963585431</v>
      </c>
      <c r="I427" s="71">
        <f>M427/L427</f>
        <v>1.1000000000000001</v>
      </c>
      <c r="J427" s="23">
        <f>11/K427</f>
        <v>0.10270774976657331</v>
      </c>
      <c r="K427" s="65">
        <f>M427/(H427*I427)</f>
        <v>107.1</v>
      </c>
      <c r="L427" s="21">
        <v>600</v>
      </c>
      <c r="M427" s="21">
        <v>660</v>
      </c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</row>
    <row r="428" spans="1:23" s="26" customFormat="1" ht="30" customHeight="1" x14ac:dyDescent="0.2">
      <c r="A428" s="106" t="s">
        <v>1874</v>
      </c>
      <c r="B428" s="113" t="s">
        <v>947</v>
      </c>
      <c r="C428" s="21" t="s">
        <v>220</v>
      </c>
      <c r="D428" s="22">
        <v>1</v>
      </c>
      <c r="E428" s="51">
        <f>G428/11</f>
        <v>6.8727272727272721</v>
      </c>
      <c r="F428" s="298">
        <f t="shared" si="145"/>
        <v>0.14550264550264552</v>
      </c>
      <c r="G428" s="80">
        <v>75.599999999999994</v>
      </c>
      <c r="H428" s="77">
        <v>7.9365079365079367</v>
      </c>
      <c r="I428" s="71">
        <f>M428/L428</f>
        <v>1.1000000000000001</v>
      </c>
      <c r="J428" s="23">
        <f>11/K428</f>
        <v>0.14550264550264552</v>
      </c>
      <c r="K428" s="65">
        <f>M428/(H428*I428)</f>
        <v>75.599999999999994</v>
      </c>
      <c r="L428" s="21">
        <v>600</v>
      </c>
      <c r="M428" s="21">
        <v>660</v>
      </c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</row>
    <row r="429" spans="1:23" s="26" customFormat="1" ht="30" customHeight="1" x14ac:dyDescent="0.2">
      <c r="A429" s="106" t="s">
        <v>1875</v>
      </c>
      <c r="B429" s="113" t="s">
        <v>948</v>
      </c>
      <c r="C429" s="21" t="s">
        <v>220</v>
      </c>
      <c r="D429" s="50">
        <v>1</v>
      </c>
      <c r="E429" s="51">
        <f>G429/11</f>
        <v>4.3527272727272726</v>
      </c>
      <c r="F429" s="298">
        <f t="shared" si="145"/>
        <v>0.22974101921470344</v>
      </c>
      <c r="G429" s="80">
        <v>47.879999999999995</v>
      </c>
      <c r="H429" s="77">
        <v>12.531328320802006</v>
      </c>
      <c r="I429" s="71">
        <f>M429/L429</f>
        <v>1.1000000000000001</v>
      </c>
      <c r="J429" s="23">
        <f>11/K429</f>
        <v>0.22974101921470344</v>
      </c>
      <c r="K429" s="65">
        <f>M429/(H429*I429)</f>
        <v>47.879999999999995</v>
      </c>
      <c r="L429" s="21">
        <v>600</v>
      </c>
      <c r="M429" s="21">
        <v>660</v>
      </c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</row>
    <row r="430" spans="1:23" s="26" customFormat="1" ht="30" customHeight="1" x14ac:dyDescent="0.2">
      <c r="A430" s="106"/>
      <c r="B430" s="130" t="s">
        <v>943</v>
      </c>
      <c r="C430" s="37"/>
      <c r="D430" s="37"/>
      <c r="E430" s="37"/>
      <c r="F430" s="298" t="e">
        <f t="shared" si="145"/>
        <v>#DIV/0!</v>
      </c>
      <c r="G430" s="37"/>
      <c r="H430" s="228"/>
      <c r="I430" s="63"/>
      <c r="J430" s="63"/>
      <c r="K430" s="63"/>
      <c r="L430" s="63"/>
      <c r="M430" s="63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</row>
    <row r="431" spans="1:23" s="26" customFormat="1" ht="30" customHeight="1" x14ac:dyDescent="0.2">
      <c r="A431" s="106" t="s">
        <v>1876</v>
      </c>
      <c r="B431" s="113" t="s">
        <v>892</v>
      </c>
      <c r="C431" s="21" t="s">
        <v>220</v>
      </c>
      <c r="D431" s="22">
        <v>1</v>
      </c>
      <c r="E431" s="51">
        <f t="shared" ref="E431:E438" si="160">G431/11</f>
        <v>10.472727272727271</v>
      </c>
      <c r="F431" s="298">
        <f t="shared" si="145"/>
        <v>9.5486111111111133E-2</v>
      </c>
      <c r="G431" s="65">
        <f t="shared" ref="G431:G438" si="161">K431</f>
        <v>115.19999999999997</v>
      </c>
      <c r="H431" s="77">
        <v>5.2083333333333339</v>
      </c>
      <c r="I431" s="71">
        <f t="shared" ref="I431:I438" si="162">M431/L431</f>
        <v>1.1000000000000001</v>
      </c>
      <c r="J431" s="23">
        <f t="shared" ref="J431:J438" si="163">11/K431</f>
        <v>9.5486111111111133E-2</v>
      </c>
      <c r="K431" s="65">
        <f t="shared" ref="K431:K438" si="164">M431/(H431*I431)</f>
        <v>115.19999999999997</v>
      </c>
      <c r="L431" s="21">
        <v>600</v>
      </c>
      <c r="M431" s="21">
        <v>660</v>
      </c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</row>
    <row r="432" spans="1:23" s="26" customFormat="1" ht="30" customHeight="1" x14ac:dyDescent="0.2">
      <c r="A432" s="106" t="s">
        <v>1877</v>
      </c>
      <c r="B432" s="113" t="s">
        <v>893</v>
      </c>
      <c r="C432" s="21" t="s">
        <v>220</v>
      </c>
      <c r="D432" s="50">
        <v>1</v>
      </c>
      <c r="E432" s="51">
        <f t="shared" si="160"/>
        <v>9.2727272727272716</v>
      </c>
      <c r="F432" s="298">
        <f t="shared" si="145"/>
        <v>0.10784313725490198</v>
      </c>
      <c r="G432" s="65">
        <f t="shared" si="161"/>
        <v>101.99999999999999</v>
      </c>
      <c r="H432" s="77">
        <v>5.882352941176471</v>
      </c>
      <c r="I432" s="71">
        <f t="shared" si="162"/>
        <v>1.1000000000000001</v>
      </c>
      <c r="J432" s="23">
        <f t="shared" si="163"/>
        <v>0.10784313725490198</v>
      </c>
      <c r="K432" s="65">
        <f t="shared" si="164"/>
        <v>101.99999999999999</v>
      </c>
      <c r="L432" s="21">
        <v>600</v>
      </c>
      <c r="M432" s="21">
        <v>660</v>
      </c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</row>
    <row r="433" spans="1:23" s="26" customFormat="1" ht="30" customHeight="1" x14ac:dyDescent="0.2">
      <c r="A433" s="106" t="s">
        <v>1878</v>
      </c>
      <c r="B433" s="113" t="s">
        <v>891</v>
      </c>
      <c r="C433" s="21" t="s">
        <v>220</v>
      </c>
      <c r="D433" s="22">
        <v>1</v>
      </c>
      <c r="E433" s="51">
        <f t="shared" si="160"/>
        <v>6.5454545454545441</v>
      </c>
      <c r="F433" s="298">
        <f t="shared" si="145"/>
        <v>0.15277777777777782</v>
      </c>
      <c r="G433" s="65">
        <f t="shared" si="161"/>
        <v>71.999999999999986</v>
      </c>
      <c r="H433" s="77">
        <v>8.3333333333333339</v>
      </c>
      <c r="I433" s="71">
        <f t="shared" si="162"/>
        <v>1.1000000000000001</v>
      </c>
      <c r="J433" s="23">
        <f t="shared" si="163"/>
        <v>0.15277777777777782</v>
      </c>
      <c r="K433" s="65">
        <f t="shared" si="164"/>
        <v>71.999999999999986</v>
      </c>
      <c r="L433" s="21">
        <v>600</v>
      </c>
      <c r="M433" s="21">
        <v>660</v>
      </c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</row>
    <row r="434" spans="1:23" s="26" customFormat="1" ht="30" customHeight="1" x14ac:dyDescent="0.2">
      <c r="A434" s="106" t="s">
        <v>1879</v>
      </c>
      <c r="B434" s="113" t="s">
        <v>594</v>
      </c>
      <c r="C434" s="21" t="s">
        <v>220</v>
      </c>
      <c r="D434" s="50">
        <v>1</v>
      </c>
      <c r="E434" s="51">
        <f t="shared" si="160"/>
        <v>4.1454545454545446</v>
      </c>
      <c r="F434" s="298">
        <f t="shared" si="145"/>
        <v>0.24122807017543862</v>
      </c>
      <c r="G434" s="65">
        <f t="shared" si="161"/>
        <v>45.599999999999994</v>
      </c>
      <c r="H434" s="77">
        <v>13.157894736842104</v>
      </c>
      <c r="I434" s="71">
        <f t="shared" si="162"/>
        <v>1.1000000000000001</v>
      </c>
      <c r="J434" s="23">
        <f t="shared" si="163"/>
        <v>0.24122807017543862</v>
      </c>
      <c r="K434" s="65">
        <f t="shared" si="164"/>
        <v>45.599999999999994</v>
      </c>
      <c r="L434" s="21">
        <v>600</v>
      </c>
      <c r="M434" s="21">
        <v>660</v>
      </c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</row>
    <row r="435" spans="1:23" s="26" customFormat="1" ht="30" customHeight="1" x14ac:dyDescent="0.2">
      <c r="A435" s="106" t="s">
        <v>1880</v>
      </c>
      <c r="B435" s="113" t="s">
        <v>894</v>
      </c>
      <c r="C435" s="21" t="s">
        <v>132</v>
      </c>
      <c r="D435" s="22">
        <v>1</v>
      </c>
      <c r="E435" s="51">
        <f t="shared" si="160"/>
        <v>3.4909090909090907</v>
      </c>
      <c r="F435" s="298">
        <f t="shared" ref="F435:F498" si="165">11/G435</f>
        <v>0.28645833333333337</v>
      </c>
      <c r="G435" s="65">
        <f t="shared" si="161"/>
        <v>38.4</v>
      </c>
      <c r="H435" s="77">
        <v>15.625</v>
      </c>
      <c r="I435" s="71">
        <f t="shared" si="162"/>
        <v>1.1000000000000001</v>
      </c>
      <c r="J435" s="23">
        <f t="shared" si="163"/>
        <v>0.28645833333333337</v>
      </c>
      <c r="K435" s="65">
        <f t="shared" si="164"/>
        <v>38.4</v>
      </c>
      <c r="L435" s="21">
        <v>600</v>
      </c>
      <c r="M435" s="21">
        <v>660</v>
      </c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</row>
    <row r="436" spans="1:23" s="26" customFormat="1" ht="30" customHeight="1" x14ac:dyDescent="0.2">
      <c r="A436" s="106" t="s">
        <v>1881</v>
      </c>
      <c r="B436" s="113" t="s">
        <v>895</v>
      </c>
      <c r="C436" s="21" t="s">
        <v>132</v>
      </c>
      <c r="D436" s="50">
        <v>1</v>
      </c>
      <c r="E436" s="51">
        <f t="shared" si="160"/>
        <v>1.7454545454545454</v>
      </c>
      <c r="F436" s="298">
        <f t="shared" si="165"/>
        <v>0.57291666666666674</v>
      </c>
      <c r="G436" s="65">
        <f t="shared" si="161"/>
        <v>19.2</v>
      </c>
      <c r="H436" s="77">
        <v>31.25</v>
      </c>
      <c r="I436" s="71">
        <f t="shared" si="162"/>
        <v>1.1000000000000001</v>
      </c>
      <c r="J436" s="23">
        <f t="shared" si="163"/>
        <v>0.57291666666666674</v>
      </c>
      <c r="K436" s="65">
        <f t="shared" si="164"/>
        <v>19.2</v>
      </c>
      <c r="L436" s="21">
        <v>600</v>
      </c>
      <c r="M436" s="21">
        <v>660</v>
      </c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</row>
    <row r="437" spans="1:23" s="26" customFormat="1" ht="30" customHeight="1" x14ac:dyDescent="0.2">
      <c r="A437" s="106" t="s">
        <v>1882</v>
      </c>
      <c r="B437" s="113" t="s">
        <v>896</v>
      </c>
      <c r="C437" s="21" t="s">
        <v>132</v>
      </c>
      <c r="D437" s="22">
        <v>1</v>
      </c>
      <c r="E437" s="51">
        <f t="shared" si="160"/>
        <v>0.87272727272727268</v>
      </c>
      <c r="F437" s="298">
        <f t="shared" si="165"/>
        <v>1.1458333333333335</v>
      </c>
      <c r="G437" s="65">
        <f t="shared" si="161"/>
        <v>9.6</v>
      </c>
      <c r="H437" s="77">
        <v>62.5</v>
      </c>
      <c r="I437" s="71">
        <f t="shared" si="162"/>
        <v>1.1000000000000001</v>
      </c>
      <c r="J437" s="23">
        <f t="shared" si="163"/>
        <v>1.1458333333333335</v>
      </c>
      <c r="K437" s="65">
        <f t="shared" si="164"/>
        <v>9.6</v>
      </c>
      <c r="L437" s="21">
        <v>600</v>
      </c>
      <c r="M437" s="21">
        <v>660</v>
      </c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</row>
    <row r="438" spans="1:23" s="26" customFormat="1" ht="30" customHeight="1" x14ac:dyDescent="0.2">
      <c r="A438" s="106" t="s">
        <v>1883</v>
      </c>
      <c r="B438" s="113" t="s">
        <v>897</v>
      </c>
      <c r="C438" s="21" t="s">
        <v>132</v>
      </c>
      <c r="D438" s="50">
        <v>1</v>
      </c>
      <c r="E438" s="51">
        <f t="shared" si="160"/>
        <v>0.43636363636363634</v>
      </c>
      <c r="F438" s="298">
        <f t="shared" si="165"/>
        <v>2.291666666666667</v>
      </c>
      <c r="G438" s="65">
        <f t="shared" si="161"/>
        <v>4.8</v>
      </c>
      <c r="H438" s="77">
        <v>125</v>
      </c>
      <c r="I438" s="71">
        <f t="shared" si="162"/>
        <v>1.1000000000000001</v>
      </c>
      <c r="J438" s="23">
        <f t="shared" si="163"/>
        <v>2.291666666666667</v>
      </c>
      <c r="K438" s="65">
        <f t="shared" si="164"/>
        <v>4.8</v>
      </c>
      <c r="L438" s="21">
        <v>600</v>
      </c>
      <c r="M438" s="21">
        <v>660</v>
      </c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</row>
    <row r="439" spans="1:23" s="26" customFormat="1" ht="30" customHeight="1" x14ac:dyDescent="0.2">
      <c r="A439" s="106"/>
      <c r="B439" s="130" t="s">
        <v>679</v>
      </c>
      <c r="C439" s="25"/>
      <c r="D439" s="25"/>
      <c r="E439" s="25"/>
      <c r="F439" s="298" t="e">
        <f t="shared" si="165"/>
        <v>#DIV/0!</v>
      </c>
      <c r="G439" s="25"/>
      <c r="H439" s="227"/>
      <c r="I439" s="63"/>
      <c r="J439" s="63"/>
      <c r="K439" s="63"/>
      <c r="L439" s="63"/>
      <c r="M439" s="63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</row>
    <row r="440" spans="1:23" s="26" customFormat="1" ht="30" customHeight="1" x14ac:dyDescent="0.2">
      <c r="A440" s="106" t="s">
        <v>1884</v>
      </c>
      <c r="B440" s="113" t="s">
        <v>872</v>
      </c>
      <c r="C440" s="21" t="s">
        <v>132</v>
      </c>
      <c r="D440" s="50">
        <v>1</v>
      </c>
      <c r="E440" s="51">
        <f t="shared" ref="E440:E445" si="166">G440/11</f>
        <v>11.16</v>
      </c>
      <c r="F440" s="298">
        <f t="shared" si="165"/>
        <v>8.9605734767025089E-2</v>
      </c>
      <c r="G440" s="65">
        <f t="shared" ref="G440:G445" si="167">K440</f>
        <v>122.76</v>
      </c>
      <c r="H440" s="77">
        <v>4.8875855327468223</v>
      </c>
      <c r="I440" s="71">
        <f t="shared" ref="I440:I445" si="168">M440/L440</f>
        <v>1.1000000000000001</v>
      </c>
      <c r="J440" s="23">
        <f t="shared" ref="J440:J445" si="169">11/K440</f>
        <v>8.9605734767025089E-2</v>
      </c>
      <c r="K440" s="65">
        <f t="shared" ref="K440:K445" si="170">M440/(H440*I440)</f>
        <v>122.76</v>
      </c>
      <c r="L440" s="21">
        <v>600</v>
      </c>
      <c r="M440" s="21">
        <v>660</v>
      </c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</row>
    <row r="441" spans="1:23" s="26" customFormat="1" ht="30" customHeight="1" x14ac:dyDescent="0.2">
      <c r="A441" s="106" t="s">
        <v>1885</v>
      </c>
      <c r="B441" s="113" t="s">
        <v>874</v>
      </c>
      <c r="C441" s="21" t="s">
        <v>132</v>
      </c>
      <c r="D441" s="22">
        <v>1</v>
      </c>
      <c r="E441" s="51">
        <f t="shared" si="166"/>
        <v>9.0000000000000018</v>
      </c>
      <c r="F441" s="298">
        <f t="shared" si="165"/>
        <v>0.11111111111111109</v>
      </c>
      <c r="G441" s="65">
        <f t="shared" si="167"/>
        <v>99.000000000000014</v>
      </c>
      <c r="H441" s="77">
        <v>6.0606060606060597</v>
      </c>
      <c r="I441" s="71">
        <f t="shared" si="168"/>
        <v>1.1000000000000001</v>
      </c>
      <c r="J441" s="23">
        <f t="shared" si="169"/>
        <v>0.11111111111111109</v>
      </c>
      <c r="K441" s="65">
        <f t="shared" si="170"/>
        <v>99.000000000000014</v>
      </c>
      <c r="L441" s="21">
        <v>600</v>
      </c>
      <c r="M441" s="21">
        <v>660</v>
      </c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</row>
    <row r="442" spans="1:23" s="26" customFormat="1" ht="30" customHeight="1" x14ac:dyDescent="0.2">
      <c r="A442" s="106" t="s">
        <v>1886</v>
      </c>
      <c r="B442" s="113" t="s">
        <v>873</v>
      </c>
      <c r="C442" s="21" t="s">
        <v>132</v>
      </c>
      <c r="D442" s="50">
        <v>1</v>
      </c>
      <c r="E442" s="51">
        <f t="shared" si="166"/>
        <v>6.48</v>
      </c>
      <c r="F442" s="298">
        <f t="shared" si="165"/>
        <v>0.15432098765432098</v>
      </c>
      <c r="G442" s="65">
        <f t="shared" si="167"/>
        <v>71.28</v>
      </c>
      <c r="H442" s="77">
        <v>8.4175084175084169</v>
      </c>
      <c r="I442" s="71">
        <f t="shared" si="168"/>
        <v>1.1000000000000001</v>
      </c>
      <c r="J442" s="23">
        <f t="shared" si="169"/>
        <v>0.15432098765432098</v>
      </c>
      <c r="K442" s="65">
        <f t="shared" si="170"/>
        <v>71.28</v>
      </c>
      <c r="L442" s="21">
        <v>600</v>
      </c>
      <c r="M442" s="21">
        <v>660</v>
      </c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</row>
    <row r="443" spans="1:23" s="26" customFormat="1" ht="30" customHeight="1" x14ac:dyDescent="0.2">
      <c r="A443" s="106" t="s">
        <v>1887</v>
      </c>
      <c r="B443" s="113" t="s">
        <v>875</v>
      </c>
      <c r="C443" s="21" t="s">
        <v>132</v>
      </c>
      <c r="D443" s="22">
        <v>1</v>
      </c>
      <c r="E443" s="51">
        <f t="shared" si="166"/>
        <v>7.44</v>
      </c>
      <c r="F443" s="298">
        <f t="shared" si="165"/>
        <v>0.13440860215053763</v>
      </c>
      <c r="G443" s="65">
        <f t="shared" si="167"/>
        <v>81.84</v>
      </c>
      <c r="H443" s="77">
        <v>7.3313782991202343</v>
      </c>
      <c r="I443" s="71">
        <f t="shared" si="168"/>
        <v>1.1000000000000001</v>
      </c>
      <c r="J443" s="23">
        <f t="shared" si="169"/>
        <v>0.13440860215053763</v>
      </c>
      <c r="K443" s="65">
        <f t="shared" si="170"/>
        <v>81.84</v>
      </c>
      <c r="L443" s="21">
        <v>600</v>
      </c>
      <c r="M443" s="21">
        <v>660</v>
      </c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</row>
    <row r="444" spans="1:23" s="26" customFormat="1" ht="30" customHeight="1" x14ac:dyDescent="0.2">
      <c r="A444" s="106" t="s">
        <v>1888</v>
      </c>
      <c r="B444" s="113" t="s">
        <v>876</v>
      </c>
      <c r="C444" s="21" t="s">
        <v>132</v>
      </c>
      <c r="D444" s="50">
        <v>1</v>
      </c>
      <c r="E444" s="51">
        <f t="shared" si="166"/>
        <v>6</v>
      </c>
      <c r="F444" s="298">
        <f t="shared" si="165"/>
        <v>0.16666666666666666</v>
      </c>
      <c r="G444" s="65">
        <f t="shared" si="167"/>
        <v>66</v>
      </c>
      <c r="H444" s="77">
        <v>9.0909090909090899</v>
      </c>
      <c r="I444" s="71">
        <f t="shared" si="168"/>
        <v>1.1000000000000001</v>
      </c>
      <c r="J444" s="23">
        <f t="shared" si="169"/>
        <v>0.16666666666666666</v>
      </c>
      <c r="K444" s="65">
        <f t="shared" si="170"/>
        <v>66</v>
      </c>
      <c r="L444" s="21">
        <v>600</v>
      </c>
      <c r="M444" s="21">
        <v>660</v>
      </c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</row>
    <row r="445" spans="1:23" s="26" customFormat="1" ht="30" customHeight="1" x14ac:dyDescent="0.2">
      <c r="A445" s="106" t="s">
        <v>1889</v>
      </c>
      <c r="B445" s="113" t="s">
        <v>877</v>
      </c>
      <c r="C445" s="21" t="s">
        <v>132</v>
      </c>
      <c r="D445" s="22">
        <v>1</v>
      </c>
      <c r="E445" s="51">
        <f t="shared" si="166"/>
        <v>4.3199999999999994</v>
      </c>
      <c r="F445" s="298">
        <f t="shared" si="165"/>
        <v>0.23148148148148151</v>
      </c>
      <c r="G445" s="65">
        <f t="shared" si="167"/>
        <v>47.519999999999996</v>
      </c>
      <c r="H445" s="77">
        <v>12.626262626262626</v>
      </c>
      <c r="I445" s="71">
        <f t="shared" si="168"/>
        <v>1.1000000000000001</v>
      </c>
      <c r="J445" s="23">
        <f t="shared" si="169"/>
        <v>0.23148148148148151</v>
      </c>
      <c r="K445" s="65">
        <f t="shared" si="170"/>
        <v>47.519999999999996</v>
      </c>
      <c r="L445" s="21">
        <v>600</v>
      </c>
      <c r="M445" s="21">
        <v>660</v>
      </c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</row>
    <row r="446" spans="1:23" s="26" customFormat="1" ht="30" customHeight="1" x14ac:dyDescent="0.2">
      <c r="A446" s="106"/>
      <c r="B446" s="112" t="s">
        <v>614</v>
      </c>
      <c r="C446" s="34"/>
      <c r="D446" s="34"/>
      <c r="E446" s="34"/>
      <c r="F446" s="298" t="e">
        <f t="shared" si="165"/>
        <v>#DIV/0!</v>
      </c>
      <c r="G446" s="34"/>
      <c r="H446" s="223"/>
      <c r="I446" s="64"/>
      <c r="J446" s="64"/>
      <c r="K446" s="64"/>
      <c r="L446" s="64"/>
      <c r="M446" s="64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</row>
    <row r="447" spans="1:23" s="26" customFormat="1" ht="30" customHeight="1" x14ac:dyDescent="0.2">
      <c r="A447" s="106"/>
      <c r="B447" s="134" t="s">
        <v>648</v>
      </c>
      <c r="C447" s="28"/>
      <c r="D447" s="28"/>
      <c r="E447" s="28"/>
      <c r="F447" s="298" t="e">
        <f t="shared" si="165"/>
        <v>#DIV/0!</v>
      </c>
      <c r="G447" s="28"/>
      <c r="H447" s="225"/>
      <c r="I447" s="63"/>
      <c r="J447" s="63"/>
      <c r="K447" s="63"/>
      <c r="L447" s="63"/>
      <c r="M447" s="63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</row>
    <row r="448" spans="1:23" s="26" customFormat="1" ht="30" customHeight="1" x14ac:dyDescent="0.2">
      <c r="A448" s="106" t="s">
        <v>1890</v>
      </c>
      <c r="B448" s="109" t="s">
        <v>1469</v>
      </c>
      <c r="C448" s="49" t="s">
        <v>554</v>
      </c>
      <c r="D448" s="50">
        <v>1</v>
      </c>
      <c r="E448" s="51">
        <f t="shared" ref="E448:E453" si="171">G448/11</f>
        <v>69.088606137371173</v>
      </c>
      <c r="F448" s="298">
        <f t="shared" si="165"/>
        <v>1.4474166666666668E-2</v>
      </c>
      <c r="G448" s="65">
        <f t="shared" ref="G448:G453" si="172">K448</f>
        <v>759.97466751108288</v>
      </c>
      <c r="H448" s="79">
        <v>0.78949999999999998</v>
      </c>
      <c r="I448" s="71">
        <f t="shared" ref="I448:I453" si="173">M448/L448</f>
        <v>1.1000000000000001</v>
      </c>
      <c r="J448" s="23">
        <f t="shared" ref="J448:J453" si="174">11/K448</f>
        <v>1.4474166666666668E-2</v>
      </c>
      <c r="K448" s="65">
        <f t="shared" ref="K448:K453" si="175">M448/(H448*I448)</f>
        <v>759.97466751108288</v>
      </c>
      <c r="L448" s="21">
        <v>600</v>
      </c>
      <c r="M448" s="21">
        <v>660</v>
      </c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</row>
    <row r="449" spans="1:23" s="26" customFormat="1" ht="30" customHeight="1" x14ac:dyDescent="0.2">
      <c r="A449" s="106" t="s">
        <v>1891</v>
      </c>
      <c r="B449" s="109" t="s">
        <v>1470</v>
      </c>
      <c r="C449" s="49" t="s">
        <v>554</v>
      </c>
      <c r="D449" s="50">
        <v>1</v>
      </c>
      <c r="E449" s="51">
        <f t="shared" si="171"/>
        <v>81.900081900081886</v>
      </c>
      <c r="F449" s="298">
        <f t="shared" si="165"/>
        <v>1.2210000000000002E-2</v>
      </c>
      <c r="G449" s="65">
        <f t="shared" si="172"/>
        <v>900.90090090090075</v>
      </c>
      <c r="H449" s="79">
        <v>0.66600000000000004</v>
      </c>
      <c r="I449" s="71">
        <f t="shared" si="173"/>
        <v>1.1000000000000001</v>
      </c>
      <c r="J449" s="23">
        <f t="shared" si="174"/>
        <v>1.2210000000000002E-2</v>
      </c>
      <c r="K449" s="65">
        <f t="shared" si="175"/>
        <v>900.90090090090075</v>
      </c>
      <c r="L449" s="21">
        <v>600</v>
      </c>
      <c r="M449" s="21">
        <v>660</v>
      </c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</row>
    <row r="450" spans="1:23" s="26" customFormat="1" ht="30" customHeight="1" x14ac:dyDescent="0.2">
      <c r="A450" s="106" t="s">
        <v>1892</v>
      </c>
      <c r="B450" s="109" t="s">
        <v>1471</v>
      </c>
      <c r="C450" s="49" t="s">
        <v>554</v>
      </c>
      <c r="D450" s="22">
        <v>1</v>
      </c>
      <c r="E450" s="51">
        <f t="shared" si="171"/>
        <v>47.846889952153106</v>
      </c>
      <c r="F450" s="298">
        <f t="shared" si="165"/>
        <v>2.0900000000000002E-2</v>
      </c>
      <c r="G450" s="65">
        <f t="shared" si="172"/>
        <v>526.31578947368416</v>
      </c>
      <c r="H450" s="79">
        <v>1.1399999999999999</v>
      </c>
      <c r="I450" s="71">
        <f t="shared" si="173"/>
        <v>1.1000000000000001</v>
      </c>
      <c r="J450" s="23">
        <f t="shared" si="174"/>
        <v>2.0900000000000002E-2</v>
      </c>
      <c r="K450" s="65">
        <f t="shared" si="175"/>
        <v>526.31578947368416</v>
      </c>
      <c r="L450" s="21">
        <v>600</v>
      </c>
      <c r="M450" s="21">
        <v>660</v>
      </c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</row>
    <row r="451" spans="1:23" s="26" customFormat="1" ht="30" customHeight="1" x14ac:dyDescent="0.2">
      <c r="A451" s="106" t="s">
        <v>1893</v>
      </c>
      <c r="B451" s="109" t="s">
        <v>556</v>
      </c>
      <c r="C451" s="49" t="s">
        <v>132</v>
      </c>
      <c r="D451" s="50">
        <v>1</v>
      </c>
      <c r="E451" s="51">
        <f t="shared" si="171"/>
        <v>2.1818181818181817</v>
      </c>
      <c r="F451" s="298">
        <f t="shared" si="165"/>
        <v>0.45833333333333343</v>
      </c>
      <c r="G451" s="65">
        <f t="shared" si="172"/>
        <v>23.999999999999996</v>
      </c>
      <c r="H451" s="77">
        <v>25</v>
      </c>
      <c r="I451" s="71">
        <f t="shared" si="173"/>
        <v>1.1000000000000001</v>
      </c>
      <c r="J451" s="23">
        <f t="shared" si="174"/>
        <v>0.45833333333333343</v>
      </c>
      <c r="K451" s="65">
        <f t="shared" si="175"/>
        <v>23.999999999999996</v>
      </c>
      <c r="L451" s="21">
        <v>600</v>
      </c>
      <c r="M451" s="21">
        <v>660</v>
      </c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</row>
    <row r="452" spans="1:23" s="26" customFormat="1" ht="30" customHeight="1" x14ac:dyDescent="0.2">
      <c r="A452" s="106" t="s">
        <v>1894</v>
      </c>
      <c r="B452" s="109" t="s">
        <v>557</v>
      </c>
      <c r="C452" s="49" t="s">
        <v>132</v>
      </c>
      <c r="D452" s="22">
        <v>1</v>
      </c>
      <c r="E452" s="51">
        <f t="shared" si="171"/>
        <v>7.1999999999999975</v>
      </c>
      <c r="F452" s="298">
        <f t="shared" si="165"/>
        <v>0.13888888888888892</v>
      </c>
      <c r="G452" s="65">
        <f t="shared" si="172"/>
        <v>79.199999999999974</v>
      </c>
      <c r="H452" s="77">
        <v>7.575757575757577</v>
      </c>
      <c r="I452" s="71">
        <f t="shared" si="173"/>
        <v>1.1000000000000001</v>
      </c>
      <c r="J452" s="23">
        <f t="shared" si="174"/>
        <v>0.13888888888888892</v>
      </c>
      <c r="K452" s="65">
        <f t="shared" si="175"/>
        <v>79.199999999999974</v>
      </c>
      <c r="L452" s="21">
        <v>600</v>
      </c>
      <c r="M452" s="21">
        <v>660</v>
      </c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</row>
    <row r="453" spans="1:23" s="26" customFormat="1" ht="30" customHeight="1" x14ac:dyDescent="0.2">
      <c r="A453" s="106" t="s">
        <v>1895</v>
      </c>
      <c r="B453" s="109" t="s">
        <v>558</v>
      </c>
      <c r="C453" s="49" t="s">
        <v>132</v>
      </c>
      <c r="D453" s="50">
        <v>1</v>
      </c>
      <c r="E453" s="51">
        <f t="shared" si="171"/>
        <v>4.9090909090909074</v>
      </c>
      <c r="F453" s="298">
        <f t="shared" si="165"/>
        <v>0.20370370370370375</v>
      </c>
      <c r="G453" s="65">
        <f t="shared" si="172"/>
        <v>53.999999999999986</v>
      </c>
      <c r="H453" s="77">
        <v>11.111111111111112</v>
      </c>
      <c r="I453" s="71">
        <f t="shared" si="173"/>
        <v>1.1000000000000001</v>
      </c>
      <c r="J453" s="23">
        <f t="shared" si="174"/>
        <v>0.20370370370370375</v>
      </c>
      <c r="K453" s="65">
        <f t="shared" si="175"/>
        <v>53.999999999999986</v>
      </c>
      <c r="L453" s="21">
        <v>600</v>
      </c>
      <c r="M453" s="21">
        <v>660</v>
      </c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</row>
    <row r="454" spans="1:23" s="26" customFormat="1" ht="30" customHeight="1" x14ac:dyDescent="0.2">
      <c r="A454" s="106"/>
      <c r="B454" s="135" t="s">
        <v>551</v>
      </c>
      <c r="C454" s="39"/>
      <c r="D454" s="39"/>
      <c r="E454" s="39"/>
      <c r="F454" s="298" t="e">
        <f t="shared" si="165"/>
        <v>#DIV/0!</v>
      </c>
      <c r="G454" s="39"/>
      <c r="H454" s="225"/>
      <c r="I454" s="63"/>
      <c r="J454" s="63"/>
      <c r="K454" s="63"/>
      <c r="L454" s="63"/>
      <c r="M454" s="63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</row>
    <row r="455" spans="1:23" s="26" customFormat="1" ht="30" customHeight="1" x14ac:dyDescent="0.2">
      <c r="A455" s="106" t="s">
        <v>1896</v>
      </c>
      <c r="B455" s="136" t="s">
        <v>555</v>
      </c>
      <c r="C455" s="21" t="s">
        <v>552</v>
      </c>
      <c r="D455" s="50">
        <v>1</v>
      </c>
      <c r="E455" s="51">
        <f t="shared" ref="E455" si="176">G455/11</f>
        <v>2.8067796610169489</v>
      </c>
      <c r="F455" s="298">
        <f t="shared" si="165"/>
        <v>0.356280193236715</v>
      </c>
      <c r="G455" s="65">
        <f t="shared" ref="G455" si="177">L455/H455</f>
        <v>30.874576271186438</v>
      </c>
      <c r="H455" s="77">
        <v>19.433465085639</v>
      </c>
      <c r="I455" s="71">
        <f>M455/L455</f>
        <v>1.1000000000000001</v>
      </c>
      <c r="J455" s="23">
        <f>11/K455</f>
        <v>0.35628019323671506</v>
      </c>
      <c r="K455" s="65">
        <f>M455/(H455*I455)</f>
        <v>30.874576271186434</v>
      </c>
      <c r="L455" s="21">
        <v>600</v>
      </c>
      <c r="M455" s="21">
        <v>660</v>
      </c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</row>
    <row r="456" spans="1:23" s="26" customFormat="1" ht="30" customHeight="1" x14ac:dyDescent="0.2">
      <c r="A456" s="106" t="s">
        <v>1897</v>
      </c>
      <c r="B456" s="136" t="s">
        <v>553</v>
      </c>
      <c r="C456" s="21" t="s">
        <v>132</v>
      </c>
      <c r="D456" s="22">
        <v>1</v>
      </c>
      <c r="E456" s="51">
        <f t="shared" ref="E456" si="178">G456/11</f>
        <v>3.0508474576271185</v>
      </c>
      <c r="F456" s="298">
        <f t="shared" si="165"/>
        <v>0.32777777777777778</v>
      </c>
      <c r="G456" s="65">
        <f>L456/H456</f>
        <v>33.559322033898304</v>
      </c>
      <c r="H456" s="77">
        <v>17.878787878787879</v>
      </c>
      <c r="I456" s="71">
        <f>M456/L456</f>
        <v>1.1000000000000001</v>
      </c>
      <c r="J456" s="23">
        <f>11/K456</f>
        <v>0.32777777777777778</v>
      </c>
      <c r="K456" s="65">
        <f>M456/(H456*I456)</f>
        <v>33.559322033898304</v>
      </c>
      <c r="L456" s="21">
        <v>600</v>
      </c>
      <c r="M456" s="21">
        <v>660</v>
      </c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</row>
    <row r="457" spans="1:23" s="26" customFormat="1" ht="30" customHeight="1" x14ac:dyDescent="0.2">
      <c r="A457" s="106"/>
      <c r="B457" s="134" t="s">
        <v>615</v>
      </c>
      <c r="C457" s="28"/>
      <c r="D457" s="39"/>
      <c r="E457" s="39"/>
      <c r="F457" s="298" t="e">
        <f t="shared" si="165"/>
        <v>#DIV/0!</v>
      </c>
      <c r="G457" s="28"/>
      <c r="H457" s="225"/>
      <c r="I457" s="63"/>
      <c r="J457" s="63"/>
      <c r="K457" s="63"/>
      <c r="L457" s="63"/>
      <c r="M457" s="63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</row>
    <row r="458" spans="1:23" s="26" customFormat="1" ht="30" customHeight="1" x14ac:dyDescent="0.2">
      <c r="A458" s="106" t="s">
        <v>1898</v>
      </c>
      <c r="B458" s="128" t="s">
        <v>287</v>
      </c>
      <c r="C458" s="49" t="s">
        <v>132</v>
      </c>
      <c r="D458" s="22">
        <v>1</v>
      </c>
      <c r="E458" s="51">
        <f t="shared" ref="E458:E464" si="179">G458/11</f>
        <v>139.72881355932202</v>
      </c>
      <c r="F458" s="298">
        <f t="shared" si="165"/>
        <v>7.1567200388161093E-3</v>
      </c>
      <c r="G458" s="65">
        <f t="shared" ref="G458:G464" si="180">L458/H458</f>
        <v>1537.0169491525423</v>
      </c>
      <c r="H458" s="77">
        <v>0.39036654757178774</v>
      </c>
      <c r="I458" s="71">
        <f t="shared" ref="I458:I465" si="181">M458/L458</f>
        <v>1.1000000000000001</v>
      </c>
      <c r="J458" s="23">
        <f t="shared" ref="J458:J465" si="182">11/K458</f>
        <v>7.1567200388161093E-3</v>
      </c>
      <c r="K458" s="65">
        <f t="shared" ref="K458:K465" si="183">M458/(H458*I458)</f>
        <v>1537.0169491525423</v>
      </c>
      <c r="L458" s="21">
        <v>600</v>
      </c>
      <c r="M458" s="21">
        <v>660</v>
      </c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</row>
    <row r="459" spans="1:23" s="26" customFormat="1" ht="30" customHeight="1" x14ac:dyDescent="0.2">
      <c r="A459" s="106" t="s">
        <v>1899</v>
      </c>
      <c r="B459" s="128" t="s">
        <v>288</v>
      </c>
      <c r="C459" s="49" t="s">
        <v>132</v>
      </c>
      <c r="D459" s="50">
        <v>1</v>
      </c>
      <c r="E459" s="51">
        <f t="shared" si="179"/>
        <v>71.267796610169498</v>
      </c>
      <c r="F459" s="298">
        <f t="shared" si="165"/>
        <v>1.4031582952815827E-2</v>
      </c>
      <c r="G459" s="65">
        <f t="shared" si="180"/>
        <v>783.94576271186452</v>
      </c>
      <c r="H459" s="77">
        <v>0.76535907015359061</v>
      </c>
      <c r="I459" s="71">
        <f t="shared" si="181"/>
        <v>1.1000000000000001</v>
      </c>
      <c r="J459" s="23">
        <f t="shared" si="182"/>
        <v>1.4031582952815829E-2</v>
      </c>
      <c r="K459" s="65">
        <f t="shared" si="183"/>
        <v>783.9457627118644</v>
      </c>
      <c r="L459" s="21">
        <v>600</v>
      </c>
      <c r="M459" s="21">
        <v>660</v>
      </c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</row>
    <row r="460" spans="1:23" s="26" customFormat="1" ht="30" customHeight="1" x14ac:dyDescent="0.2">
      <c r="A460" s="106" t="s">
        <v>1900</v>
      </c>
      <c r="B460" s="128" t="s">
        <v>289</v>
      </c>
      <c r="C460" s="49" t="s">
        <v>132</v>
      </c>
      <c r="D460" s="22">
        <v>1</v>
      </c>
      <c r="E460" s="51">
        <f t="shared" si="179"/>
        <v>154.86101694915257</v>
      </c>
      <c r="F460" s="298">
        <f t="shared" si="165"/>
        <v>6.4574030295070474E-3</v>
      </c>
      <c r="G460" s="65">
        <f t="shared" si="180"/>
        <v>1703.4711864406781</v>
      </c>
      <c r="H460" s="77">
        <v>0.35222198342765715</v>
      </c>
      <c r="I460" s="71">
        <f t="shared" si="181"/>
        <v>1.1000000000000001</v>
      </c>
      <c r="J460" s="23">
        <f t="shared" si="182"/>
        <v>6.4574030295070474E-3</v>
      </c>
      <c r="K460" s="65">
        <f t="shared" si="183"/>
        <v>1703.4711864406781</v>
      </c>
      <c r="L460" s="21">
        <v>600</v>
      </c>
      <c r="M460" s="21">
        <v>660</v>
      </c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</row>
    <row r="461" spans="1:23" s="26" customFormat="1" ht="30" customHeight="1" x14ac:dyDescent="0.2">
      <c r="A461" s="106" t="s">
        <v>1901</v>
      </c>
      <c r="B461" s="128" t="s">
        <v>290</v>
      </c>
      <c r="C461" s="49" t="s">
        <v>132</v>
      </c>
      <c r="D461" s="50">
        <v>1</v>
      </c>
      <c r="E461" s="51">
        <f t="shared" si="179"/>
        <v>77.491525423728817</v>
      </c>
      <c r="F461" s="298">
        <f t="shared" si="165"/>
        <v>1.2904636920384951E-2</v>
      </c>
      <c r="G461" s="65">
        <f t="shared" si="180"/>
        <v>852.40677966101703</v>
      </c>
      <c r="H461" s="77">
        <v>0.70388928656645189</v>
      </c>
      <c r="I461" s="71">
        <f t="shared" si="181"/>
        <v>1.1000000000000001</v>
      </c>
      <c r="J461" s="23">
        <f t="shared" si="182"/>
        <v>1.2904636920384953E-2</v>
      </c>
      <c r="K461" s="65">
        <f t="shared" si="183"/>
        <v>852.40677966101691</v>
      </c>
      <c r="L461" s="21">
        <v>600</v>
      </c>
      <c r="M461" s="21">
        <v>660</v>
      </c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</row>
    <row r="462" spans="1:23" s="26" customFormat="1" ht="30" customHeight="1" x14ac:dyDescent="0.2">
      <c r="A462" s="106" t="s">
        <v>1902</v>
      </c>
      <c r="B462" s="128" t="s">
        <v>291</v>
      </c>
      <c r="C462" s="49" t="s">
        <v>132</v>
      </c>
      <c r="D462" s="22">
        <v>1</v>
      </c>
      <c r="E462" s="51">
        <f t="shared" si="179"/>
        <v>116.17627118644069</v>
      </c>
      <c r="F462" s="298">
        <f t="shared" si="165"/>
        <v>8.6076097105508859E-3</v>
      </c>
      <c r="G462" s="65">
        <f t="shared" si="180"/>
        <v>1277.9389830508476</v>
      </c>
      <c r="H462" s="77">
        <v>0.46950598421186651</v>
      </c>
      <c r="I462" s="71">
        <f t="shared" si="181"/>
        <v>1.1000000000000001</v>
      </c>
      <c r="J462" s="23">
        <f t="shared" si="182"/>
        <v>8.6076097105508859E-3</v>
      </c>
      <c r="K462" s="65">
        <f t="shared" si="183"/>
        <v>1277.9389830508476</v>
      </c>
      <c r="L462" s="21">
        <v>600</v>
      </c>
      <c r="M462" s="21">
        <v>660</v>
      </c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</row>
    <row r="463" spans="1:23" s="26" customFormat="1" ht="30" customHeight="1" x14ac:dyDescent="0.2">
      <c r="A463" s="106" t="s">
        <v>1903</v>
      </c>
      <c r="B463" s="128" t="s">
        <v>292</v>
      </c>
      <c r="C463" s="49" t="s">
        <v>132</v>
      </c>
      <c r="D463" s="50">
        <v>1</v>
      </c>
      <c r="E463" s="51">
        <f t="shared" si="179"/>
        <v>58.088135593220343</v>
      </c>
      <c r="F463" s="298">
        <f t="shared" si="165"/>
        <v>1.7215219421101772E-2</v>
      </c>
      <c r="G463" s="65">
        <f t="shared" si="180"/>
        <v>638.96949152542379</v>
      </c>
      <c r="H463" s="77">
        <v>0.93901196842373302</v>
      </c>
      <c r="I463" s="71">
        <f t="shared" si="181"/>
        <v>1.1000000000000001</v>
      </c>
      <c r="J463" s="23">
        <f t="shared" si="182"/>
        <v>1.7215219421101772E-2</v>
      </c>
      <c r="K463" s="65">
        <f t="shared" si="183"/>
        <v>638.96949152542379</v>
      </c>
      <c r="L463" s="21">
        <v>600</v>
      </c>
      <c r="M463" s="21">
        <v>660</v>
      </c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</row>
    <row r="464" spans="1:23" s="26" customFormat="1" ht="30" customHeight="1" x14ac:dyDescent="0.2">
      <c r="A464" s="106" t="s">
        <v>1904</v>
      </c>
      <c r="B464" s="128" t="s">
        <v>293</v>
      </c>
      <c r="C464" s="49" t="s">
        <v>132</v>
      </c>
      <c r="D464" s="22">
        <v>1</v>
      </c>
      <c r="E464" s="51">
        <f t="shared" si="179"/>
        <v>106.53559322033898</v>
      </c>
      <c r="F464" s="298">
        <f t="shared" si="165"/>
        <v>9.3865343006236477E-3</v>
      </c>
      <c r="G464" s="65">
        <f t="shared" si="180"/>
        <v>1171.8915254237288</v>
      </c>
      <c r="H464" s="77">
        <v>0.51199278003401716</v>
      </c>
      <c r="I464" s="71">
        <f t="shared" si="181"/>
        <v>1.1000000000000001</v>
      </c>
      <c r="J464" s="23">
        <f t="shared" si="182"/>
        <v>9.3865343006236477E-3</v>
      </c>
      <c r="K464" s="65">
        <f t="shared" si="183"/>
        <v>1171.8915254237288</v>
      </c>
      <c r="L464" s="21">
        <v>600</v>
      </c>
      <c r="M464" s="21">
        <v>660</v>
      </c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</row>
    <row r="465" spans="1:23" s="26" customFormat="1" ht="30" customHeight="1" x14ac:dyDescent="0.2">
      <c r="A465" s="106" t="s">
        <v>1905</v>
      </c>
      <c r="B465" s="128" t="s">
        <v>294</v>
      </c>
      <c r="C465" s="49" t="s">
        <v>132</v>
      </c>
      <c r="D465" s="50">
        <v>1</v>
      </c>
      <c r="E465" s="51">
        <f t="shared" ref="E465" si="184">G465/11</f>
        <v>53.328813559322036</v>
      </c>
      <c r="F465" s="298">
        <f t="shared" si="165"/>
        <v>1.8751589117721842E-2</v>
      </c>
      <c r="G465" s="65">
        <f t="shared" ref="G465" si="185">L465/H465</f>
        <v>586.61694915254236</v>
      </c>
      <c r="H465" s="77">
        <v>1.0228139518757369</v>
      </c>
      <c r="I465" s="71">
        <f t="shared" si="181"/>
        <v>1.1000000000000001</v>
      </c>
      <c r="J465" s="23">
        <f t="shared" si="182"/>
        <v>1.8751589117721845E-2</v>
      </c>
      <c r="K465" s="65">
        <f t="shared" si="183"/>
        <v>586.61694915254225</v>
      </c>
      <c r="L465" s="21">
        <v>600</v>
      </c>
      <c r="M465" s="21">
        <v>660</v>
      </c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</row>
    <row r="466" spans="1:23" s="26" customFormat="1" ht="30" customHeight="1" x14ac:dyDescent="0.2">
      <c r="A466" s="106"/>
      <c r="B466" s="75" t="s">
        <v>93</v>
      </c>
      <c r="C466" s="33"/>
      <c r="D466" s="33"/>
      <c r="E466" s="33"/>
      <c r="F466" s="298" t="e">
        <f t="shared" si="165"/>
        <v>#DIV/0!</v>
      </c>
      <c r="G466" s="33"/>
      <c r="H466" s="226"/>
      <c r="I466" s="64"/>
      <c r="J466" s="64"/>
      <c r="K466" s="64"/>
      <c r="L466" s="64"/>
      <c r="M466" s="64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</row>
    <row r="467" spans="1:23" s="26" customFormat="1" ht="30" customHeight="1" x14ac:dyDescent="0.2">
      <c r="A467" s="106" t="s">
        <v>1906</v>
      </c>
      <c r="B467" s="137" t="s">
        <v>94</v>
      </c>
      <c r="C467" s="60" t="s">
        <v>19</v>
      </c>
      <c r="D467" s="50">
        <v>1</v>
      </c>
      <c r="E467" s="51">
        <f t="shared" ref="E467:E477" si="186">G467/11</f>
        <v>136.9220338983051</v>
      </c>
      <c r="F467" s="298">
        <f t="shared" si="165"/>
        <v>7.3034264210734791E-3</v>
      </c>
      <c r="G467" s="65">
        <f t="shared" ref="G467:G477" si="187">L467/H467</f>
        <v>1506.1423728813561</v>
      </c>
      <c r="H467" s="77">
        <v>0.39836871387673523</v>
      </c>
      <c r="I467" s="71">
        <f t="shared" ref="I467:I478" si="188">M467/L467</f>
        <v>1.1000000000000001</v>
      </c>
      <c r="J467" s="23">
        <f t="shared" ref="J467:J478" si="189">11/K467</f>
        <v>7.3034264210734799E-3</v>
      </c>
      <c r="K467" s="65">
        <f t="shared" ref="K467:K478" si="190">M467/(H467*I467)</f>
        <v>1506.1423728813559</v>
      </c>
      <c r="L467" s="21">
        <v>600</v>
      </c>
      <c r="M467" s="21">
        <v>660</v>
      </c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</row>
    <row r="468" spans="1:23" s="26" customFormat="1" ht="30" customHeight="1" x14ac:dyDescent="0.2">
      <c r="A468" s="106" t="s">
        <v>1907</v>
      </c>
      <c r="B468" s="125" t="s">
        <v>95</v>
      </c>
      <c r="C468" s="60" t="s">
        <v>19</v>
      </c>
      <c r="D468" s="22">
        <v>1</v>
      </c>
      <c r="E468" s="51">
        <f t="shared" si="186"/>
        <v>82.616949152542375</v>
      </c>
      <c r="F468" s="298">
        <f t="shared" si="165"/>
        <v>1.2104053832266534E-2</v>
      </c>
      <c r="G468" s="65">
        <f t="shared" si="187"/>
        <v>908.7864406779662</v>
      </c>
      <c r="H468" s="77">
        <v>0.66022111812362916</v>
      </c>
      <c r="I468" s="71">
        <f t="shared" si="188"/>
        <v>1.1000000000000001</v>
      </c>
      <c r="J468" s="23">
        <f t="shared" si="189"/>
        <v>1.2104053832266535E-2</v>
      </c>
      <c r="K468" s="65">
        <f t="shared" si="190"/>
        <v>908.78644067796608</v>
      </c>
      <c r="L468" s="21">
        <v>600</v>
      </c>
      <c r="M468" s="21">
        <v>660</v>
      </c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</row>
    <row r="469" spans="1:23" s="26" customFormat="1" ht="30" customHeight="1" x14ac:dyDescent="0.2">
      <c r="A469" s="106" t="s">
        <v>1908</v>
      </c>
      <c r="B469" s="137" t="s">
        <v>96</v>
      </c>
      <c r="C469" s="60" t="s">
        <v>19</v>
      </c>
      <c r="D469" s="50">
        <v>1</v>
      </c>
      <c r="E469" s="51">
        <f t="shared" si="186"/>
        <v>46.861016949152535</v>
      </c>
      <c r="F469" s="298">
        <f t="shared" si="165"/>
        <v>2.1339699074074077E-2</v>
      </c>
      <c r="G469" s="65">
        <f t="shared" si="187"/>
        <v>515.47118644067791</v>
      </c>
      <c r="H469" s="77">
        <v>1.1639835858585859</v>
      </c>
      <c r="I469" s="71">
        <f t="shared" si="188"/>
        <v>1.1000000000000001</v>
      </c>
      <c r="J469" s="23">
        <f t="shared" si="189"/>
        <v>2.1339699074074077E-2</v>
      </c>
      <c r="K469" s="65">
        <f t="shared" si="190"/>
        <v>515.47118644067791</v>
      </c>
      <c r="L469" s="21">
        <v>600</v>
      </c>
      <c r="M469" s="21">
        <v>660</v>
      </c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</row>
    <row r="470" spans="1:23" s="26" customFormat="1" ht="30" customHeight="1" x14ac:dyDescent="0.2">
      <c r="A470" s="106" t="s">
        <v>1909</v>
      </c>
      <c r="B470" s="137" t="s">
        <v>97</v>
      </c>
      <c r="C470" s="60" t="s">
        <v>19</v>
      </c>
      <c r="D470" s="22">
        <v>1</v>
      </c>
      <c r="E470" s="51">
        <f t="shared" si="186"/>
        <v>35.511864406779665</v>
      </c>
      <c r="F470" s="298">
        <f t="shared" si="165"/>
        <v>2.8159602901870941E-2</v>
      </c>
      <c r="G470" s="65">
        <f t="shared" si="187"/>
        <v>390.63050847457629</v>
      </c>
      <c r="H470" s="77">
        <v>1.5359783401020515</v>
      </c>
      <c r="I470" s="71">
        <f t="shared" si="188"/>
        <v>1.1000000000000001</v>
      </c>
      <c r="J470" s="23">
        <f t="shared" si="189"/>
        <v>2.8159602901870945E-2</v>
      </c>
      <c r="K470" s="65">
        <f t="shared" si="190"/>
        <v>390.63050847457623</v>
      </c>
      <c r="L470" s="21">
        <v>600</v>
      </c>
      <c r="M470" s="21">
        <v>660</v>
      </c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</row>
    <row r="471" spans="1:23" s="26" customFormat="1" ht="30" customHeight="1" x14ac:dyDescent="0.2">
      <c r="A471" s="106" t="s">
        <v>1910</v>
      </c>
      <c r="B471" s="137" t="s">
        <v>114</v>
      </c>
      <c r="C471" s="60" t="s">
        <v>19</v>
      </c>
      <c r="D471" s="50">
        <v>1</v>
      </c>
      <c r="E471" s="51">
        <f t="shared" si="186"/>
        <v>172.67796610169492</v>
      </c>
      <c r="F471" s="298">
        <f t="shared" si="165"/>
        <v>5.791126815861798E-3</v>
      </c>
      <c r="G471" s="65">
        <f t="shared" si="187"/>
        <v>1899.4576271186443</v>
      </c>
      <c r="H471" s="77">
        <v>0.31587964450155259</v>
      </c>
      <c r="I471" s="71">
        <f t="shared" si="188"/>
        <v>1.1000000000000001</v>
      </c>
      <c r="J471" s="23">
        <f t="shared" si="189"/>
        <v>5.791126815861798E-3</v>
      </c>
      <c r="K471" s="65">
        <f t="shared" si="190"/>
        <v>1899.4576271186443</v>
      </c>
      <c r="L471" s="21">
        <v>600</v>
      </c>
      <c r="M471" s="21">
        <v>660</v>
      </c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</row>
    <row r="472" spans="1:23" s="26" customFormat="1" ht="30" customHeight="1" x14ac:dyDescent="0.2">
      <c r="A472" s="106" t="s">
        <v>1911</v>
      </c>
      <c r="B472" s="137" t="s">
        <v>115</v>
      </c>
      <c r="C472" s="60" t="s">
        <v>19</v>
      </c>
      <c r="D472" s="22">
        <v>1</v>
      </c>
      <c r="E472" s="51">
        <f t="shared" si="186"/>
        <v>93.233898305084765</v>
      </c>
      <c r="F472" s="298">
        <f t="shared" si="165"/>
        <v>1.0725712623618381E-2</v>
      </c>
      <c r="G472" s="65">
        <f t="shared" si="187"/>
        <v>1025.5728813559324</v>
      </c>
      <c r="H472" s="77">
        <v>0.58503887037918445</v>
      </c>
      <c r="I472" s="71">
        <f t="shared" si="188"/>
        <v>1.1000000000000001</v>
      </c>
      <c r="J472" s="23">
        <f t="shared" si="189"/>
        <v>1.0725712623618383E-2</v>
      </c>
      <c r="K472" s="65">
        <f t="shared" si="190"/>
        <v>1025.5728813559322</v>
      </c>
      <c r="L472" s="21">
        <v>600</v>
      </c>
      <c r="M472" s="21">
        <v>660</v>
      </c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</row>
    <row r="473" spans="1:23" s="26" customFormat="1" ht="30" customHeight="1" x14ac:dyDescent="0.2">
      <c r="A473" s="106" t="s">
        <v>1912</v>
      </c>
      <c r="B473" s="137" t="s">
        <v>116</v>
      </c>
      <c r="C473" s="60" t="s">
        <v>19</v>
      </c>
      <c r="D473" s="50">
        <v>1</v>
      </c>
      <c r="E473" s="51">
        <f t="shared" si="186"/>
        <v>52.962711864406785</v>
      </c>
      <c r="F473" s="298">
        <f t="shared" si="165"/>
        <v>1.8881208397337427E-2</v>
      </c>
      <c r="G473" s="65">
        <f t="shared" si="187"/>
        <v>582.58983050847462</v>
      </c>
      <c r="H473" s="77">
        <v>1.0298840944002234</v>
      </c>
      <c r="I473" s="71">
        <f t="shared" si="188"/>
        <v>1.1000000000000001</v>
      </c>
      <c r="J473" s="23">
        <f t="shared" si="189"/>
        <v>1.888120839733743E-2</v>
      </c>
      <c r="K473" s="65">
        <f t="shared" si="190"/>
        <v>582.58983050847451</v>
      </c>
      <c r="L473" s="21">
        <v>600</v>
      </c>
      <c r="M473" s="21">
        <v>660</v>
      </c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</row>
    <row r="474" spans="1:23" s="26" customFormat="1" ht="30" customHeight="1" x14ac:dyDescent="0.2">
      <c r="A474" s="106" t="s">
        <v>1913</v>
      </c>
      <c r="B474" s="137" t="s">
        <v>117</v>
      </c>
      <c r="C474" s="60" t="s">
        <v>19</v>
      </c>
      <c r="D474" s="22">
        <v>1</v>
      </c>
      <c r="E474" s="51">
        <f t="shared" si="186"/>
        <v>40.027118644067791</v>
      </c>
      <c r="F474" s="298">
        <f t="shared" si="165"/>
        <v>2.498306233062331E-2</v>
      </c>
      <c r="G474" s="65">
        <f t="shared" si="187"/>
        <v>440.29830508474572</v>
      </c>
      <c r="H474" s="77">
        <v>1.3627124907612713</v>
      </c>
      <c r="I474" s="71">
        <f t="shared" si="188"/>
        <v>1.1000000000000001</v>
      </c>
      <c r="J474" s="23">
        <f t="shared" si="189"/>
        <v>2.498306233062331E-2</v>
      </c>
      <c r="K474" s="65">
        <f t="shared" si="190"/>
        <v>440.29830508474566</v>
      </c>
      <c r="L474" s="21">
        <v>600</v>
      </c>
      <c r="M474" s="21">
        <v>660</v>
      </c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</row>
    <row r="475" spans="1:23" s="26" customFormat="1" ht="30" customHeight="1" x14ac:dyDescent="0.2">
      <c r="A475" s="106" t="s">
        <v>1914</v>
      </c>
      <c r="B475" s="137" t="s">
        <v>98</v>
      </c>
      <c r="C475" s="60" t="s">
        <v>19</v>
      </c>
      <c r="D475" s="50">
        <v>1</v>
      </c>
      <c r="E475" s="51">
        <f t="shared" si="186"/>
        <v>352.92203389830507</v>
      </c>
      <c r="F475" s="298">
        <f t="shared" si="165"/>
        <v>2.8334870139849395E-3</v>
      </c>
      <c r="G475" s="65">
        <f t="shared" si="187"/>
        <v>3882.1423728813556</v>
      </c>
      <c r="H475" s="77">
        <v>0.15455383712645124</v>
      </c>
      <c r="I475" s="71">
        <f t="shared" si="188"/>
        <v>1.1000000000000001</v>
      </c>
      <c r="J475" s="23">
        <f t="shared" si="189"/>
        <v>2.8334870139849395E-3</v>
      </c>
      <c r="K475" s="65">
        <f t="shared" si="190"/>
        <v>3882.1423728813556</v>
      </c>
      <c r="L475" s="21">
        <v>600</v>
      </c>
      <c r="M475" s="21">
        <v>660</v>
      </c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</row>
    <row r="476" spans="1:23" s="26" customFormat="1" ht="30" customHeight="1" x14ac:dyDescent="0.2">
      <c r="A476" s="106" t="s">
        <v>1915</v>
      </c>
      <c r="B476" s="137" t="s">
        <v>99</v>
      </c>
      <c r="C476" s="60" t="s">
        <v>19</v>
      </c>
      <c r="D476" s="22">
        <v>1</v>
      </c>
      <c r="E476" s="51">
        <f t="shared" si="186"/>
        <v>224.90847457627117</v>
      </c>
      <c r="F476" s="298">
        <f t="shared" si="165"/>
        <v>4.4462530897690965E-3</v>
      </c>
      <c r="G476" s="65">
        <f t="shared" si="187"/>
        <v>2473.9932203389831</v>
      </c>
      <c r="H476" s="77">
        <v>0.24252289580558706</v>
      </c>
      <c r="I476" s="71">
        <f t="shared" si="188"/>
        <v>1.1000000000000001</v>
      </c>
      <c r="J476" s="23">
        <f t="shared" si="189"/>
        <v>4.4462530897690974E-3</v>
      </c>
      <c r="K476" s="65">
        <f t="shared" si="190"/>
        <v>2473.9932203389826</v>
      </c>
      <c r="L476" s="21">
        <v>600</v>
      </c>
      <c r="M476" s="21">
        <v>660</v>
      </c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</row>
    <row r="477" spans="1:23" s="26" customFormat="1" ht="30" customHeight="1" x14ac:dyDescent="0.2">
      <c r="A477" s="106" t="s">
        <v>1916</v>
      </c>
      <c r="B477" s="137" t="s">
        <v>100</v>
      </c>
      <c r="C477" s="60" t="s">
        <v>19</v>
      </c>
      <c r="D477" s="50">
        <v>1</v>
      </c>
      <c r="E477" s="51">
        <f t="shared" si="186"/>
        <v>142.535593220339</v>
      </c>
      <c r="F477" s="298">
        <f t="shared" si="165"/>
        <v>7.0157914764079135E-3</v>
      </c>
      <c r="G477" s="65">
        <f t="shared" si="187"/>
        <v>1567.891525423729</v>
      </c>
      <c r="H477" s="77">
        <v>0.38267953507679531</v>
      </c>
      <c r="I477" s="71">
        <f t="shared" si="188"/>
        <v>1.1000000000000001</v>
      </c>
      <c r="J477" s="23">
        <f t="shared" si="189"/>
        <v>7.0157914764079144E-3</v>
      </c>
      <c r="K477" s="65">
        <f t="shared" si="190"/>
        <v>1567.8915254237288</v>
      </c>
      <c r="L477" s="21">
        <v>600</v>
      </c>
      <c r="M477" s="21">
        <v>660</v>
      </c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</row>
    <row r="478" spans="1:23" s="26" customFormat="1" ht="30" customHeight="1" x14ac:dyDescent="0.2">
      <c r="A478" s="106" t="s">
        <v>1917</v>
      </c>
      <c r="B478" s="137" t="s">
        <v>101</v>
      </c>
      <c r="C478" s="60" t="s">
        <v>19</v>
      </c>
      <c r="D478" s="22">
        <v>1</v>
      </c>
      <c r="E478" s="51">
        <f t="shared" ref="E478" si="191">G478/11</f>
        <v>108.48813559322033</v>
      </c>
      <c r="F478" s="298">
        <f t="shared" si="165"/>
        <v>9.2175978002749653E-3</v>
      </c>
      <c r="G478" s="65">
        <f t="shared" ref="G478" si="192">L478/H478</f>
        <v>1193.3694915254237</v>
      </c>
      <c r="H478" s="77">
        <v>0.50277806183317997</v>
      </c>
      <c r="I478" s="71">
        <f t="shared" si="188"/>
        <v>1.1000000000000001</v>
      </c>
      <c r="J478" s="23">
        <f t="shared" si="189"/>
        <v>9.2175978002749653E-3</v>
      </c>
      <c r="K478" s="65">
        <f t="shared" si="190"/>
        <v>1193.3694915254237</v>
      </c>
      <c r="L478" s="21">
        <v>600</v>
      </c>
      <c r="M478" s="21">
        <v>660</v>
      </c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</row>
    <row r="479" spans="1:23" s="26" customFormat="1" ht="30" customHeight="1" x14ac:dyDescent="0.2">
      <c r="A479" s="106"/>
      <c r="B479" s="138" t="s">
        <v>649</v>
      </c>
      <c r="C479" s="40"/>
      <c r="D479" s="40"/>
      <c r="E479" s="40"/>
      <c r="F479" s="298" t="e">
        <f t="shared" si="165"/>
        <v>#DIV/0!</v>
      </c>
      <c r="G479" s="40"/>
      <c r="H479" s="229"/>
      <c r="I479" s="63"/>
      <c r="J479" s="63"/>
      <c r="K479" s="63"/>
      <c r="L479" s="63"/>
      <c r="M479" s="63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</row>
    <row r="480" spans="1:23" s="26" customFormat="1" ht="30" customHeight="1" x14ac:dyDescent="0.2">
      <c r="A480" s="106" t="s">
        <v>1918</v>
      </c>
      <c r="B480" s="137" t="s">
        <v>103</v>
      </c>
      <c r="C480" s="60" t="s">
        <v>19</v>
      </c>
      <c r="D480" s="22">
        <v>1</v>
      </c>
      <c r="E480" s="51">
        <f t="shared" ref="E480:E482" si="193">G480/11</f>
        <v>26.969491525423731</v>
      </c>
      <c r="F480" s="298">
        <f t="shared" si="165"/>
        <v>3.7078934137757667E-2</v>
      </c>
      <c r="G480" s="65">
        <f t="shared" ref="G480:G482" si="194">L480/H480</f>
        <v>296.66440677966102</v>
      </c>
      <c r="H480" s="77">
        <v>2.0224873166049635</v>
      </c>
      <c r="I480" s="71">
        <f>M480/L480</f>
        <v>1.1000000000000001</v>
      </c>
      <c r="J480" s="23">
        <f>11/K480</f>
        <v>3.7078934137757667E-2</v>
      </c>
      <c r="K480" s="65">
        <f>M480/(H480*I480)</f>
        <v>296.66440677966102</v>
      </c>
      <c r="L480" s="21">
        <v>600</v>
      </c>
      <c r="M480" s="21">
        <v>660</v>
      </c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</row>
    <row r="481" spans="1:23" s="26" customFormat="1" ht="30" customHeight="1" x14ac:dyDescent="0.2">
      <c r="A481" s="106" t="s">
        <v>1919</v>
      </c>
      <c r="B481" s="125" t="s">
        <v>104</v>
      </c>
      <c r="C481" s="60" t="s">
        <v>19</v>
      </c>
      <c r="D481" s="50">
        <v>1</v>
      </c>
      <c r="E481" s="51">
        <f t="shared" si="193"/>
        <v>23.186440677966104</v>
      </c>
      <c r="F481" s="298">
        <f t="shared" si="165"/>
        <v>4.3128654970760232E-2</v>
      </c>
      <c r="G481" s="65">
        <f t="shared" si="194"/>
        <v>255.05084745762713</v>
      </c>
      <c r="H481" s="77">
        <v>2.3524720893141944</v>
      </c>
      <c r="I481" s="71">
        <f>M481/L481</f>
        <v>1.1000000000000001</v>
      </c>
      <c r="J481" s="23">
        <f>11/K481</f>
        <v>4.3128654970760232E-2</v>
      </c>
      <c r="K481" s="65">
        <f>M481/(H481*I481)</f>
        <v>255.05084745762713</v>
      </c>
      <c r="L481" s="21">
        <v>600</v>
      </c>
      <c r="M481" s="21">
        <v>660</v>
      </c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</row>
    <row r="482" spans="1:23" s="26" customFormat="1" ht="30" customHeight="1" x14ac:dyDescent="0.2">
      <c r="A482" s="106" t="s">
        <v>1920</v>
      </c>
      <c r="B482" s="137" t="s">
        <v>673</v>
      </c>
      <c r="C482" s="60" t="s">
        <v>19</v>
      </c>
      <c r="D482" s="22">
        <v>1</v>
      </c>
      <c r="E482" s="51">
        <f t="shared" si="193"/>
        <v>21.96610169491526</v>
      </c>
      <c r="F482" s="298">
        <f t="shared" si="165"/>
        <v>4.5524691358024678E-2</v>
      </c>
      <c r="G482" s="65">
        <f t="shared" si="194"/>
        <v>241.62711864406785</v>
      </c>
      <c r="H482" s="77">
        <v>2.4831649831649827</v>
      </c>
      <c r="I482" s="71">
        <f>M482/L482</f>
        <v>1.1000000000000001</v>
      </c>
      <c r="J482" s="23">
        <f>11/K482</f>
        <v>4.5524691358024678E-2</v>
      </c>
      <c r="K482" s="65">
        <f>M482/(H482*I482)</f>
        <v>241.62711864406785</v>
      </c>
      <c r="L482" s="21">
        <v>600</v>
      </c>
      <c r="M482" s="21">
        <v>660</v>
      </c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</row>
    <row r="483" spans="1:23" s="26" customFormat="1" ht="30" customHeight="1" x14ac:dyDescent="0.2">
      <c r="A483" s="106" t="s">
        <v>1921</v>
      </c>
      <c r="B483" s="137" t="s">
        <v>650</v>
      </c>
      <c r="C483" s="60" t="s">
        <v>19</v>
      </c>
      <c r="D483" s="50">
        <v>1</v>
      </c>
      <c r="E483" s="51">
        <f t="shared" ref="E483" si="195">G483/11</f>
        <v>68.583050847457628</v>
      </c>
      <c r="F483" s="298">
        <f t="shared" si="165"/>
        <v>1.4580862000790826E-2</v>
      </c>
      <c r="G483" s="65">
        <f t="shared" ref="G483" si="196">L483/H483</f>
        <v>754.41355932203396</v>
      </c>
      <c r="H483" s="77">
        <v>0.79531974549768136</v>
      </c>
      <c r="I483" s="71">
        <f>M483/L483</f>
        <v>1.1000000000000001</v>
      </c>
      <c r="J483" s="23">
        <f>11/K483</f>
        <v>1.4580862000790827E-2</v>
      </c>
      <c r="K483" s="65">
        <f>M483/(H483*I483)</f>
        <v>754.41355932203385</v>
      </c>
      <c r="L483" s="21">
        <v>600</v>
      </c>
      <c r="M483" s="21">
        <v>660</v>
      </c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</row>
    <row r="484" spans="1:23" s="26" customFormat="1" ht="30" customHeight="1" x14ac:dyDescent="0.2">
      <c r="A484" s="106"/>
      <c r="B484" s="139" t="s">
        <v>478</v>
      </c>
      <c r="C484" s="41"/>
      <c r="D484" s="41"/>
      <c r="E484" s="41"/>
      <c r="F484" s="298" t="e">
        <f t="shared" si="165"/>
        <v>#DIV/0!</v>
      </c>
      <c r="G484" s="41"/>
      <c r="H484" s="230"/>
      <c r="I484" s="64"/>
      <c r="J484" s="64"/>
      <c r="K484" s="64"/>
      <c r="L484" s="64"/>
      <c r="M484" s="64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</row>
    <row r="485" spans="1:23" s="26" customFormat="1" ht="30" customHeight="1" x14ac:dyDescent="0.2">
      <c r="A485" s="106"/>
      <c r="B485" s="140" t="s">
        <v>463</v>
      </c>
      <c r="C485" s="42"/>
      <c r="D485" s="42"/>
      <c r="E485" s="42"/>
      <c r="F485" s="298" t="e">
        <f t="shared" si="165"/>
        <v>#DIV/0!</v>
      </c>
      <c r="G485" s="42"/>
      <c r="H485" s="231"/>
      <c r="I485" s="63"/>
      <c r="J485" s="63"/>
      <c r="K485" s="63"/>
      <c r="L485" s="63"/>
      <c r="M485" s="63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</row>
    <row r="486" spans="1:23" s="26" customFormat="1" ht="30" customHeight="1" x14ac:dyDescent="0.2">
      <c r="A486" s="106" t="s">
        <v>1922</v>
      </c>
      <c r="B486" s="128" t="s">
        <v>761</v>
      </c>
      <c r="C486" s="61" t="s">
        <v>19</v>
      </c>
      <c r="D486" s="22">
        <v>1</v>
      </c>
      <c r="E486" s="51">
        <f t="shared" ref="E486:E502" si="197">G486/11</f>
        <v>212.29378531073459</v>
      </c>
      <c r="F486" s="298">
        <f t="shared" si="165"/>
        <v>4.7104534809452817E-3</v>
      </c>
      <c r="G486" s="65">
        <f t="shared" ref="G486:G502" si="198">L486/H486</f>
        <v>2335.2316384180804</v>
      </c>
      <c r="H486" s="79">
        <v>0.25693382623337901</v>
      </c>
      <c r="I486" s="71">
        <f t="shared" ref="I486:I503" si="199">M486/L486</f>
        <v>1.1000000000000001</v>
      </c>
      <c r="J486" s="23">
        <f t="shared" ref="J486:J503" si="200">11/K486</f>
        <v>4.7104534809452826E-3</v>
      </c>
      <c r="K486" s="65">
        <f t="shared" ref="K486:K503" si="201">M486/(H486*I486)</f>
        <v>2335.2316384180799</v>
      </c>
      <c r="L486" s="21">
        <v>600</v>
      </c>
      <c r="M486" s="21">
        <v>660</v>
      </c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</row>
    <row r="487" spans="1:23" s="26" customFormat="1" ht="30" customHeight="1" x14ac:dyDescent="0.2">
      <c r="A487" s="106" t="s">
        <v>1923</v>
      </c>
      <c r="B487" s="128" t="s">
        <v>762</v>
      </c>
      <c r="C487" s="61" t="s">
        <v>19</v>
      </c>
      <c r="D487" s="50">
        <v>1</v>
      </c>
      <c r="E487" s="51">
        <f t="shared" si="197"/>
        <v>181.9661016949153</v>
      </c>
      <c r="F487" s="298">
        <f t="shared" si="165"/>
        <v>5.495529061102831E-3</v>
      </c>
      <c r="G487" s="65">
        <f t="shared" si="198"/>
        <v>2001.6271186440681</v>
      </c>
      <c r="H487" s="79">
        <v>0.29975613060560896</v>
      </c>
      <c r="I487" s="71">
        <f t="shared" si="199"/>
        <v>1.1000000000000001</v>
      </c>
      <c r="J487" s="23">
        <f t="shared" si="200"/>
        <v>5.495529061102831E-3</v>
      </c>
      <c r="K487" s="65">
        <f t="shared" si="201"/>
        <v>2001.6271186440681</v>
      </c>
      <c r="L487" s="21">
        <v>600</v>
      </c>
      <c r="M487" s="21">
        <v>660</v>
      </c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</row>
    <row r="488" spans="1:23" s="26" customFormat="1" ht="30" customHeight="1" x14ac:dyDescent="0.2">
      <c r="A488" s="106" t="s">
        <v>1924</v>
      </c>
      <c r="B488" s="128" t="s">
        <v>763</v>
      </c>
      <c r="C488" s="61" t="s">
        <v>19</v>
      </c>
      <c r="D488" s="22">
        <v>1</v>
      </c>
      <c r="E488" s="51">
        <f t="shared" si="197"/>
        <v>166.80225988700565</v>
      </c>
      <c r="F488" s="298">
        <f t="shared" si="165"/>
        <v>5.9951226121121807E-3</v>
      </c>
      <c r="G488" s="65">
        <f t="shared" si="198"/>
        <v>1834.824858757062</v>
      </c>
      <c r="H488" s="79">
        <v>0.32700668793339166</v>
      </c>
      <c r="I488" s="71">
        <f t="shared" si="199"/>
        <v>1.1000000000000001</v>
      </c>
      <c r="J488" s="23">
        <f t="shared" si="200"/>
        <v>5.9951226121121816E-3</v>
      </c>
      <c r="K488" s="65">
        <f t="shared" si="201"/>
        <v>1834.8248587570617</v>
      </c>
      <c r="L488" s="21">
        <v>600</v>
      </c>
      <c r="M488" s="21">
        <v>660</v>
      </c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</row>
    <row r="489" spans="1:23" s="26" customFormat="1" ht="30" customHeight="1" x14ac:dyDescent="0.2">
      <c r="A489" s="106" t="s">
        <v>1925</v>
      </c>
      <c r="B489" s="128" t="s">
        <v>764</v>
      </c>
      <c r="C489" s="61" t="s">
        <v>19</v>
      </c>
      <c r="D489" s="50">
        <v>1</v>
      </c>
      <c r="E489" s="51">
        <f t="shared" si="197"/>
        <v>154.67118644067796</v>
      </c>
      <c r="F489" s="298">
        <f t="shared" si="165"/>
        <v>6.4653283071798026E-3</v>
      </c>
      <c r="G489" s="65">
        <f t="shared" si="198"/>
        <v>1701.3830508474575</v>
      </c>
      <c r="H489" s="79">
        <v>0.35265427130071647</v>
      </c>
      <c r="I489" s="71">
        <f t="shared" si="199"/>
        <v>1.1000000000000001</v>
      </c>
      <c r="J489" s="23">
        <f t="shared" si="200"/>
        <v>6.4653283071798035E-3</v>
      </c>
      <c r="K489" s="65">
        <f t="shared" si="201"/>
        <v>1701.3830508474573</v>
      </c>
      <c r="L489" s="21">
        <v>600</v>
      </c>
      <c r="M489" s="21">
        <v>660</v>
      </c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</row>
    <row r="490" spans="1:23" s="26" customFormat="1" ht="30" customHeight="1" x14ac:dyDescent="0.2">
      <c r="A490" s="106" t="s">
        <v>1926</v>
      </c>
      <c r="B490" s="128" t="s">
        <v>765</v>
      </c>
      <c r="C490" s="61" t="s">
        <v>19</v>
      </c>
      <c r="D490" s="22">
        <v>1</v>
      </c>
      <c r="E490" s="51">
        <f t="shared" si="197"/>
        <v>144.05649717514123</v>
      </c>
      <c r="F490" s="298">
        <f t="shared" si="165"/>
        <v>6.9417209192877876E-3</v>
      </c>
      <c r="G490" s="65">
        <f t="shared" si="198"/>
        <v>1584.6214689265537</v>
      </c>
      <c r="H490" s="79">
        <v>0.37863932287024293</v>
      </c>
      <c r="I490" s="71">
        <f t="shared" si="199"/>
        <v>1.1000000000000001</v>
      </c>
      <c r="J490" s="23">
        <f t="shared" si="200"/>
        <v>6.9417209192877884E-3</v>
      </c>
      <c r="K490" s="65">
        <f t="shared" si="201"/>
        <v>1584.6214689265535</v>
      </c>
      <c r="L490" s="21">
        <v>600</v>
      </c>
      <c r="M490" s="21">
        <v>660</v>
      </c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</row>
    <row r="491" spans="1:23" s="26" customFormat="1" ht="30" customHeight="1" x14ac:dyDescent="0.2">
      <c r="A491" s="106" t="s">
        <v>1927</v>
      </c>
      <c r="B491" s="128" t="s">
        <v>766</v>
      </c>
      <c r="C491" s="61" t="s">
        <v>19</v>
      </c>
      <c r="D491" s="50">
        <v>1</v>
      </c>
      <c r="E491" s="51">
        <f t="shared" si="197"/>
        <v>128.89265536723167</v>
      </c>
      <c r="F491" s="298">
        <f t="shared" si="165"/>
        <v>7.7583939686157602E-3</v>
      </c>
      <c r="G491" s="65">
        <f t="shared" si="198"/>
        <v>1417.8192090395485</v>
      </c>
      <c r="H491" s="79">
        <v>0.42318512556085963</v>
      </c>
      <c r="I491" s="71">
        <f t="shared" si="199"/>
        <v>1.1000000000000001</v>
      </c>
      <c r="J491" s="23">
        <f t="shared" si="200"/>
        <v>7.7583939686157602E-3</v>
      </c>
      <c r="K491" s="65">
        <f t="shared" si="201"/>
        <v>1417.8192090395485</v>
      </c>
      <c r="L491" s="21">
        <v>600</v>
      </c>
      <c r="M491" s="21">
        <v>660</v>
      </c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</row>
    <row r="492" spans="1:23" s="26" customFormat="1" ht="30" customHeight="1" x14ac:dyDescent="0.2">
      <c r="A492" s="106" t="s">
        <v>1928</v>
      </c>
      <c r="B492" s="128" t="s">
        <v>767</v>
      </c>
      <c r="C492" s="61" t="s">
        <v>19</v>
      </c>
      <c r="D492" s="22">
        <v>1</v>
      </c>
      <c r="E492" s="51">
        <f t="shared" si="197"/>
        <v>106.1468926553673</v>
      </c>
      <c r="F492" s="298">
        <f t="shared" si="165"/>
        <v>9.4209069618905635E-3</v>
      </c>
      <c r="G492" s="65">
        <f t="shared" si="198"/>
        <v>1167.6158192090402</v>
      </c>
      <c r="H492" s="79">
        <v>0.51386765246675803</v>
      </c>
      <c r="I492" s="71">
        <f t="shared" si="199"/>
        <v>1.1000000000000001</v>
      </c>
      <c r="J492" s="23">
        <f t="shared" si="200"/>
        <v>9.4209069618905652E-3</v>
      </c>
      <c r="K492" s="65">
        <f t="shared" si="201"/>
        <v>1167.61581920904</v>
      </c>
      <c r="L492" s="21">
        <v>600</v>
      </c>
      <c r="M492" s="21">
        <v>660</v>
      </c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</row>
    <row r="493" spans="1:23" s="26" customFormat="1" ht="30" customHeight="1" x14ac:dyDescent="0.2">
      <c r="A493" s="106" t="s">
        <v>1929</v>
      </c>
      <c r="B493" s="128" t="s">
        <v>768</v>
      </c>
      <c r="C493" s="61" t="s">
        <v>19</v>
      </c>
      <c r="D493" s="50">
        <v>1</v>
      </c>
      <c r="E493" s="51">
        <f t="shared" si="197"/>
        <v>98.564971751412443</v>
      </c>
      <c r="F493" s="298">
        <f t="shared" si="165"/>
        <v>1.0145592112805225E-2</v>
      </c>
      <c r="G493" s="65">
        <f t="shared" si="198"/>
        <v>1084.2146892655369</v>
      </c>
      <c r="H493" s="79">
        <v>0.55339593342573956</v>
      </c>
      <c r="I493" s="71">
        <f t="shared" si="199"/>
        <v>1.1000000000000001</v>
      </c>
      <c r="J493" s="23">
        <f t="shared" si="200"/>
        <v>1.0145592112805225E-2</v>
      </c>
      <c r="K493" s="65">
        <f t="shared" si="201"/>
        <v>1084.2146892655369</v>
      </c>
      <c r="L493" s="21">
        <v>600</v>
      </c>
      <c r="M493" s="21">
        <v>660</v>
      </c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</row>
    <row r="494" spans="1:23" s="26" customFormat="1" ht="30" customHeight="1" x14ac:dyDescent="0.2">
      <c r="A494" s="106" t="s">
        <v>1930</v>
      </c>
      <c r="B494" s="128" t="s">
        <v>769</v>
      </c>
      <c r="C494" s="61" t="s">
        <v>19</v>
      </c>
      <c r="D494" s="22">
        <v>1</v>
      </c>
      <c r="E494" s="51">
        <f t="shared" si="197"/>
        <v>90.983050847457648</v>
      </c>
      <c r="F494" s="298">
        <f t="shared" si="165"/>
        <v>1.0991058122205662E-2</v>
      </c>
      <c r="G494" s="65">
        <f t="shared" si="198"/>
        <v>1000.8135593220341</v>
      </c>
      <c r="H494" s="79">
        <v>0.59951226121121792</v>
      </c>
      <c r="I494" s="71">
        <f t="shared" si="199"/>
        <v>1.1000000000000001</v>
      </c>
      <c r="J494" s="23">
        <f t="shared" si="200"/>
        <v>1.0991058122205662E-2</v>
      </c>
      <c r="K494" s="65">
        <f t="shared" si="201"/>
        <v>1000.8135593220341</v>
      </c>
      <c r="L494" s="21">
        <v>600</v>
      </c>
      <c r="M494" s="21">
        <v>660</v>
      </c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</row>
    <row r="495" spans="1:23" s="26" customFormat="1" ht="30" customHeight="1" x14ac:dyDescent="0.2">
      <c r="A495" s="106" t="s">
        <v>1931</v>
      </c>
      <c r="B495" s="128" t="s">
        <v>457</v>
      </c>
      <c r="C495" s="61" t="s">
        <v>19</v>
      </c>
      <c r="D495" s="50">
        <v>1</v>
      </c>
      <c r="E495" s="51">
        <f t="shared" si="197"/>
        <v>242.62146892655375</v>
      </c>
      <c r="F495" s="298">
        <f t="shared" si="165"/>
        <v>4.1216467958271226E-3</v>
      </c>
      <c r="G495" s="65">
        <f t="shared" si="198"/>
        <v>2668.8361581920913</v>
      </c>
      <c r="H495" s="79">
        <v>0.22481709795420668</v>
      </c>
      <c r="I495" s="71">
        <f t="shared" si="199"/>
        <v>1.1000000000000001</v>
      </c>
      <c r="J495" s="23">
        <f t="shared" si="200"/>
        <v>4.1216467958271235E-3</v>
      </c>
      <c r="K495" s="65">
        <f t="shared" si="201"/>
        <v>2668.8361581920908</v>
      </c>
      <c r="L495" s="21">
        <v>600</v>
      </c>
      <c r="M495" s="21">
        <v>660</v>
      </c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</row>
    <row r="496" spans="1:23" s="26" customFormat="1" ht="30" customHeight="1" x14ac:dyDescent="0.2">
      <c r="A496" s="106" t="s">
        <v>1932</v>
      </c>
      <c r="B496" s="128" t="s">
        <v>458</v>
      </c>
      <c r="C496" s="61" t="s">
        <v>19</v>
      </c>
      <c r="D496" s="22">
        <v>1</v>
      </c>
      <c r="E496" s="51">
        <f t="shared" si="197"/>
        <v>197.12994350282489</v>
      </c>
      <c r="F496" s="298">
        <f t="shared" si="165"/>
        <v>5.0727960564026127E-3</v>
      </c>
      <c r="G496" s="65">
        <f t="shared" si="198"/>
        <v>2168.4293785310738</v>
      </c>
      <c r="H496" s="79">
        <v>0.27669796671286978</v>
      </c>
      <c r="I496" s="71">
        <f t="shared" si="199"/>
        <v>1.1000000000000001</v>
      </c>
      <c r="J496" s="23">
        <f t="shared" si="200"/>
        <v>5.0727960564026127E-3</v>
      </c>
      <c r="K496" s="65">
        <f t="shared" si="201"/>
        <v>2168.4293785310738</v>
      </c>
      <c r="L496" s="21">
        <v>600</v>
      </c>
      <c r="M496" s="21">
        <v>660</v>
      </c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</row>
    <row r="497" spans="1:23" s="26" customFormat="1" ht="26.25" customHeight="1" x14ac:dyDescent="0.2">
      <c r="A497" s="106" t="s">
        <v>1933</v>
      </c>
      <c r="B497" s="128" t="s">
        <v>459</v>
      </c>
      <c r="C497" s="61" t="s">
        <v>19</v>
      </c>
      <c r="D497" s="50">
        <v>1</v>
      </c>
      <c r="E497" s="51">
        <f t="shared" si="197"/>
        <v>174.38418079096044</v>
      </c>
      <c r="F497" s="298">
        <f t="shared" si="165"/>
        <v>5.734465107237738E-3</v>
      </c>
      <c r="G497" s="65">
        <f t="shared" si="198"/>
        <v>1918.2259887005648</v>
      </c>
      <c r="H497" s="79">
        <v>0.31278900584933117</v>
      </c>
      <c r="I497" s="71">
        <f t="shared" si="199"/>
        <v>1.1000000000000001</v>
      </c>
      <c r="J497" s="23">
        <f t="shared" si="200"/>
        <v>5.7344651072377389E-3</v>
      </c>
      <c r="K497" s="65">
        <f t="shared" si="201"/>
        <v>1918.2259887005646</v>
      </c>
      <c r="L497" s="21">
        <v>600</v>
      </c>
      <c r="M497" s="21">
        <v>660</v>
      </c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</row>
    <row r="498" spans="1:23" s="26" customFormat="1" ht="30" customHeight="1" x14ac:dyDescent="0.2">
      <c r="A498" s="106" t="s">
        <v>1934</v>
      </c>
      <c r="B498" s="128" t="s">
        <v>460</v>
      </c>
      <c r="C498" s="61" t="s">
        <v>19</v>
      </c>
      <c r="D498" s="22">
        <v>1</v>
      </c>
      <c r="E498" s="51">
        <f t="shared" si="197"/>
        <v>139.50734463276839</v>
      </c>
      <c r="F498" s="298">
        <f t="shared" si="165"/>
        <v>7.1680813840471697E-3</v>
      </c>
      <c r="G498" s="65">
        <f t="shared" si="198"/>
        <v>1534.5807909604523</v>
      </c>
      <c r="H498" s="79">
        <v>0.39098625731166381</v>
      </c>
      <c r="I498" s="71">
        <f t="shared" si="199"/>
        <v>1.1000000000000001</v>
      </c>
      <c r="J498" s="23">
        <f t="shared" si="200"/>
        <v>7.1680813840471697E-3</v>
      </c>
      <c r="K498" s="65">
        <f t="shared" si="201"/>
        <v>1534.5807909604523</v>
      </c>
      <c r="L498" s="21">
        <v>600</v>
      </c>
      <c r="M498" s="21">
        <v>660</v>
      </c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</row>
    <row r="499" spans="1:23" s="26" customFormat="1" ht="30" customHeight="1" x14ac:dyDescent="0.2">
      <c r="A499" s="106" t="s">
        <v>1935</v>
      </c>
      <c r="B499" s="128" t="s">
        <v>461</v>
      </c>
      <c r="C499" s="61" t="s">
        <v>19</v>
      </c>
      <c r="D499" s="50">
        <v>1</v>
      </c>
      <c r="E499" s="51">
        <f t="shared" si="197"/>
        <v>106.1468926553673</v>
      </c>
      <c r="F499" s="298">
        <f t="shared" ref="F499:F562" si="202">11/G499</f>
        <v>9.4209069618905635E-3</v>
      </c>
      <c r="G499" s="65">
        <f t="shared" si="198"/>
        <v>1167.6158192090402</v>
      </c>
      <c r="H499" s="79">
        <v>0.51386765246675803</v>
      </c>
      <c r="I499" s="71">
        <f t="shared" si="199"/>
        <v>1.1000000000000001</v>
      </c>
      <c r="J499" s="23">
        <f t="shared" si="200"/>
        <v>9.4209069618905652E-3</v>
      </c>
      <c r="K499" s="65">
        <f t="shared" si="201"/>
        <v>1167.61581920904</v>
      </c>
      <c r="L499" s="21">
        <v>600</v>
      </c>
      <c r="M499" s="21">
        <v>660</v>
      </c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</row>
    <row r="500" spans="1:23" s="26" customFormat="1" ht="30" customHeight="1" x14ac:dyDescent="0.2">
      <c r="A500" s="106" t="s">
        <v>1936</v>
      </c>
      <c r="B500" s="128" t="s">
        <v>462</v>
      </c>
      <c r="C500" s="61" t="s">
        <v>19</v>
      </c>
      <c r="D500" s="22">
        <v>1</v>
      </c>
      <c r="E500" s="51">
        <f t="shared" si="197"/>
        <v>87.950282485875718</v>
      </c>
      <c r="F500" s="298">
        <f t="shared" si="202"/>
        <v>1.137006012641965E-2</v>
      </c>
      <c r="G500" s="65">
        <f t="shared" si="198"/>
        <v>967.45310734463283</v>
      </c>
      <c r="H500" s="79">
        <v>0.62018509780470821</v>
      </c>
      <c r="I500" s="71">
        <f t="shared" si="199"/>
        <v>1.1000000000000001</v>
      </c>
      <c r="J500" s="23">
        <f t="shared" si="200"/>
        <v>1.137006012641965E-2</v>
      </c>
      <c r="K500" s="65">
        <f t="shared" si="201"/>
        <v>967.45310734463283</v>
      </c>
      <c r="L500" s="21">
        <v>600</v>
      </c>
      <c r="M500" s="21">
        <v>660</v>
      </c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</row>
    <row r="501" spans="1:23" s="26" customFormat="1" ht="30" customHeight="1" x14ac:dyDescent="0.2">
      <c r="A501" s="106" t="s">
        <v>1937</v>
      </c>
      <c r="B501" s="128" t="s">
        <v>456</v>
      </c>
      <c r="C501" s="61" t="s">
        <v>19</v>
      </c>
      <c r="D501" s="50">
        <v>1</v>
      </c>
      <c r="E501" s="51">
        <f t="shared" si="197"/>
        <v>75.819209039548014</v>
      </c>
      <c r="F501" s="298">
        <f t="shared" si="202"/>
        <v>1.3189269746646798E-2</v>
      </c>
      <c r="G501" s="65">
        <f t="shared" si="198"/>
        <v>834.01129943502815</v>
      </c>
      <c r="H501" s="79">
        <v>0.71941471345346164</v>
      </c>
      <c r="I501" s="71">
        <f t="shared" si="199"/>
        <v>1.1000000000000001</v>
      </c>
      <c r="J501" s="23">
        <f t="shared" si="200"/>
        <v>1.3189269746646798E-2</v>
      </c>
      <c r="K501" s="65">
        <f t="shared" si="201"/>
        <v>834.01129943502815</v>
      </c>
      <c r="L501" s="21">
        <v>600</v>
      </c>
      <c r="M501" s="21">
        <v>660</v>
      </c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</row>
    <row r="502" spans="1:23" s="26" customFormat="1" ht="30" customHeight="1" x14ac:dyDescent="0.2">
      <c r="A502" s="106" t="s">
        <v>1938</v>
      </c>
      <c r="B502" s="128" t="s">
        <v>454</v>
      </c>
      <c r="C502" s="61" t="s">
        <v>19</v>
      </c>
      <c r="D502" s="22">
        <v>1</v>
      </c>
      <c r="E502" s="51">
        <f t="shared" si="197"/>
        <v>68.237288135593232</v>
      </c>
      <c r="F502" s="298">
        <f t="shared" si="202"/>
        <v>1.4654744162940882E-2</v>
      </c>
      <c r="G502" s="65">
        <f t="shared" si="198"/>
        <v>750.61016949152554</v>
      </c>
      <c r="H502" s="79">
        <v>0.79934968161495723</v>
      </c>
      <c r="I502" s="71">
        <f t="shared" si="199"/>
        <v>1.1000000000000001</v>
      </c>
      <c r="J502" s="23">
        <f t="shared" si="200"/>
        <v>1.4654744162940884E-2</v>
      </c>
      <c r="K502" s="65">
        <f t="shared" si="201"/>
        <v>750.61016949152543</v>
      </c>
      <c r="L502" s="21">
        <v>600</v>
      </c>
      <c r="M502" s="21">
        <v>660</v>
      </c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</row>
    <row r="503" spans="1:23" s="26" customFormat="1" ht="30" customHeight="1" x14ac:dyDescent="0.2">
      <c r="A503" s="106" t="s">
        <v>1939</v>
      </c>
      <c r="B503" s="128" t="s">
        <v>455</v>
      </c>
      <c r="C503" s="61" t="s">
        <v>19</v>
      </c>
      <c r="D503" s="50">
        <v>1</v>
      </c>
      <c r="E503" s="51">
        <f>G503/11</f>
        <v>60.655367231638436</v>
      </c>
      <c r="F503" s="298">
        <f t="shared" si="202"/>
        <v>1.648658718330849E-2</v>
      </c>
      <c r="G503" s="65">
        <f>L503/H503</f>
        <v>667.20903954802282</v>
      </c>
      <c r="H503" s="79">
        <v>0.89926839181682672</v>
      </c>
      <c r="I503" s="71">
        <f t="shared" si="199"/>
        <v>1.1000000000000001</v>
      </c>
      <c r="J503" s="23">
        <f t="shared" si="200"/>
        <v>1.6486587183308494E-2</v>
      </c>
      <c r="K503" s="65">
        <f t="shared" si="201"/>
        <v>667.2090395480227</v>
      </c>
      <c r="L503" s="21">
        <v>600</v>
      </c>
      <c r="M503" s="21">
        <v>660</v>
      </c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</row>
    <row r="504" spans="1:23" s="26" customFormat="1" ht="30" customHeight="1" x14ac:dyDescent="0.2">
      <c r="A504" s="106"/>
      <c r="B504" s="141" t="s">
        <v>2994</v>
      </c>
      <c r="C504" s="36"/>
      <c r="D504" s="36"/>
      <c r="E504" s="36"/>
      <c r="F504" s="298" t="e">
        <f t="shared" si="202"/>
        <v>#DIV/0!</v>
      </c>
      <c r="G504" s="36"/>
      <c r="H504" s="223"/>
      <c r="I504" s="64"/>
      <c r="J504" s="64"/>
      <c r="K504" s="64"/>
      <c r="L504" s="64"/>
      <c r="M504" s="64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</row>
    <row r="505" spans="1:23" s="26" customFormat="1" ht="30" customHeight="1" x14ac:dyDescent="0.2">
      <c r="A505" s="218" t="s">
        <v>1940</v>
      </c>
      <c r="B505" s="126" t="s">
        <v>318</v>
      </c>
      <c r="C505" s="21" t="s">
        <v>1</v>
      </c>
      <c r="D505" s="50">
        <v>1</v>
      </c>
      <c r="E505" s="51">
        <f>G505/11</f>
        <v>4.5454545454545459</v>
      </c>
      <c r="F505" s="298">
        <f t="shared" si="202"/>
        <v>0.22</v>
      </c>
      <c r="G505" s="65">
        <f>L505/H505</f>
        <v>50</v>
      </c>
      <c r="H505" s="77">
        <v>12</v>
      </c>
      <c r="I505" s="71">
        <f t="shared" ref="I505" si="203">M505/L505</f>
        <v>1.1000000000000001</v>
      </c>
      <c r="J505" s="23">
        <f t="shared" ref="J505" si="204">11/K505</f>
        <v>0.22000000000000003</v>
      </c>
      <c r="K505" s="65">
        <f t="shared" ref="K505" si="205">M505/(H505*I505)</f>
        <v>49.999999999999993</v>
      </c>
      <c r="L505" s="21">
        <v>600</v>
      </c>
      <c r="M505" s="21">
        <v>660</v>
      </c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</row>
    <row r="506" spans="1:23" s="26" customFormat="1" ht="30" customHeight="1" x14ac:dyDescent="0.2">
      <c r="A506" s="218" t="s">
        <v>1941</v>
      </c>
      <c r="B506" s="126" t="s">
        <v>2996</v>
      </c>
      <c r="C506" s="21" t="s">
        <v>1</v>
      </c>
      <c r="D506" s="50">
        <v>1</v>
      </c>
      <c r="E506" s="51">
        <f t="shared" ref="E506" si="206">G506/11</f>
        <v>5.4545454545454541</v>
      </c>
      <c r="F506" s="298">
        <f t="shared" si="202"/>
        <v>0.18333333333333332</v>
      </c>
      <c r="G506" s="65">
        <f>L506/H506</f>
        <v>60</v>
      </c>
      <c r="H506" s="77">
        <v>10</v>
      </c>
      <c r="I506" s="71">
        <f t="shared" ref="I506" si="207">M506/L506</f>
        <v>1.1000000000000001</v>
      </c>
      <c r="J506" s="23">
        <f t="shared" ref="J506" si="208">11/K506</f>
        <v>0.18333333333333332</v>
      </c>
      <c r="K506" s="65">
        <f t="shared" ref="K506" si="209">M506/(H506*I506)</f>
        <v>60</v>
      </c>
      <c r="L506" s="21">
        <v>600</v>
      </c>
      <c r="M506" s="21">
        <v>660</v>
      </c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</row>
    <row r="507" spans="1:23" s="26" customFormat="1" ht="30" customHeight="1" x14ac:dyDescent="0.2">
      <c r="A507" s="106"/>
      <c r="B507" s="140" t="s">
        <v>3564</v>
      </c>
      <c r="C507" s="38"/>
      <c r="D507" s="38"/>
      <c r="E507" s="38"/>
      <c r="F507" s="298" t="e">
        <f t="shared" si="202"/>
        <v>#DIV/0!</v>
      </c>
      <c r="G507" s="38"/>
      <c r="H507" s="224"/>
      <c r="I507" s="64"/>
      <c r="J507" s="64"/>
      <c r="K507" s="64"/>
      <c r="L507" s="21">
        <v>600</v>
      </c>
      <c r="M507" s="21">
        <v>660</v>
      </c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</row>
    <row r="508" spans="1:23" s="26" customFormat="1" ht="30" customHeight="1" x14ac:dyDescent="0.2">
      <c r="A508" s="217" t="s">
        <v>1942</v>
      </c>
      <c r="B508" s="125" t="s">
        <v>3054</v>
      </c>
      <c r="C508" s="21" t="s">
        <v>1</v>
      </c>
      <c r="D508" s="50">
        <v>1</v>
      </c>
      <c r="E508" s="51">
        <f>G508/11</f>
        <v>66.844919786096256</v>
      </c>
      <c r="F508" s="298">
        <f t="shared" si="202"/>
        <v>1.4960000000000001E-2</v>
      </c>
      <c r="G508" s="65">
        <f>L508/H508</f>
        <v>735.29411764705878</v>
      </c>
      <c r="H508" s="77">
        <v>0.81600000000000006</v>
      </c>
      <c r="I508" s="64"/>
      <c r="J508" s="64"/>
      <c r="K508" s="64"/>
      <c r="L508" s="21">
        <v>600</v>
      </c>
      <c r="M508" s="21">
        <v>660</v>
      </c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</row>
    <row r="509" spans="1:23" s="26" customFormat="1" ht="30" customHeight="1" x14ac:dyDescent="0.2">
      <c r="A509" s="217" t="s">
        <v>1943</v>
      </c>
      <c r="B509" s="125" t="s">
        <v>3055</v>
      </c>
      <c r="C509" s="21" t="s">
        <v>1</v>
      </c>
      <c r="D509" s="50">
        <v>1</v>
      </c>
      <c r="E509" s="51">
        <f t="shared" ref="E509" si="210">G509/11</f>
        <v>47.274618257457568</v>
      </c>
      <c r="F509" s="298">
        <f t="shared" si="202"/>
        <v>2.1153000000000002E-2</v>
      </c>
      <c r="G509" s="65">
        <f t="shared" ref="G509" si="211">L509/H509</f>
        <v>520.02080083203327</v>
      </c>
      <c r="H509" s="77">
        <v>1.1537999999999999</v>
      </c>
      <c r="I509" s="64"/>
      <c r="J509" s="64"/>
      <c r="K509" s="64"/>
      <c r="L509" s="21">
        <v>600</v>
      </c>
      <c r="M509" s="21">
        <v>660</v>
      </c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</row>
    <row r="510" spans="1:23" s="26" customFormat="1" ht="30" customHeight="1" x14ac:dyDescent="0.2">
      <c r="A510" s="217" t="s">
        <v>1944</v>
      </c>
      <c r="B510" s="125" t="s">
        <v>3056</v>
      </c>
      <c r="C510" s="21" t="s">
        <v>1</v>
      </c>
      <c r="D510" s="50">
        <v>1</v>
      </c>
      <c r="E510" s="51">
        <f t="shared" ref="E510:E529" si="212">G510/11</f>
        <v>59.511057154419291</v>
      </c>
      <c r="F510" s="298">
        <f t="shared" si="202"/>
        <v>1.6803599999999998E-2</v>
      </c>
      <c r="G510" s="65">
        <f t="shared" ref="G510:G529" si="213">L510/H510</f>
        <v>654.6216286986122</v>
      </c>
      <c r="H510" s="77">
        <v>0.91656000000000004</v>
      </c>
      <c r="I510" s="64"/>
      <c r="J510" s="64"/>
      <c r="K510" s="64"/>
      <c r="L510" s="21">
        <v>600</v>
      </c>
      <c r="M510" s="21">
        <v>660</v>
      </c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</row>
    <row r="511" spans="1:23" s="26" customFormat="1" ht="30" customHeight="1" x14ac:dyDescent="0.2">
      <c r="A511" s="217" t="s">
        <v>1945</v>
      </c>
      <c r="B511" s="125" t="s">
        <v>3057</v>
      </c>
      <c r="C511" s="21" t="s">
        <v>1</v>
      </c>
      <c r="D511" s="50">
        <v>1</v>
      </c>
      <c r="E511" s="51">
        <f t="shared" si="212"/>
        <v>42.087542087542083</v>
      </c>
      <c r="F511" s="298">
        <f t="shared" si="202"/>
        <v>2.376E-2</v>
      </c>
      <c r="G511" s="65">
        <f t="shared" si="213"/>
        <v>462.96296296296293</v>
      </c>
      <c r="H511" s="77">
        <v>1.296</v>
      </c>
      <c r="I511" s="64"/>
      <c r="J511" s="64"/>
      <c r="K511" s="64"/>
      <c r="L511" s="21">
        <v>600</v>
      </c>
      <c r="M511" s="21">
        <v>660</v>
      </c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</row>
    <row r="512" spans="1:23" s="26" customFormat="1" ht="30" customHeight="1" x14ac:dyDescent="0.2">
      <c r="A512" s="217" t="s">
        <v>1946</v>
      </c>
      <c r="B512" s="125" t="s">
        <v>3007</v>
      </c>
      <c r="C512" s="21" t="s">
        <v>1</v>
      </c>
      <c r="D512" s="50">
        <v>1</v>
      </c>
      <c r="E512" s="51">
        <f t="shared" si="212"/>
        <v>67.699459532648063</v>
      </c>
      <c r="F512" s="298">
        <f t="shared" si="202"/>
        <v>1.4771166666666665E-2</v>
      </c>
      <c r="G512" s="65">
        <f t="shared" si="213"/>
        <v>744.69405485912876</v>
      </c>
      <c r="H512" s="216">
        <v>0.80569999999999997</v>
      </c>
      <c r="I512" s="64"/>
      <c r="J512" s="64"/>
      <c r="K512" s="64"/>
      <c r="L512" s="21">
        <v>600</v>
      </c>
      <c r="M512" s="21">
        <v>660</v>
      </c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</row>
    <row r="513" spans="1:23" s="26" customFormat="1" ht="30" customHeight="1" x14ac:dyDescent="0.2">
      <c r="A513" s="217" t="s">
        <v>1947</v>
      </c>
      <c r="B513" s="125" t="s">
        <v>3036</v>
      </c>
      <c r="C513" s="21" t="s">
        <v>1</v>
      </c>
      <c r="D513" s="50">
        <v>1</v>
      </c>
      <c r="E513" s="51">
        <f t="shared" si="212"/>
        <v>47.880490296220636</v>
      </c>
      <c r="F513" s="298">
        <f t="shared" si="202"/>
        <v>2.0885333333333332E-2</v>
      </c>
      <c r="G513" s="65">
        <f t="shared" si="213"/>
        <v>526.68539325842698</v>
      </c>
      <c r="H513" s="216">
        <v>1.1392</v>
      </c>
      <c r="I513" s="64"/>
      <c r="J513" s="64"/>
      <c r="K513" s="64"/>
      <c r="L513" s="21">
        <v>600</v>
      </c>
      <c r="M513" s="21">
        <v>660</v>
      </c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</row>
    <row r="514" spans="1:23" s="26" customFormat="1" ht="30" customHeight="1" x14ac:dyDescent="0.2">
      <c r="A514" s="217" t="s">
        <v>1948</v>
      </c>
      <c r="B514" s="125" t="s">
        <v>3058</v>
      </c>
      <c r="C514" s="21" t="s">
        <v>1</v>
      </c>
      <c r="D514" s="50">
        <v>1</v>
      </c>
      <c r="E514" s="51">
        <f t="shared" si="212"/>
        <v>54.983120182104102</v>
      </c>
      <c r="F514" s="298">
        <f t="shared" si="202"/>
        <v>1.8187399999999999E-2</v>
      </c>
      <c r="G514" s="65">
        <f t="shared" si="213"/>
        <v>604.81432200314509</v>
      </c>
      <c r="H514" s="77">
        <v>0.99203999999999992</v>
      </c>
      <c r="I514" s="64"/>
      <c r="J514" s="64"/>
      <c r="K514" s="64"/>
      <c r="L514" s="21">
        <v>600</v>
      </c>
      <c r="M514" s="21">
        <v>660</v>
      </c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</row>
    <row r="515" spans="1:23" s="26" customFormat="1" ht="30" customHeight="1" x14ac:dyDescent="0.2">
      <c r="A515" s="217" t="s">
        <v>1949</v>
      </c>
      <c r="B515" s="125" t="s">
        <v>3059</v>
      </c>
      <c r="C515" s="21" t="s">
        <v>1</v>
      </c>
      <c r="D515" s="50">
        <v>1</v>
      </c>
      <c r="E515" s="51">
        <f t="shared" si="212"/>
        <v>38.889925953580985</v>
      </c>
      <c r="F515" s="298">
        <f t="shared" si="202"/>
        <v>2.57136E-2</v>
      </c>
      <c r="G515" s="65">
        <f t="shared" si="213"/>
        <v>427.78918548939083</v>
      </c>
      <c r="H515" s="77">
        <v>1.40256</v>
      </c>
      <c r="I515" s="64"/>
      <c r="J515" s="64"/>
      <c r="K515" s="64"/>
      <c r="L515" s="21">
        <v>600</v>
      </c>
      <c r="M515" s="21">
        <v>660</v>
      </c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</row>
    <row r="516" spans="1:23" s="26" customFormat="1" ht="30" customHeight="1" x14ac:dyDescent="0.2">
      <c r="A516" s="217" t="s">
        <v>1950</v>
      </c>
      <c r="B516" s="125" t="s">
        <v>3060</v>
      </c>
      <c r="C516" s="21" t="s">
        <v>1</v>
      </c>
      <c r="D516" s="50">
        <v>1</v>
      </c>
      <c r="E516" s="51">
        <f t="shared" si="212"/>
        <v>52.330814476796519</v>
      </c>
      <c r="F516" s="298">
        <f t="shared" si="202"/>
        <v>1.91092E-2</v>
      </c>
      <c r="G516" s="65">
        <f t="shared" si="213"/>
        <v>575.63895924476174</v>
      </c>
      <c r="H516" s="77">
        <v>1.0423199999999999</v>
      </c>
      <c r="I516" s="64"/>
      <c r="J516" s="64"/>
      <c r="K516" s="64"/>
      <c r="L516" s="21">
        <v>600</v>
      </c>
      <c r="M516" s="21">
        <v>660</v>
      </c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</row>
    <row r="517" spans="1:23" s="26" customFormat="1" ht="30" customHeight="1" x14ac:dyDescent="0.2">
      <c r="A517" s="217" t="s">
        <v>3037</v>
      </c>
      <c r="B517" s="125" t="s">
        <v>3061</v>
      </c>
      <c r="C517" s="21" t="s">
        <v>1</v>
      </c>
      <c r="D517" s="50">
        <v>1</v>
      </c>
      <c r="E517" s="51">
        <f t="shared" si="212"/>
        <v>37.012088147989132</v>
      </c>
      <c r="F517" s="298">
        <f t="shared" si="202"/>
        <v>2.7018199999999999E-2</v>
      </c>
      <c r="G517" s="65">
        <f t="shared" si="213"/>
        <v>407.13296962788047</v>
      </c>
      <c r="H517" s="77">
        <v>1.4737199999999999</v>
      </c>
      <c r="I517" s="64"/>
      <c r="J517" s="64"/>
      <c r="K517" s="64"/>
      <c r="L517" s="21">
        <v>600</v>
      </c>
      <c r="M517" s="21">
        <v>660</v>
      </c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</row>
    <row r="518" spans="1:23" s="26" customFormat="1" ht="30" customHeight="1" x14ac:dyDescent="0.2">
      <c r="A518" s="217" t="s">
        <v>3038</v>
      </c>
      <c r="B518" s="125" t="s">
        <v>3062</v>
      </c>
      <c r="C518" s="21" t="s">
        <v>1</v>
      </c>
      <c r="D518" s="50">
        <v>1</v>
      </c>
      <c r="E518" s="51">
        <f t="shared" si="212"/>
        <v>46.701474832575201</v>
      </c>
      <c r="F518" s="298">
        <f t="shared" si="202"/>
        <v>2.1412600000000004E-2</v>
      </c>
      <c r="G518" s="65">
        <f t="shared" si="213"/>
        <v>513.71622315832724</v>
      </c>
      <c r="H518" s="77">
        <v>1.1679600000000001</v>
      </c>
      <c r="I518" s="64"/>
      <c r="J518" s="64"/>
      <c r="K518" s="64"/>
      <c r="L518" s="21">
        <v>600</v>
      </c>
      <c r="M518" s="21">
        <v>660</v>
      </c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</row>
    <row r="519" spans="1:23" s="26" customFormat="1" ht="30" customHeight="1" x14ac:dyDescent="0.2">
      <c r="A519" s="217" t="s">
        <v>3039</v>
      </c>
      <c r="B519" s="125" t="s">
        <v>3063</v>
      </c>
      <c r="C519" s="21" t="s">
        <v>1</v>
      </c>
      <c r="D519" s="50">
        <v>1</v>
      </c>
      <c r="E519" s="51">
        <f t="shared" si="212"/>
        <v>33.029025907967927</v>
      </c>
      <c r="F519" s="298">
        <f t="shared" si="202"/>
        <v>3.0276399999999998E-2</v>
      </c>
      <c r="G519" s="65">
        <f t="shared" si="213"/>
        <v>363.31928498764717</v>
      </c>
      <c r="H519" s="77">
        <v>1.65144</v>
      </c>
      <c r="I519" s="64"/>
      <c r="J519" s="64"/>
      <c r="K519" s="64"/>
      <c r="L519" s="21">
        <v>600</v>
      </c>
      <c r="M519" s="21">
        <v>660</v>
      </c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</row>
    <row r="520" spans="1:23" s="26" customFormat="1" ht="30" customHeight="1" x14ac:dyDescent="0.2">
      <c r="A520" s="217" t="s">
        <v>3040</v>
      </c>
      <c r="B520" s="125" t="s">
        <v>3022</v>
      </c>
      <c r="C520" s="21" t="s">
        <v>1</v>
      </c>
      <c r="D520" s="50">
        <v>1</v>
      </c>
      <c r="E520" s="51">
        <f t="shared" si="212"/>
        <v>54.545454545454547</v>
      </c>
      <c r="F520" s="298">
        <f t="shared" si="202"/>
        <v>1.8333333333333333E-2</v>
      </c>
      <c r="G520" s="65">
        <f t="shared" si="213"/>
        <v>600</v>
      </c>
      <c r="H520" s="216">
        <v>1</v>
      </c>
      <c r="I520" s="64"/>
      <c r="J520" s="64"/>
      <c r="K520" s="64"/>
      <c r="L520" s="21">
        <v>600</v>
      </c>
      <c r="M520" s="21">
        <v>660</v>
      </c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</row>
    <row r="521" spans="1:23" s="26" customFormat="1" ht="30" customHeight="1" x14ac:dyDescent="0.2">
      <c r="A521" s="217" t="s">
        <v>3041</v>
      </c>
      <c r="B521" s="125" t="s">
        <v>3023</v>
      </c>
      <c r="C521" s="21" t="s">
        <v>1</v>
      </c>
      <c r="D521" s="50">
        <v>1</v>
      </c>
      <c r="E521" s="51">
        <f t="shared" si="212"/>
        <v>38.371758385828031</v>
      </c>
      <c r="F521" s="298">
        <f t="shared" si="202"/>
        <v>2.6060833333333332E-2</v>
      </c>
      <c r="G521" s="65">
        <f t="shared" si="213"/>
        <v>422.08934224410837</v>
      </c>
      <c r="H521" s="216">
        <v>1.4215</v>
      </c>
      <c r="I521" s="64"/>
      <c r="J521" s="64"/>
      <c r="K521" s="64"/>
      <c r="L521" s="21">
        <v>600</v>
      </c>
      <c r="M521" s="21">
        <v>660</v>
      </c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</row>
    <row r="522" spans="1:23" s="26" customFormat="1" ht="30" customHeight="1" x14ac:dyDescent="0.2">
      <c r="A522" s="217" t="s">
        <v>3042</v>
      </c>
      <c r="B522" s="125" t="s">
        <v>3052</v>
      </c>
      <c r="C522" s="21" t="s">
        <v>1</v>
      </c>
      <c r="D522" s="50">
        <v>1</v>
      </c>
      <c r="E522" s="51">
        <f t="shared" si="212"/>
        <v>42.087542087542083</v>
      </c>
      <c r="F522" s="298">
        <f t="shared" si="202"/>
        <v>2.376E-2</v>
      </c>
      <c r="G522" s="65">
        <f t="shared" si="213"/>
        <v>462.96296296296293</v>
      </c>
      <c r="H522" s="77">
        <v>1.296</v>
      </c>
      <c r="I522" s="64"/>
      <c r="J522" s="64"/>
      <c r="K522" s="64"/>
      <c r="L522" s="21">
        <v>600</v>
      </c>
      <c r="M522" s="21">
        <v>660</v>
      </c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</row>
    <row r="523" spans="1:23" s="26" customFormat="1" ht="30" customHeight="1" x14ac:dyDescent="0.2">
      <c r="A523" s="217" t="s">
        <v>3043</v>
      </c>
      <c r="B523" s="125" t="s">
        <v>3053</v>
      </c>
      <c r="C523" s="21" t="s">
        <v>1</v>
      </c>
      <c r="D523" s="50">
        <v>1</v>
      </c>
      <c r="E523" s="51">
        <f t="shared" si="212"/>
        <v>29.76722033696494</v>
      </c>
      <c r="F523" s="298">
        <f t="shared" si="202"/>
        <v>3.3593999999999999E-2</v>
      </c>
      <c r="G523" s="65">
        <f t="shared" si="213"/>
        <v>327.43942370661432</v>
      </c>
      <c r="H523" s="77">
        <v>1.8323999999999998</v>
      </c>
      <c r="I523" s="64"/>
      <c r="J523" s="64"/>
      <c r="K523" s="64"/>
      <c r="L523" s="21">
        <v>600</v>
      </c>
      <c r="M523" s="21">
        <v>660</v>
      </c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</row>
    <row r="524" spans="1:23" s="26" customFormat="1" ht="30" customHeight="1" x14ac:dyDescent="0.2">
      <c r="A524" s="217" t="s">
        <v>3044</v>
      </c>
      <c r="B524" s="125" t="s">
        <v>3034</v>
      </c>
      <c r="C524" s="21" t="s">
        <v>1</v>
      </c>
      <c r="D524" s="50">
        <v>1</v>
      </c>
      <c r="E524" s="51">
        <f t="shared" si="212"/>
        <v>49.09140000490914</v>
      </c>
      <c r="F524" s="298">
        <f t="shared" si="202"/>
        <v>2.0370166666666665E-2</v>
      </c>
      <c r="G524" s="65">
        <f t="shared" si="213"/>
        <v>540.00540005400057</v>
      </c>
      <c r="H524" s="216">
        <v>1.1111</v>
      </c>
      <c r="I524" s="64"/>
      <c r="J524" s="64"/>
      <c r="K524" s="64"/>
      <c r="L524" s="21">
        <v>600</v>
      </c>
      <c r="M524" s="21">
        <v>660</v>
      </c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</row>
    <row r="525" spans="1:23" s="26" customFormat="1" ht="30" customHeight="1" x14ac:dyDescent="0.2">
      <c r="A525" s="217" t="s">
        <v>3045</v>
      </c>
      <c r="B525" s="125" t="s">
        <v>3035</v>
      </c>
      <c r="C525" s="21" t="s">
        <v>1</v>
      </c>
      <c r="D525" s="50">
        <v>1</v>
      </c>
      <c r="E525" s="51">
        <f t="shared" si="212"/>
        <v>34.720212950639429</v>
      </c>
      <c r="F525" s="298">
        <f t="shared" si="202"/>
        <v>2.8801666666666666E-2</v>
      </c>
      <c r="G525" s="65">
        <f t="shared" si="213"/>
        <v>381.92234245703372</v>
      </c>
      <c r="H525" s="216">
        <v>1.571</v>
      </c>
      <c r="I525" s="64"/>
      <c r="J525" s="64"/>
      <c r="K525" s="64"/>
      <c r="L525" s="21">
        <v>600</v>
      </c>
      <c r="M525" s="21">
        <v>660</v>
      </c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</row>
    <row r="526" spans="1:23" s="26" customFormat="1" ht="30" customHeight="1" x14ac:dyDescent="0.2">
      <c r="A526" s="217" t="s">
        <v>3046</v>
      </c>
      <c r="B526" s="125" t="s">
        <v>3048</v>
      </c>
      <c r="C526" s="21" t="s">
        <v>1</v>
      </c>
      <c r="D526" s="50">
        <v>1</v>
      </c>
      <c r="E526" s="51">
        <f t="shared" si="212"/>
        <v>38.740770011544754</v>
      </c>
      <c r="F526" s="298">
        <f t="shared" si="202"/>
        <v>2.5812599999999998E-2</v>
      </c>
      <c r="G526" s="65">
        <f t="shared" si="213"/>
        <v>426.14847012699227</v>
      </c>
      <c r="H526" s="77">
        <v>1.4079599999999999</v>
      </c>
      <c r="I526" s="64"/>
      <c r="J526" s="64"/>
      <c r="K526" s="64"/>
      <c r="L526" s="21">
        <v>600</v>
      </c>
      <c r="M526" s="21">
        <v>660</v>
      </c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</row>
    <row r="527" spans="1:23" s="26" customFormat="1" ht="30" customHeight="1" x14ac:dyDescent="0.2">
      <c r="A527" s="217" t="s">
        <v>3047</v>
      </c>
      <c r="B527" s="125" t="s">
        <v>3049</v>
      </c>
      <c r="C527" s="21" t="s">
        <v>1</v>
      </c>
      <c r="D527" s="50">
        <v>1</v>
      </c>
      <c r="E527" s="51">
        <f t="shared" si="212"/>
        <v>28.246145954615226</v>
      </c>
      <c r="F527" s="298">
        <f t="shared" si="202"/>
        <v>3.5403059999999993E-2</v>
      </c>
      <c r="G527" s="65">
        <f t="shared" si="213"/>
        <v>310.7076055007675</v>
      </c>
      <c r="H527" s="216">
        <v>1.9310759999999998</v>
      </c>
      <c r="I527" s="64"/>
      <c r="J527" s="64"/>
      <c r="K527" s="64"/>
      <c r="L527" s="21">
        <v>600</v>
      </c>
      <c r="M527" s="21">
        <v>660</v>
      </c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</row>
    <row r="528" spans="1:23" s="26" customFormat="1" ht="30" customHeight="1" x14ac:dyDescent="0.2">
      <c r="A528" s="217" t="s">
        <v>1951</v>
      </c>
      <c r="B528" s="125" t="s">
        <v>3050</v>
      </c>
      <c r="C528" s="21" t="s">
        <v>1</v>
      </c>
      <c r="D528" s="50">
        <v>1</v>
      </c>
      <c r="E528" s="51">
        <f t="shared" si="212"/>
        <v>15.620118712902219</v>
      </c>
      <c r="F528" s="298">
        <f t="shared" si="202"/>
        <v>6.4019999999999994E-2</v>
      </c>
      <c r="G528" s="65">
        <f t="shared" si="213"/>
        <v>171.82130584192441</v>
      </c>
      <c r="H528" s="216">
        <v>3.4919999999999995</v>
      </c>
      <c r="I528" s="64"/>
      <c r="J528" s="64"/>
      <c r="K528" s="64"/>
      <c r="L528" s="21">
        <v>600</v>
      </c>
      <c r="M528" s="21">
        <v>660</v>
      </c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</row>
    <row r="529" spans="1:23" s="26" customFormat="1" ht="30" customHeight="1" x14ac:dyDescent="0.2">
      <c r="A529" s="217" t="s">
        <v>1952</v>
      </c>
      <c r="B529" s="125" t="s">
        <v>3051</v>
      </c>
      <c r="C529" s="21" t="s">
        <v>1</v>
      </c>
      <c r="D529" s="50">
        <v>1</v>
      </c>
      <c r="E529" s="51">
        <f t="shared" si="212"/>
        <v>11.715089034676664</v>
      </c>
      <c r="F529" s="298">
        <f t="shared" si="202"/>
        <v>8.5359999999999991E-2</v>
      </c>
      <c r="G529" s="65">
        <f t="shared" si="213"/>
        <v>128.86597938144331</v>
      </c>
      <c r="H529" s="216">
        <v>4.6559999999999997</v>
      </c>
      <c r="I529" s="64"/>
      <c r="J529" s="64"/>
      <c r="K529" s="64"/>
      <c r="L529" s="21">
        <v>600</v>
      </c>
      <c r="M529" s="21">
        <v>660</v>
      </c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</row>
    <row r="530" spans="1:23" s="26" customFormat="1" ht="30" customHeight="1" x14ac:dyDescent="0.2">
      <c r="A530" s="217"/>
      <c r="B530" s="140" t="s">
        <v>2997</v>
      </c>
      <c r="C530" s="38"/>
      <c r="D530" s="38"/>
      <c r="E530" s="38"/>
      <c r="F530" s="298" t="e">
        <v>#DIV/0!</v>
      </c>
      <c r="G530" s="38"/>
      <c r="H530" s="224"/>
      <c r="I530" s="64"/>
      <c r="J530" s="64"/>
      <c r="K530" s="64"/>
      <c r="L530" s="21">
        <v>600</v>
      </c>
      <c r="M530" s="21">
        <v>660</v>
      </c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</row>
    <row r="531" spans="1:23" s="26" customFormat="1" ht="30" customHeight="1" x14ac:dyDescent="0.3">
      <c r="A531" s="218" t="s">
        <v>1953</v>
      </c>
      <c r="B531" s="126" t="s">
        <v>3008</v>
      </c>
      <c r="C531" s="21" t="s">
        <v>1</v>
      </c>
      <c r="D531" s="50">
        <v>1</v>
      </c>
      <c r="E531" s="51">
        <v>28.065579905044789</v>
      </c>
      <c r="F531" s="298">
        <v>3.5630833333333327E-2</v>
      </c>
      <c r="G531" s="65">
        <v>308.7213789554927</v>
      </c>
      <c r="H531" s="316">
        <v>1.9434999999999998</v>
      </c>
      <c r="I531" s="64">
        <v>1.9434999999999998</v>
      </c>
      <c r="J531" s="64">
        <v>1.69</v>
      </c>
      <c r="K531" s="64"/>
      <c r="L531" s="21">
        <v>600</v>
      </c>
      <c r="M531" s="21">
        <v>660</v>
      </c>
      <c r="N531" s="302">
        <v>521.73913043478262</v>
      </c>
      <c r="O531" s="216">
        <v>1.1499999999999999</v>
      </c>
      <c r="P531" s="314">
        <f>G531/N531</f>
        <v>0.59171597633136097</v>
      </c>
      <c r="Q531" s="285"/>
      <c r="R531" s="285"/>
      <c r="S531" s="285"/>
      <c r="T531" s="285"/>
      <c r="U531" s="285"/>
      <c r="V531" s="285"/>
      <c r="W531" s="285"/>
    </row>
    <row r="532" spans="1:23" s="26" customFormat="1" ht="30" customHeight="1" x14ac:dyDescent="0.3">
      <c r="A532" s="218" t="s">
        <v>1954</v>
      </c>
      <c r="B532" s="126" t="s">
        <v>3009</v>
      </c>
      <c r="C532" s="21" t="s">
        <v>1</v>
      </c>
      <c r="D532" s="50">
        <v>1</v>
      </c>
      <c r="E532" s="51">
        <v>25.518341307814989</v>
      </c>
      <c r="F532" s="298">
        <v>3.9187500000000007E-2</v>
      </c>
      <c r="G532" s="65">
        <v>280.70175438596488</v>
      </c>
      <c r="H532" s="316">
        <v>2.1375000000000002</v>
      </c>
      <c r="I532" s="64">
        <v>2.1375000000000002</v>
      </c>
      <c r="J532" s="64">
        <v>1.71</v>
      </c>
      <c r="K532" s="64"/>
      <c r="L532" s="21">
        <v>600</v>
      </c>
      <c r="M532" s="21">
        <v>660</v>
      </c>
      <c r="N532" s="302">
        <v>480</v>
      </c>
      <c r="O532" s="216">
        <v>1.25</v>
      </c>
      <c r="P532" s="314">
        <f t="shared" ref="P532:P543" si="214">G532/N532</f>
        <v>0.58479532163742687</v>
      </c>
      <c r="Q532" s="285"/>
      <c r="R532" s="285"/>
      <c r="S532" s="285"/>
      <c r="T532" s="285"/>
      <c r="U532" s="285"/>
      <c r="V532" s="285"/>
      <c r="W532" s="285"/>
    </row>
    <row r="533" spans="1:23" s="26" customFormat="1" ht="30" customHeight="1" x14ac:dyDescent="0.3">
      <c r="A533" s="218" t="s">
        <v>1955</v>
      </c>
      <c r="B533" s="126" t="s">
        <v>3010</v>
      </c>
      <c r="C533" s="21" t="s">
        <v>1</v>
      </c>
      <c r="D533" s="50">
        <v>1</v>
      </c>
      <c r="E533" s="51">
        <v>26.719630912831658</v>
      </c>
      <c r="F533" s="298">
        <v>3.7425666666666663E-2</v>
      </c>
      <c r="G533" s="65">
        <v>293.91594004114825</v>
      </c>
      <c r="H533" s="316">
        <v>2.0413999999999999</v>
      </c>
      <c r="I533" s="64">
        <v>2.0413999999999999</v>
      </c>
      <c r="J533" s="64">
        <v>1.73</v>
      </c>
      <c r="K533" s="64"/>
      <c r="L533" s="21">
        <v>600</v>
      </c>
      <c r="M533" s="21">
        <v>660</v>
      </c>
      <c r="N533" s="302">
        <v>508.47457627118649</v>
      </c>
      <c r="O533" s="216">
        <v>1.18</v>
      </c>
      <c r="P533" s="314">
        <f t="shared" si="214"/>
        <v>0.57803468208092479</v>
      </c>
      <c r="Q533" s="285"/>
      <c r="R533" s="285"/>
      <c r="S533" s="285"/>
      <c r="T533" s="285"/>
      <c r="U533" s="285"/>
      <c r="V533" s="285"/>
      <c r="W533" s="285"/>
    </row>
    <row r="534" spans="1:23" s="26" customFormat="1" ht="30" customHeight="1" x14ac:dyDescent="0.3">
      <c r="A534" s="218" t="s">
        <v>1956</v>
      </c>
      <c r="B534" s="126" t="s">
        <v>3011</v>
      </c>
      <c r="C534" s="21" t="s">
        <v>1</v>
      </c>
      <c r="D534" s="50">
        <v>1</v>
      </c>
      <c r="E534" s="51">
        <v>24.350649350649348</v>
      </c>
      <c r="F534" s="298">
        <v>4.1066666666666668E-2</v>
      </c>
      <c r="G534" s="65">
        <v>267.85714285714283</v>
      </c>
      <c r="H534" s="316">
        <v>2.2400000000000002</v>
      </c>
      <c r="I534" s="64">
        <v>2.2400000000000002</v>
      </c>
      <c r="J534" s="64">
        <v>1.75</v>
      </c>
      <c r="K534" s="64"/>
      <c r="L534" s="21">
        <v>600</v>
      </c>
      <c r="M534" s="21">
        <v>660</v>
      </c>
      <c r="N534" s="302">
        <v>468.75</v>
      </c>
      <c r="O534" s="216">
        <v>1.28</v>
      </c>
      <c r="P534" s="314">
        <f t="shared" si="214"/>
        <v>0.5714285714285714</v>
      </c>
      <c r="Q534" s="285"/>
      <c r="R534" s="285"/>
      <c r="S534" s="285"/>
      <c r="T534" s="285"/>
      <c r="U534" s="285"/>
      <c r="V534" s="285"/>
      <c r="W534" s="285"/>
    </row>
    <row r="535" spans="1:23" s="26" customFormat="1" ht="30" customHeight="1" x14ac:dyDescent="0.3">
      <c r="A535" s="218" t="s">
        <v>1957</v>
      </c>
      <c r="B535" s="126" t="s">
        <v>3012</v>
      </c>
      <c r="C535" s="21" t="s">
        <v>1</v>
      </c>
      <c r="D535" s="50">
        <v>1</v>
      </c>
      <c r="E535" s="51">
        <v>24.65331278890601</v>
      </c>
      <c r="F535" s="298">
        <v>4.0562499999999994E-2</v>
      </c>
      <c r="G535" s="65">
        <v>271.18644067796612</v>
      </c>
      <c r="H535" s="316">
        <v>2.2124999999999999</v>
      </c>
      <c r="I535" s="64">
        <v>2.2124999999999999</v>
      </c>
      <c r="J535" s="64">
        <v>1.77</v>
      </c>
      <c r="K535" s="64"/>
      <c r="L535" s="21">
        <v>600</v>
      </c>
      <c r="M535" s="21">
        <v>660</v>
      </c>
      <c r="N535" s="302">
        <v>480</v>
      </c>
      <c r="O535" s="216">
        <v>1.25</v>
      </c>
      <c r="P535" s="314">
        <f t="shared" si="214"/>
        <v>0.56497175141242939</v>
      </c>
      <c r="Q535" s="285"/>
      <c r="R535" s="285"/>
      <c r="S535" s="285"/>
      <c r="T535" s="285"/>
      <c r="U535" s="285"/>
      <c r="V535" s="285"/>
      <c r="W535" s="285"/>
    </row>
    <row r="536" spans="1:23" s="26" customFormat="1" ht="30" customHeight="1" x14ac:dyDescent="0.3">
      <c r="A536" s="218" t="s">
        <v>1958</v>
      </c>
      <c r="B536" s="126" t="s">
        <v>3013</v>
      </c>
      <c r="C536" s="21" t="s">
        <v>1</v>
      </c>
      <c r="D536" s="50">
        <v>1</v>
      </c>
      <c r="E536" s="51">
        <v>22.572089611195757</v>
      </c>
      <c r="F536" s="298">
        <v>4.4302500000000002E-2</v>
      </c>
      <c r="G536" s="65">
        <v>248.29298572315332</v>
      </c>
      <c r="H536" s="316">
        <v>2.4165000000000001</v>
      </c>
      <c r="I536" s="64">
        <v>2.4165000000000001</v>
      </c>
      <c r="J536" s="64">
        <v>1.79</v>
      </c>
      <c r="K536" s="64"/>
      <c r="L536" s="21">
        <v>600</v>
      </c>
      <c r="M536" s="21">
        <v>660</v>
      </c>
      <c r="N536" s="302">
        <v>444.4444444444444</v>
      </c>
      <c r="O536" s="216">
        <v>1.35</v>
      </c>
      <c r="P536" s="314">
        <f t="shared" si="214"/>
        <v>0.55865921787709505</v>
      </c>
      <c r="Q536" s="285"/>
      <c r="R536" s="285"/>
      <c r="S536" s="285"/>
      <c r="T536" s="285"/>
      <c r="U536" s="285"/>
      <c r="V536" s="285"/>
      <c r="W536" s="285"/>
    </row>
    <row r="537" spans="1:23" s="26" customFormat="1" ht="30" customHeight="1" x14ac:dyDescent="0.3">
      <c r="A537" s="218" t="s">
        <v>1959</v>
      </c>
      <c r="B537" s="126" t="s">
        <v>3014</v>
      </c>
      <c r="C537" s="21" t="s">
        <v>1</v>
      </c>
      <c r="D537" s="50">
        <v>1</v>
      </c>
      <c r="E537" s="51">
        <v>22.116255868272038</v>
      </c>
      <c r="F537" s="298">
        <v>4.5215610000000003E-2</v>
      </c>
      <c r="G537" s="65">
        <v>243.27881455099242</v>
      </c>
      <c r="H537" s="316">
        <v>2.4663060000000003</v>
      </c>
      <c r="I537" s="64">
        <v>2.4663060000000003</v>
      </c>
      <c r="J537" s="64">
        <v>1.81</v>
      </c>
      <c r="K537" s="64"/>
      <c r="L537" s="21">
        <v>600</v>
      </c>
      <c r="M537" s="21">
        <v>660</v>
      </c>
      <c r="N537" s="302">
        <v>440.33465433729634</v>
      </c>
      <c r="O537" s="216">
        <v>1.3626</v>
      </c>
      <c r="P537" s="314">
        <f t="shared" si="214"/>
        <v>0.55248618784530379</v>
      </c>
      <c r="Q537" s="285"/>
      <c r="R537" s="285"/>
      <c r="S537" s="285"/>
      <c r="T537" s="285"/>
      <c r="U537" s="285"/>
      <c r="V537" s="285"/>
      <c r="W537" s="285"/>
    </row>
    <row r="538" spans="1:23" s="26" customFormat="1" ht="30" customHeight="1" x14ac:dyDescent="0.3">
      <c r="A538" s="218" t="s">
        <v>1960</v>
      </c>
      <c r="B538" s="126" t="s">
        <v>3015</v>
      </c>
      <c r="C538" s="21" t="s">
        <v>1</v>
      </c>
      <c r="D538" s="50">
        <v>1</v>
      </c>
      <c r="E538" s="51">
        <v>20.539043077767388</v>
      </c>
      <c r="F538" s="298">
        <v>4.8687760000000004E-2</v>
      </c>
      <c r="G538" s="65">
        <v>225.92947385544127</v>
      </c>
      <c r="H538" s="316">
        <v>2.6556960000000003</v>
      </c>
      <c r="I538" s="64">
        <v>2.6556960000000003</v>
      </c>
      <c r="J538" s="64">
        <v>1.83</v>
      </c>
      <c r="K538" s="64"/>
      <c r="L538" s="21">
        <v>600</v>
      </c>
      <c r="M538" s="21">
        <v>660</v>
      </c>
      <c r="N538" s="302">
        <v>413.45093715545755</v>
      </c>
      <c r="O538" s="216">
        <v>1.4512</v>
      </c>
      <c r="P538" s="314">
        <f t="shared" si="214"/>
        <v>0.54644808743169393</v>
      </c>
      <c r="Q538" s="285"/>
      <c r="R538" s="285"/>
      <c r="S538" s="285"/>
      <c r="T538" s="285"/>
      <c r="U538" s="285"/>
      <c r="V538" s="285"/>
      <c r="W538" s="285"/>
    </row>
    <row r="539" spans="1:23" s="26" customFormat="1" ht="30" customHeight="1" x14ac:dyDescent="0.3">
      <c r="A539" s="315" t="s">
        <v>1961</v>
      </c>
      <c r="B539" s="126" t="s">
        <v>3016</v>
      </c>
      <c r="C539" s="297" t="s">
        <v>1</v>
      </c>
      <c r="D539" s="300">
        <v>1</v>
      </c>
      <c r="E539" s="301">
        <v>21.638066552201295</v>
      </c>
      <c r="F539" s="298">
        <v>4.6214850000000002E-2</v>
      </c>
      <c r="G539" s="302">
        <v>238.01873207421423</v>
      </c>
      <c r="H539" s="316">
        <v>2.52081</v>
      </c>
      <c r="I539" s="64">
        <v>2.52081</v>
      </c>
      <c r="J539" s="64">
        <v>1.85</v>
      </c>
      <c r="K539" s="64"/>
      <c r="L539" s="21">
        <v>600</v>
      </c>
      <c r="M539" s="21">
        <v>660</v>
      </c>
      <c r="N539" s="82">
        <v>440.33465433729634</v>
      </c>
      <c r="O539" s="242">
        <v>1.3626</v>
      </c>
      <c r="P539" s="314">
        <f t="shared" si="214"/>
        <v>0.54054054054054046</v>
      </c>
      <c r="Q539" s="285"/>
      <c r="R539" s="285"/>
      <c r="S539" s="285"/>
      <c r="T539" s="285"/>
      <c r="U539" s="285"/>
      <c r="V539" s="285"/>
      <c r="W539" s="285"/>
    </row>
    <row r="540" spans="1:23" s="26" customFormat="1" ht="30" customHeight="1" x14ac:dyDescent="0.3">
      <c r="A540" s="315" t="s">
        <v>1962</v>
      </c>
      <c r="B540" s="126" t="s">
        <v>3017</v>
      </c>
      <c r="C540" s="297" t="s">
        <v>1</v>
      </c>
      <c r="D540" s="300">
        <v>1</v>
      </c>
      <c r="E540" s="301">
        <v>20.099705257922096</v>
      </c>
      <c r="F540" s="298">
        <v>4.9751973333333338E-2</v>
      </c>
      <c r="G540" s="302">
        <v>221.09675783714306</v>
      </c>
      <c r="H540" s="316">
        <v>2.7137440000000002</v>
      </c>
      <c r="I540" s="64">
        <v>2.7137440000000002</v>
      </c>
      <c r="J540" s="64">
        <v>1.87</v>
      </c>
      <c r="K540" s="64"/>
      <c r="L540" s="21">
        <v>600</v>
      </c>
      <c r="M540" s="21">
        <v>660</v>
      </c>
      <c r="N540" s="82">
        <v>413.45093715545755</v>
      </c>
      <c r="O540" s="242">
        <v>1.4512</v>
      </c>
      <c r="P540" s="314">
        <f t="shared" si="214"/>
        <v>0.53475935828876997</v>
      </c>
      <c r="Q540" s="285"/>
      <c r="R540" s="285"/>
      <c r="S540" s="285"/>
      <c r="T540" s="285"/>
      <c r="U540" s="285"/>
      <c r="V540" s="285"/>
      <c r="W540" s="285"/>
    </row>
    <row r="541" spans="1:23" s="26" customFormat="1" ht="30" customHeight="1" x14ac:dyDescent="0.3">
      <c r="A541" s="315" t="s">
        <v>1963</v>
      </c>
      <c r="B541" s="126" t="s">
        <v>3018</v>
      </c>
      <c r="C541" s="297" t="s">
        <v>1</v>
      </c>
      <c r="D541" s="300">
        <v>1</v>
      </c>
      <c r="E541" s="301">
        <v>16.669571339472569</v>
      </c>
      <c r="F541" s="298">
        <v>5.9989544999999998E-2</v>
      </c>
      <c r="G541" s="302">
        <v>183.36528473419827</v>
      </c>
      <c r="H541" s="316">
        <v>3.272157</v>
      </c>
      <c r="I541" s="64">
        <v>3.272157</v>
      </c>
      <c r="J541" s="64">
        <v>1.89</v>
      </c>
      <c r="K541" s="64"/>
      <c r="L541" s="21">
        <v>600</v>
      </c>
      <c r="M541" s="21">
        <v>660</v>
      </c>
      <c r="N541" s="82">
        <v>346.56038814763474</v>
      </c>
      <c r="O541" s="242">
        <v>1.7313000000000001</v>
      </c>
      <c r="P541" s="314">
        <f t="shared" si="214"/>
        <v>0.52910052910052907</v>
      </c>
      <c r="Q541" s="285"/>
      <c r="R541" s="285"/>
      <c r="S541" s="285"/>
      <c r="T541" s="285"/>
      <c r="U541" s="285"/>
      <c r="V541" s="285"/>
      <c r="W541" s="285"/>
    </row>
    <row r="542" spans="1:23" s="26" customFormat="1" ht="30" customHeight="1" x14ac:dyDescent="0.3">
      <c r="A542" s="315" t="s">
        <v>1964</v>
      </c>
      <c r="B542" s="126" t="s">
        <v>3019</v>
      </c>
      <c r="C542" s="297" t="s">
        <v>1</v>
      </c>
      <c r="D542" s="300">
        <v>1</v>
      </c>
      <c r="E542" s="301">
        <v>15.206512036714605</v>
      </c>
      <c r="F542" s="298">
        <v>6.5761299999999995E-2</v>
      </c>
      <c r="G542" s="302">
        <v>167.27163240386065</v>
      </c>
      <c r="H542" s="316">
        <v>3.5869799999999996</v>
      </c>
      <c r="I542" s="64">
        <v>3.5869799999999996</v>
      </c>
      <c r="J542" s="64">
        <v>1.91</v>
      </c>
      <c r="K542" s="64"/>
      <c r="L542" s="21">
        <v>600</v>
      </c>
      <c r="M542" s="21">
        <v>660</v>
      </c>
      <c r="N542" s="82">
        <v>319.4888178913738</v>
      </c>
      <c r="O542" s="242">
        <v>1.8779999999999999</v>
      </c>
      <c r="P542" s="314">
        <f t="shared" si="214"/>
        <v>0.52356020942408388</v>
      </c>
      <c r="Q542" s="285"/>
      <c r="R542" s="285"/>
      <c r="S542" s="285"/>
      <c r="T542" s="285"/>
      <c r="U542" s="285"/>
      <c r="V542" s="285"/>
      <c r="W542" s="285"/>
    </row>
    <row r="543" spans="1:23" s="26" customFormat="1" ht="30" customHeight="1" x14ac:dyDescent="0.3">
      <c r="A543" s="315" t="s">
        <v>1965</v>
      </c>
      <c r="B543" s="126" t="s">
        <v>3020</v>
      </c>
      <c r="C543" s="297" t="s">
        <v>1</v>
      </c>
      <c r="D543" s="300">
        <v>1</v>
      </c>
      <c r="E543" s="301">
        <v>12.451270396892959</v>
      </c>
      <c r="F543" s="298">
        <v>8.0313090000000018E-2</v>
      </c>
      <c r="G543" s="302">
        <v>136.96397436582254</v>
      </c>
      <c r="H543" s="316">
        <v>4.3807140000000002</v>
      </c>
      <c r="I543" s="64">
        <v>4.3807140000000002</v>
      </c>
      <c r="J543" s="64">
        <v>1.93</v>
      </c>
      <c r="K543" s="64"/>
      <c r="L543" s="21">
        <v>600</v>
      </c>
      <c r="M543" s="21">
        <v>660</v>
      </c>
      <c r="N543" s="82">
        <v>264.34047052603751</v>
      </c>
      <c r="O543" s="242">
        <v>2.2698</v>
      </c>
      <c r="P543" s="314">
        <f t="shared" si="214"/>
        <v>0.51813471502590669</v>
      </c>
      <c r="Q543" s="285"/>
      <c r="R543" s="285"/>
      <c r="S543" s="285"/>
      <c r="T543" s="285"/>
      <c r="U543" s="285"/>
      <c r="V543" s="285"/>
      <c r="W543" s="285"/>
    </row>
    <row r="544" spans="1:23" s="26" customFormat="1" ht="30" customHeight="1" x14ac:dyDescent="0.3">
      <c r="A544" s="315" t="s">
        <v>1966</v>
      </c>
      <c r="B544" s="126" t="s">
        <v>3021</v>
      </c>
      <c r="C544" s="297" t="s">
        <v>1</v>
      </c>
      <c r="D544" s="300">
        <v>1</v>
      </c>
      <c r="E544" s="301">
        <v>11.2645086871891</v>
      </c>
      <c r="F544" s="298">
        <v>8.8774400000000003E-2</v>
      </c>
      <c r="G544" s="302">
        <v>123.90959555908009</v>
      </c>
      <c r="H544" s="316">
        <v>4.8422400000000003</v>
      </c>
      <c r="I544" s="64">
        <v>4.8422400000000003</v>
      </c>
      <c r="J544" s="64">
        <v>1.95</v>
      </c>
      <c r="K544" s="64"/>
      <c r="L544" s="21">
        <v>600</v>
      </c>
      <c r="M544" s="21">
        <v>660</v>
      </c>
      <c r="N544" s="82">
        <v>241.62371134020617</v>
      </c>
      <c r="O544" s="242">
        <v>2.4832000000000001</v>
      </c>
      <c r="P544" s="314">
        <f>G544/N544</f>
        <v>0.51282051282051277</v>
      </c>
      <c r="Q544" s="285"/>
      <c r="R544" s="285"/>
      <c r="S544" s="285"/>
      <c r="T544" s="285"/>
      <c r="U544" s="285"/>
      <c r="V544" s="285"/>
      <c r="W544" s="285"/>
    </row>
    <row r="545" spans="1:23" s="26" customFormat="1" ht="30" customHeight="1" x14ac:dyDescent="0.2">
      <c r="A545" s="217"/>
      <c r="B545" s="140" t="s">
        <v>2995</v>
      </c>
      <c r="C545" s="38"/>
      <c r="D545" s="50">
        <v>1</v>
      </c>
      <c r="E545" s="38"/>
      <c r="F545" s="298" t="e">
        <f t="shared" si="202"/>
        <v>#DIV/0!</v>
      </c>
      <c r="G545" s="38"/>
      <c r="H545" s="232"/>
      <c r="I545" s="64"/>
      <c r="J545" s="64"/>
      <c r="K545" s="64"/>
      <c r="L545" s="21">
        <v>600</v>
      </c>
      <c r="M545" s="21">
        <v>660</v>
      </c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</row>
    <row r="546" spans="1:23" s="26" customFormat="1" ht="30" customHeight="1" x14ac:dyDescent="0.2">
      <c r="A546" s="218" t="s">
        <v>1967</v>
      </c>
      <c r="B546" s="125" t="s">
        <v>3002</v>
      </c>
      <c r="C546" s="21" t="s">
        <v>1</v>
      </c>
      <c r="D546" s="50">
        <v>1</v>
      </c>
      <c r="E546" s="51">
        <f t="shared" ref="E546:E547" si="215">G546/11</f>
        <v>144.22383539252922</v>
      </c>
      <c r="F546" s="298">
        <f t="shared" si="202"/>
        <v>6.9336666666666661E-3</v>
      </c>
      <c r="G546" s="65">
        <f t="shared" ref="G546:G547" si="216">L546/H546</f>
        <v>1586.4621893178214</v>
      </c>
      <c r="H546" s="216">
        <v>0.37819999999999998</v>
      </c>
      <c r="I546" s="64"/>
      <c r="J546" s="64"/>
      <c r="K546" s="64"/>
      <c r="L546" s="21">
        <v>600</v>
      </c>
      <c r="M546" s="21">
        <v>660</v>
      </c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</row>
    <row r="547" spans="1:23" s="26" customFormat="1" ht="30" customHeight="1" x14ac:dyDescent="0.2">
      <c r="A547" s="218" t="s">
        <v>1968</v>
      </c>
      <c r="B547" s="125" t="s">
        <v>3003</v>
      </c>
      <c r="C547" s="21" t="s">
        <v>1</v>
      </c>
      <c r="D547" s="50">
        <v>1</v>
      </c>
      <c r="E547" s="51">
        <f t="shared" si="215"/>
        <v>116.47545279832275</v>
      </c>
      <c r="F547" s="298">
        <f t="shared" si="202"/>
        <v>8.5855000000000011E-3</v>
      </c>
      <c r="G547" s="65">
        <f t="shared" si="216"/>
        <v>1281.2299807815502</v>
      </c>
      <c r="H547" s="216">
        <v>0.46829999999999999</v>
      </c>
      <c r="I547" s="64"/>
      <c r="J547" s="64"/>
      <c r="K547" s="64"/>
      <c r="L547" s="21">
        <v>600</v>
      </c>
      <c r="M547" s="21">
        <v>660</v>
      </c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</row>
    <row r="548" spans="1:23" s="26" customFormat="1" ht="30" customHeight="1" x14ac:dyDescent="0.2">
      <c r="A548" s="218" t="s">
        <v>1969</v>
      </c>
      <c r="B548" s="125" t="s">
        <v>3004</v>
      </c>
      <c r="C548" s="21" t="s">
        <v>1</v>
      </c>
      <c r="D548" s="50">
        <v>1</v>
      </c>
      <c r="E548" s="51">
        <f t="shared" ref="E548:E550" si="217">G548/11</f>
        <v>83.19929003272506</v>
      </c>
      <c r="F548" s="298">
        <f t="shared" si="202"/>
        <v>1.2019333333333333E-2</v>
      </c>
      <c r="G548" s="65">
        <f t="shared" ref="G548:G550" si="218">L548/H548</f>
        <v>915.1921903599756</v>
      </c>
      <c r="H548" s="216">
        <v>0.65559999999999996</v>
      </c>
      <c r="I548" s="64"/>
      <c r="J548" s="64"/>
      <c r="K548" s="64"/>
      <c r="L548" s="21">
        <v>600</v>
      </c>
      <c r="M548" s="21">
        <v>660</v>
      </c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</row>
    <row r="549" spans="1:23" s="26" customFormat="1" ht="30" customHeight="1" x14ac:dyDescent="0.2">
      <c r="A549" s="218" t="s">
        <v>1970</v>
      </c>
      <c r="B549" s="125" t="s">
        <v>3005</v>
      </c>
      <c r="C549" s="21" t="s">
        <v>1</v>
      </c>
      <c r="D549" s="50">
        <v>1</v>
      </c>
      <c r="E549" s="51">
        <f t="shared" si="217"/>
        <v>47.808559230103704</v>
      </c>
      <c r="F549" s="298">
        <f t="shared" si="202"/>
        <v>2.0916756666666668E-2</v>
      </c>
      <c r="G549" s="65">
        <f t="shared" si="218"/>
        <v>525.89415153114078</v>
      </c>
      <c r="H549" s="216">
        <v>1.140914</v>
      </c>
      <c r="I549" s="64">
        <v>1.140914</v>
      </c>
      <c r="J549" s="64"/>
      <c r="K549" s="64"/>
      <c r="L549" s="21">
        <v>600</v>
      </c>
      <c r="M549" s="21">
        <v>660</v>
      </c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</row>
    <row r="550" spans="1:23" s="26" customFormat="1" ht="30" customHeight="1" x14ac:dyDescent="0.2">
      <c r="A550" s="218" t="s">
        <v>1971</v>
      </c>
      <c r="B550" s="125" t="s">
        <v>3006</v>
      </c>
      <c r="C550" s="21" t="s">
        <v>1</v>
      </c>
      <c r="D550" s="50">
        <v>1</v>
      </c>
      <c r="E550" s="51">
        <f t="shared" si="217"/>
        <v>77.922077922077932</v>
      </c>
      <c r="F550" s="298">
        <f t="shared" si="202"/>
        <v>1.2833333333333332E-2</v>
      </c>
      <c r="G550" s="65">
        <f t="shared" si="218"/>
        <v>857.14285714285722</v>
      </c>
      <c r="H550" s="216">
        <v>0.7</v>
      </c>
      <c r="I550" s="64"/>
      <c r="J550" s="64"/>
      <c r="K550" s="64"/>
      <c r="L550" s="21">
        <v>600</v>
      </c>
      <c r="M550" s="21">
        <v>660</v>
      </c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</row>
    <row r="551" spans="1:23" s="26" customFormat="1" ht="30" customHeight="1" x14ac:dyDescent="0.2">
      <c r="A551" s="217"/>
      <c r="B551" s="140" t="s">
        <v>3565</v>
      </c>
      <c r="C551" s="38"/>
      <c r="D551" s="50">
        <v>1</v>
      </c>
      <c r="E551" s="38"/>
      <c r="F551" s="298" t="e">
        <f t="shared" si="202"/>
        <v>#DIV/0!</v>
      </c>
      <c r="G551" s="38"/>
      <c r="H551" s="232"/>
      <c r="I551" s="64"/>
      <c r="J551" s="64"/>
      <c r="K551" s="64"/>
      <c r="L551" s="21">
        <v>600</v>
      </c>
      <c r="M551" s="21">
        <v>660</v>
      </c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</row>
    <row r="552" spans="1:23" s="26" customFormat="1" ht="30" customHeight="1" x14ac:dyDescent="0.2">
      <c r="A552" s="218" t="s">
        <v>1972</v>
      </c>
      <c r="B552" s="125" t="s">
        <v>3122</v>
      </c>
      <c r="C552" s="21" t="s">
        <v>1</v>
      </c>
      <c r="D552" s="50">
        <v>1</v>
      </c>
      <c r="E552" s="51">
        <f t="shared" ref="E552" si="219">G552/11</f>
        <v>28.261893546867643</v>
      </c>
      <c r="F552" s="298">
        <f t="shared" si="202"/>
        <v>3.5383333333333329E-2</v>
      </c>
      <c r="G552" s="65">
        <f t="shared" ref="G552" si="220">L552/H552</f>
        <v>310.88082901554407</v>
      </c>
      <c r="H552" s="216">
        <v>1.93</v>
      </c>
      <c r="I552" s="64">
        <f>M552/L552</f>
        <v>1.1000000000000001</v>
      </c>
      <c r="J552" s="64"/>
      <c r="K552" s="64"/>
      <c r="L552" s="21">
        <v>600</v>
      </c>
      <c r="M552" s="21">
        <v>660</v>
      </c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</row>
    <row r="553" spans="1:23" s="26" customFormat="1" ht="30" customHeight="1" x14ac:dyDescent="0.2">
      <c r="A553" s="218" t="s">
        <v>1973</v>
      </c>
      <c r="B553" s="125" t="s">
        <v>3123</v>
      </c>
      <c r="C553" s="21" t="s">
        <v>1</v>
      </c>
      <c r="D553" s="50">
        <v>1</v>
      </c>
      <c r="E553" s="51">
        <f t="shared" ref="E553" si="221">G553/11</f>
        <v>23.726762601876786</v>
      </c>
      <c r="F553" s="298">
        <f t="shared" si="202"/>
        <v>4.2146500000000003E-2</v>
      </c>
      <c r="G553" s="65">
        <f t="shared" ref="G553" si="222">L553/H553</f>
        <v>260.99438862064466</v>
      </c>
      <c r="H553" s="216">
        <v>2.2989000000000002</v>
      </c>
      <c r="I553" s="64">
        <v>2.2989000000000002</v>
      </c>
      <c r="J553" s="64"/>
      <c r="K553" s="64"/>
      <c r="L553" s="21">
        <v>600</v>
      </c>
      <c r="M553" s="21">
        <v>660</v>
      </c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</row>
    <row r="554" spans="1:23" s="26" customFormat="1" ht="30" customHeight="1" x14ac:dyDescent="0.2">
      <c r="A554" s="218" t="s">
        <v>1974</v>
      </c>
      <c r="B554" s="110" t="s">
        <v>3124</v>
      </c>
      <c r="C554" s="21" t="s">
        <v>1</v>
      </c>
      <c r="D554" s="50">
        <v>1</v>
      </c>
      <c r="E554" s="51">
        <f t="shared" ref="E554:E555" si="223">G554/11</f>
        <v>16.137708445400754</v>
      </c>
      <c r="F554" s="298">
        <f t="shared" si="202"/>
        <v>6.1966666666666663E-2</v>
      </c>
      <c r="G554" s="65">
        <f>L554/H554</f>
        <v>177.51479289940829</v>
      </c>
      <c r="H554" s="216">
        <v>3.38</v>
      </c>
      <c r="I554" s="64">
        <f t="shared" ref="I554:I562" si="224">M554/L554</f>
        <v>1.1000000000000001</v>
      </c>
      <c r="J554" s="64"/>
      <c r="K554" s="64"/>
      <c r="L554" s="21">
        <v>600</v>
      </c>
      <c r="M554" s="21">
        <v>660</v>
      </c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</row>
    <row r="555" spans="1:23" s="26" customFormat="1" ht="30" customHeight="1" x14ac:dyDescent="0.2">
      <c r="A555" s="218" t="s">
        <v>1975</v>
      </c>
      <c r="B555" s="110" t="s">
        <v>3125</v>
      </c>
      <c r="C555" s="21" t="s">
        <v>1</v>
      </c>
      <c r="D555" s="50">
        <v>1</v>
      </c>
      <c r="E555" s="51">
        <f t="shared" si="223"/>
        <v>13.143483023001094</v>
      </c>
      <c r="F555" s="298">
        <f t="shared" si="202"/>
        <v>7.608333333333335E-2</v>
      </c>
      <c r="G555" s="65">
        <f t="shared" ref="G555" si="225">L555/H555</f>
        <v>144.57831325301203</v>
      </c>
      <c r="H555" s="216">
        <v>4.1500000000000004</v>
      </c>
      <c r="I555" s="64">
        <f t="shared" si="224"/>
        <v>1.1000000000000001</v>
      </c>
      <c r="J555" s="64"/>
      <c r="K555" s="64"/>
      <c r="L555" s="21">
        <v>600</v>
      </c>
      <c r="M555" s="21">
        <v>660</v>
      </c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</row>
    <row r="556" spans="1:23" s="26" customFormat="1" ht="30" customHeight="1" x14ac:dyDescent="0.2">
      <c r="A556" s="217"/>
      <c r="B556" s="140" t="s">
        <v>3566</v>
      </c>
      <c r="C556" s="38"/>
      <c r="D556" s="50">
        <v>1</v>
      </c>
      <c r="E556" s="38"/>
      <c r="F556" s="298" t="e">
        <f t="shared" si="202"/>
        <v>#DIV/0!</v>
      </c>
      <c r="G556" s="38"/>
      <c r="H556" s="232"/>
      <c r="I556" s="64"/>
      <c r="J556" s="64"/>
      <c r="K556" s="64"/>
      <c r="L556" s="21">
        <v>600</v>
      </c>
      <c r="M556" s="21">
        <v>660</v>
      </c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</row>
    <row r="557" spans="1:23" s="26" customFormat="1" ht="30" customHeight="1" x14ac:dyDescent="0.2">
      <c r="A557" s="217" t="s">
        <v>1976</v>
      </c>
      <c r="B557" s="126" t="s">
        <v>2998</v>
      </c>
      <c r="C557" s="21" t="s">
        <v>1</v>
      </c>
      <c r="D557" s="50">
        <v>1</v>
      </c>
      <c r="E557" s="51">
        <f t="shared" ref="E557:E558" si="226">G557/11</f>
        <v>21.818181818181817</v>
      </c>
      <c r="F557" s="298">
        <f t="shared" si="202"/>
        <v>4.583333333333333E-2</v>
      </c>
      <c r="G557" s="65">
        <f t="shared" ref="G557:G558" si="227">L557/H557</f>
        <v>240</v>
      </c>
      <c r="H557" s="216">
        <v>2.5</v>
      </c>
      <c r="I557" s="64">
        <f t="shared" si="224"/>
        <v>1.1000000000000001</v>
      </c>
      <c r="J557" s="64"/>
      <c r="K557" s="64"/>
      <c r="L557" s="21">
        <v>600</v>
      </c>
      <c r="M557" s="21">
        <v>660</v>
      </c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</row>
    <row r="558" spans="1:23" s="26" customFormat="1" ht="30" customHeight="1" x14ac:dyDescent="0.2">
      <c r="A558" s="217" t="s">
        <v>1977</v>
      </c>
      <c r="B558" s="126" t="s">
        <v>3128</v>
      </c>
      <c r="C558" s="21" t="s">
        <v>1</v>
      </c>
      <c r="D558" s="50">
        <v>1</v>
      </c>
      <c r="E558" s="51">
        <f t="shared" si="226"/>
        <v>15.584415584415583</v>
      </c>
      <c r="F558" s="298">
        <f t="shared" si="202"/>
        <v>6.4166666666666677E-2</v>
      </c>
      <c r="G558" s="65">
        <f t="shared" si="227"/>
        <v>171.42857142857142</v>
      </c>
      <c r="H558" s="216">
        <v>3.5</v>
      </c>
      <c r="I558" s="64">
        <f t="shared" si="224"/>
        <v>1.1000000000000001</v>
      </c>
      <c r="J558" s="64"/>
      <c r="K558" s="64"/>
      <c r="L558" s="21">
        <v>600</v>
      </c>
      <c r="M558" s="21">
        <v>660</v>
      </c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</row>
    <row r="559" spans="1:23" s="26" customFormat="1" ht="30" customHeight="1" x14ac:dyDescent="0.2">
      <c r="A559" s="217" t="s">
        <v>1978</v>
      </c>
      <c r="B559" s="126" t="s">
        <v>2999</v>
      </c>
      <c r="C559" s="21" t="s">
        <v>1</v>
      </c>
      <c r="D559" s="50">
        <v>1</v>
      </c>
      <c r="E559" s="51">
        <f t="shared" ref="E559:E562" si="228">G559/11</f>
        <v>13.636363636363637</v>
      </c>
      <c r="F559" s="298">
        <f t="shared" si="202"/>
        <v>7.3333333333333334E-2</v>
      </c>
      <c r="G559" s="65">
        <f t="shared" ref="G559:G562" si="229">L559/H559</f>
        <v>150</v>
      </c>
      <c r="H559" s="216">
        <v>4</v>
      </c>
      <c r="I559" s="64">
        <f t="shared" si="224"/>
        <v>1.1000000000000001</v>
      </c>
      <c r="J559" s="64"/>
      <c r="K559" s="64"/>
      <c r="L559" s="21">
        <v>600</v>
      </c>
      <c r="M559" s="21">
        <v>660</v>
      </c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</row>
    <row r="560" spans="1:23" s="26" customFormat="1" ht="30" customHeight="1" x14ac:dyDescent="0.2">
      <c r="A560" s="217" t="s">
        <v>1979</v>
      </c>
      <c r="B560" s="126" t="s">
        <v>3000</v>
      </c>
      <c r="C560" s="21" t="s">
        <v>1</v>
      </c>
      <c r="D560" s="50">
        <v>1</v>
      </c>
      <c r="E560" s="51">
        <f t="shared" si="228"/>
        <v>11.131725417439704</v>
      </c>
      <c r="F560" s="298">
        <f t="shared" si="202"/>
        <v>8.9833333333333321E-2</v>
      </c>
      <c r="G560" s="65">
        <f t="shared" si="229"/>
        <v>122.44897959183675</v>
      </c>
      <c r="H560" s="216">
        <v>4.8999999999999995</v>
      </c>
      <c r="I560" s="64">
        <f t="shared" si="224"/>
        <v>1.1000000000000001</v>
      </c>
      <c r="J560" s="64"/>
      <c r="K560" s="64"/>
      <c r="L560" s="21">
        <v>600</v>
      </c>
      <c r="M560" s="21">
        <v>660</v>
      </c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</row>
    <row r="561" spans="1:23" s="26" customFormat="1" ht="30" customHeight="1" x14ac:dyDescent="0.2">
      <c r="A561" s="217" t="s">
        <v>1980</v>
      </c>
      <c r="B561" s="126" t="s">
        <v>3127</v>
      </c>
      <c r="C561" s="21" t="s">
        <v>1</v>
      </c>
      <c r="D561" s="50">
        <v>1</v>
      </c>
      <c r="E561" s="51">
        <f t="shared" si="228"/>
        <v>9.7402597402597415</v>
      </c>
      <c r="F561" s="298">
        <f t="shared" si="202"/>
        <v>0.10266666666666666</v>
      </c>
      <c r="G561" s="65">
        <f t="shared" si="229"/>
        <v>107.14285714285715</v>
      </c>
      <c r="H561" s="216">
        <v>5.6</v>
      </c>
      <c r="I561" s="64">
        <f t="shared" si="224"/>
        <v>1.1000000000000001</v>
      </c>
      <c r="J561" s="64"/>
      <c r="K561" s="64"/>
      <c r="L561" s="21">
        <v>600</v>
      </c>
      <c r="M561" s="21">
        <v>660</v>
      </c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</row>
    <row r="562" spans="1:23" s="26" customFormat="1" ht="30" customHeight="1" x14ac:dyDescent="0.2">
      <c r="A562" s="217" t="s">
        <v>1981</v>
      </c>
      <c r="B562" s="126" t="s">
        <v>3001</v>
      </c>
      <c r="C562" s="21" t="s">
        <v>1</v>
      </c>
      <c r="D562" s="50">
        <v>1</v>
      </c>
      <c r="E562" s="51">
        <f t="shared" si="228"/>
        <v>7.7922077922077913</v>
      </c>
      <c r="F562" s="298">
        <f t="shared" si="202"/>
        <v>0.12833333333333335</v>
      </c>
      <c r="G562" s="65">
        <f t="shared" si="229"/>
        <v>85.714285714285708</v>
      </c>
      <c r="H562" s="216">
        <v>7</v>
      </c>
      <c r="I562" s="64">
        <f t="shared" si="224"/>
        <v>1.1000000000000001</v>
      </c>
      <c r="J562" s="64"/>
      <c r="K562" s="64"/>
      <c r="L562" s="21">
        <v>600</v>
      </c>
      <c r="M562" s="21">
        <v>660</v>
      </c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</row>
    <row r="563" spans="1:23" s="26" customFormat="1" ht="30" customHeight="1" x14ac:dyDescent="0.2">
      <c r="A563" s="217"/>
      <c r="B563" s="310" t="s">
        <v>3563</v>
      </c>
      <c r="C563" s="248"/>
      <c r="D563" s="95"/>
      <c r="E563" s="250"/>
      <c r="F563" s="298" t="e">
        <f t="shared" ref="F563:F631" si="230">11/G563</f>
        <v>#DIV/0!</v>
      </c>
      <c r="G563" s="252"/>
      <c r="H563" s="233"/>
      <c r="I563" s="309"/>
      <c r="J563" s="309"/>
      <c r="K563" s="309"/>
      <c r="L563" s="248"/>
      <c r="M563" s="248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</row>
    <row r="564" spans="1:23" s="26" customFormat="1" ht="30" customHeight="1" x14ac:dyDescent="0.2">
      <c r="A564" s="217">
        <v>11402</v>
      </c>
      <c r="B564" s="311" t="s">
        <v>3542</v>
      </c>
      <c r="C564" s="297" t="s">
        <v>1</v>
      </c>
      <c r="D564" s="300">
        <v>1</v>
      </c>
      <c r="E564" s="301">
        <f t="shared" ref="E564" si="231">G564/11</f>
        <v>50.090909090909093</v>
      </c>
      <c r="F564" s="298">
        <f t="shared" si="230"/>
        <v>1.9963702359346643E-2</v>
      </c>
      <c r="G564" s="302">
        <f t="shared" ref="G564" si="232">L564/H564</f>
        <v>551</v>
      </c>
      <c r="H564" s="216">
        <v>1.0889292196007259</v>
      </c>
      <c r="I564" s="64"/>
      <c r="J564" s="64"/>
      <c r="K564" s="64"/>
      <c r="L564" s="297">
        <v>600</v>
      </c>
      <c r="M564" s="297">
        <v>660</v>
      </c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</row>
    <row r="565" spans="1:23" s="26" customFormat="1" ht="30" customHeight="1" x14ac:dyDescent="0.2">
      <c r="A565" s="217">
        <v>11403</v>
      </c>
      <c r="B565" s="311" t="s">
        <v>3568</v>
      </c>
      <c r="C565" s="297" t="s">
        <v>1</v>
      </c>
      <c r="D565" s="300">
        <v>2</v>
      </c>
      <c r="E565" s="301">
        <f t="shared" ref="E565:E577" si="233">G565/11</f>
        <v>35.454545454545453</v>
      </c>
      <c r="F565" s="298">
        <f t="shared" si="230"/>
        <v>2.8205128205128206E-2</v>
      </c>
      <c r="G565" s="302">
        <f t="shared" ref="G565:G577" si="234">L565/H565</f>
        <v>390</v>
      </c>
      <c r="H565" s="216">
        <v>1.5384615384615385</v>
      </c>
      <c r="I565" s="64"/>
      <c r="J565" s="64"/>
      <c r="K565" s="64"/>
      <c r="L565" s="297">
        <v>600</v>
      </c>
      <c r="M565" s="297">
        <v>660</v>
      </c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</row>
    <row r="566" spans="1:23" s="26" customFormat="1" ht="30" customHeight="1" x14ac:dyDescent="0.2">
      <c r="A566" s="217">
        <v>11404</v>
      </c>
      <c r="B566" s="311" t="s">
        <v>3569</v>
      </c>
      <c r="C566" s="297" t="s">
        <v>1</v>
      </c>
      <c r="D566" s="300">
        <v>3</v>
      </c>
      <c r="E566" s="301">
        <f t="shared" si="233"/>
        <v>41.272727272727273</v>
      </c>
      <c r="F566" s="298">
        <f t="shared" si="230"/>
        <v>2.4229074889867842E-2</v>
      </c>
      <c r="G566" s="302">
        <f>L566/H566</f>
        <v>454</v>
      </c>
      <c r="H566" s="216">
        <v>1.3215859030837005</v>
      </c>
      <c r="I566" s="64"/>
      <c r="J566" s="64"/>
      <c r="K566" s="64"/>
      <c r="L566" s="297">
        <v>600</v>
      </c>
      <c r="M566" s="297">
        <v>660</v>
      </c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</row>
    <row r="567" spans="1:23" s="26" customFormat="1" ht="30" customHeight="1" x14ac:dyDescent="0.2">
      <c r="A567" s="217">
        <v>11405</v>
      </c>
      <c r="B567" s="311" t="s">
        <v>3543</v>
      </c>
      <c r="C567" s="297" t="s">
        <v>1</v>
      </c>
      <c r="D567" s="300">
        <v>4</v>
      </c>
      <c r="E567" s="301">
        <f t="shared" si="233"/>
        <v>31.545454545454547</v>
      </c>
      <c r="F567" s="298">
        <f t="shared" si="230"/>
        <v>3.1700288184438041E-2</v>
      </c>
      <c r="G567" s="302">
        <f t="shared" si="234"/>
        <v>347</v>
      </c>
      <c r="H567" s="216">
        <v>1.7291066282420748</v>
      </c>
      <c r="I567" s="64"/>
      <c r="J567" s="64"/>
      <c r="K567" s="64"/>
      <c r="L567" s="297">
        <v>600</v>
      </c>
      <c r="M567" s="297">
        <v>660</v>
      </c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</row>
    <row r="568" spans="1:23" s="26" customFormat="1" ht="30" customHeight="1" x14ac:dyDescent="0.2">
      <c r="A568" s="217">
        <v>11408</v>
      </c>
      <c r="B568" s="311" t="s">
        <v>3544</v>
      </c>
      <c r="C568" s="297" t="s">
        <v>1</v>
      </c>
      <c r="D568" s="300">
        <v>7</v>
      </c>
      <c r="E568" s="301">
        <f t="shared" si="233"/>
        <v>41.272727272727273</v>
      </c>
      <c r="F568" s="298">
        <f t="shared" si="230"/>
        <v>2.4229074889867842E-2</v>
      </c>
      <c r="G568" s="302">
        <f t="shared" si="234"/>
        <v>454</v>
      </c>
      <c r="H568" s="216">
        <v>1.3215859030837005</v>
      </c>
      <c r="I568" s="64"/>
      <c r="J568" s="64"/>
      <c r="K568" s="64"/>
      <c r="L568" s="297">
        <v>600</v>
      </c>
      <c r="M568" s="297">
        <v>660</v>
      </c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</row>
    <row r="569" spans="1:23" s="26" customFormat="1" ht="30" customHeight="1" x14ac:dyDescent="0.2">
      <c r="A569" s="217">
        <v>11409</v>
      </c>
      <c r="B569" s="311" t="s">
        <v>3545</v>
      </c>
      <c r="C569" s="297" t="s">
        <v>1</v>
      </c>
      <c r="D569" s="300">
        <v>8</v>
      </c>
      <c r="E569" s="301">
        <f t="shared" si="233"/>
        <v>29.181818181818183</v>
      </c>
      <c r="F569" s="298">
        <f t="shared" si="230"/>
        <v>3.4267912772585667E-2</v>
      </c>
      <c r="G569" s="302">
        <f t="shared" si="234"/>
        <v>321</v>
      </c>
      <c r="H569" s="216">
        <v>1.8691588785046729</v>
      </c>
      <c r="I569" s="64"/>
      <c r="J569" s="64"/>
      <c r="K569" s="64"/>
      <c r="L569" s="297">
        <v>600</v>
      </c>
      <c r="M569" s="297">
        <v>660</v>
      </c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</row>
    <row r="570" spans="1:23" s="26" customFormat="1" ht="30" customHeight="1" x14ac:dyDescent="0.2">
      <c r="A570" s="217">
        <v>11410</v>
      </c>
      <c r="B570" s="311" t="s">
        <v>3570</v>
      </c>
      <c r="C570" s="297" t="s">
        <v>1</v>
      </c>
      <c r="D570" s="300">
        <v>9</v>
      </c>
      <c r="E570" s="301">
        <f t="shared" si="233"/>
        <v>27.727272727272727</v>
      </c>
      <c r="F570" s="298">
        <f t="shared" si="230"/>
        <v>3.6065573770491806E-2</v>
      </c>
      <c r="G570" s="302">
        <f t="shared" si="234"/>
        <v>305</v>
      </c>
      <c r="H570" s="216">
        <v>1.9672131147540983</v>
      </c>
      <c r="I570" s="64"/>
      <c r="J570" s="64"/>
      <c r="K570" s="64"/>
      <c r="L570" s="297">
        <v>600</v>
      </c>
      <c r="M570" s="297">
        <v>660</v>
      </c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</row>
    <row r="571" spans="1:23" s="26" customFormat="1" ht="30" customHeight="1" x14ac:dyDescent="0.2">
      <c r="A571" s="217">
        <v>11411</v>
      </c>
      <c r="B571" s="311" t="s">
        <v>3546</v>
      </c>
      <c r="C571" s="297" t="s">
        <v>1</v>
      </c>
      <c r="D571" s="300">
        <v>10</v>
      </c>
      <c r="E571" s="301">
        <f t="shared" si="233"/>
        <v>24.727272727272727</v>
      </c>
      <c r="F571" s="298">
        <f t="shared" si="230"/>
        <v>4.0441176470588237E-2</v>
      </c>
      <c r="G571" s="302">
        <f t="shared" si="234"/>
        <v>272</v>
      </c>
      <c r="H571" s="216">
        <v>2.2058823529411766</v>
      </c>
      <c r="I571" s="64"/>
      <c r="J571" s="64"/>
      <c r="K571" s="64"/>
      <c r="L571" s="297">
        <v>600</v>
      </c>
      <c r="M571" s="297">
        <v>660</v>
      </c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</row>
    <row r="572" spans="1:23" s="26" customFormat="1" ht="30" customHeight="1" x14ac:dyDescent="0.2">
      <c r="A572" s="217">
        <v>11412</v>
      </c>
      <c r="B572" s="311" t="s">
        <v>3571</v>
      </c>
      <c r="C572" s="297" t="s">
        <v>1</v>
      </c>
      <c r="D572" s="300">
        <v>11</v>
      </c>
      <c r="E572" s="301">
        <f t="shared" si="233"/>
        <v>24.727272727272727</v>
      </c>
      <c r="F572" s="298">
        <f t="shared" si="230"/>
        <v>4.0441176470588237E-2</v>
      </c>
      <c r="G572" s="302">
        <f t="shared" si="234"/>
        <v>272</v>
      </c>
      <c r="H572" s="216">
        <v>2.2058823529411766</v>
      </c>
      <c r="I572" s="64"/>
      <c r="J572" s="64"/>
      <c r="K572" s="64"/>
      <c r="L572" s="297">
        <v>600</v>
      </c>
      <c r="M572" s="297">
        <v>660</v>
      </c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</row>
    <row r="573" spans="1:23" s="26" customFormat="1" ht="30" customHeight="1" x14ac:dyDescent="0.2">
      <c r="A573" s="217">
        <v>11413</v>
      </c>
      <c r="B573" s="311" t="s">
        <v>3547</v>
      </c>
      <c r="C573" s="297" t="s">
        <v>1</v>
      </c>
      <c r="D573" s="300">
        <v>12</v>
      </c>
      <c r="E573" s="301">
        <f t="shared" si="233"/>
        <v>24.727272727272727</v>
      </c>
      <c r="F573" s="298">
        <f t="shared" si="230"/>
        <v>4.0441176470588237E-2</v>
      </c>
      <c r="G573" s="302">
        <f t="shared" si="234"/>
        <v>272</v>
      </c>
      <c r="H573" s="216">
        <v>2.2058823529411766</v>
      </c>
      <c r="I573" s="64"/>
      <c r="J573" s="64"/>
      <c r="K573" s="64"/>
      <c r="L573" s="297">
        <v>600</v>
      </c>
      <c r="M573" s="297">
        <v>660</v>
      </c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</row>
    <row r="574" spans="1:23" s="26" customFormat="1" ht="30" customHeight="1" x14ac:dyDescent="0.2">
      <c r="A574" s="217">
        <v>11416</v>
      </c>
      <c r="B574" s="311" t="s">
        <v>3572</v>
      </c>
      <c r="C574" s="297" t="s">
        <v>1</v>
      </c>
      <c r="D574" s="300">
        <v>15</v>
      </c>
      <c r="E574" s="301">
        <f t="shared" si="233"/>
        <v>19.363636363636367</v>
      </c>
      <c r="F574" s="298">
        <f t="shared" si="230"/>
        <v>5.1643192488262907E-2</v>
      </c>
      <c r="G574" s="302">
        <f t="shared" si="234"/>
        <v>213.00000000000003</v>
      </c>
      <c r="H574" s="216">
        <v>2.816901408450704</v>
      </c>
      <c r="I574" s="64"/>
      <c r="J574" s="64"/>
      <c r="K574" s="64"/>
      <c r="L574" s="297">
        <v>600</v>
      </c>
      <c r="M574" s="297">
        <v>660</v>
      </c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</row>
    <row r="575" spans="1:23" s="26" customFormat="1" ht="30" customHeight="1" x14ac:dyDescent="0.2">
      <c r="A575" s="217">
        <v>11417</v>
      </c>
      <c r="B575" s="311" t="s">
        <v>3548</v>
      </c>
      <c r="C575" s="297" t="s">
        <v>1</v>
      </c>
      <c r="D575" s="300">
        <v>16</v>
      </c>
      <c r="E575" s="301">
        <f t="shared" si="233"/>
        <v>19.363636363636367</v>
      </c>
      <c r="F575" s="298">
        <f t="shared" si="230"/>
        <v>5.1643192488262907E-2</v>
      </c>
      <c r="G575" s="302">
        <f t="shared" si="234"/>
        <v>213.00000000000003</v>
      </c>
      <c r="H575" s="216">
        <v>2.816901408450704</v>
      </c>
      <c r="I575" s="64"/>
      <c r="J575" s="64"/>
      <c r="K575" s="64"/>
      <c r="L575" s="297">
        <v>600</v>
      </c>
      <c r="M575" s="297">
        <v>660</v>
      </c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</row>
    <row r="576" spans="1:23" s="26" customFormat="1" ht="30" customHeight="1" x14ac:dyDescent="0.2">
      <c r="A576" s="217">
        <v>11420</v>
      </c>
      <c r="B576" s="311" t="s">
        <v>3549</v>
      </c>
      <c r="C576" s="297" t="s">
        <v>1</v>
      </c>
      <c r="D576" s="300">
        <v>19</v>
      </c>
      <c r="E576" s="301">
        <f t="shared" si="233"/>
        <v>25.181818181818183</v>
      </c>
      <c r="F576" s="298">
        <f t="shared" si="230"/>
        <v>3.9711191335740074E-2</v>
      </c>
      <c r="G576" s="302">
        <f t="shared" si="234"/>
        <v>277</v>
      </c>
      <c r="H576" s="216">
        <v>2.1660649819494586</v>
      </c>
      <c r="I576" s="64"/>
      <c r="J576" s="64"/>
      <c r="K576" s="64"/>
      <c r="L576" s="297">
        <v>600</v>
      </c>
      <c r="M576" s="297">
        <v>660</v>
      </c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</row>
    <row r="577" spans="1:23" s="26" customFormat="1" ht="30" customHeight="1" x14ac:dyDescent="0.2">
      <c r="A577" s="217">
        <v>11421</v>
      </c>
      <c r="B577" s="311" t="s">
        <v>3550</v>
      </c>
      <c r="C577" s="297" t="s">
        <v>1</v>
      </c>
      <c r="D577" s="300">
        <v>20</v>
      </c>
      <c r="E577" s="301">
        <f t="shared" si="233"/>
        <v>18.181818181818183</v>
      </c>
      <c r="F577" s="298">
        <f t="shared" si="230"/>
        <v>5.5E-2</v>
      </c>
      <c r="G577" s="302">
        <f t="shared" si="234"/>
        <v>200</v>
      </c>
      <c r="H577" s="216">
        <v>3</v>
      </c>
      <c r="I577" s="64"/>
      <c r="J577" s="64"/>
      <c r="K577" s="64"/>
      <c r="L577" s="297">
        <v>600</v>
      </c>
      <c r="M577" s="297">
        <v>660</v>
      </c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</row>
    <row r="578" spans="1:23" s="26" customFormat="1" ht="30" customHeight="1" x14ac:dyDescent="0.2">
      <c r="A578" s="217">
        <v>11422</v>
      </c>
      <c r="B578" s="311" t="s">
        <v>3551</v>
      </c>
      <c r="C578" s="297" t="s">
        <v>1</v>
      </c>
      <c r="D578" s="300">
        <v>21</v>
      </c>
      <c r="E578" s="301">
        <f t="shared" ref="E578:E579" si="235">G578/11</f>
        <v>9.0909090909090917</v>
      </c>
      <c r="F578" s="298">
        <f t="shared" si="230"/>
        <v>0.11</v>
      </c>
      <c r="G578" s="302">
        <v>100</v>
      </c>
      <c r="H578" s="216">
        <v>6.5217391304347823</v>
      </c>
      <c r="I578" s="64"/>
      <c r="J578" s="64"/>
      <c r="K578" s="64"/>
      <c r="L578" s="297">
        <v>600</v>
      </c>
      <c r="M578" s="297">
        <v>660</v>
      </c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</row>
    <row r="579" spans="1:23" s="26" customFormat="1" ht="30" customHeight="1" x14ac:dyDescent="0.2">
      <c r="A579" s="217">
        <v>11423</v>
      </c>
      <c r="B579" s="311" t="s">
        <v>3552</v>
      </c>
      <c r="C579" s="297" t="s">
        <v>1</v>
      </c>
      <c r="D579" s="300">
        <v>22</v>
      </c>
      <c r="E579" s="301">
        <f t="shared" si="235"/>
        <v>7.2727272727272725</v>
      </c>
      <c r="F579" s="298">
        <f t="shared" si="230"/>
        <v>0.13750000000000001</v>
      </c>
      <c r="G579" s="302">
        <v>80</v>
      </c>
      <c r="H579" s="216">
        <v>8.695652173913043</v>
      </c>
      <c r="I579" s="64"/>
      <c r="J579" s="64"/>
      <c r="K579" s="64"/>
      <c r="L579" s="297">
        <v>600</v>
      </c>
      <c r="M579" s="297">
        <v>660</v>
      </c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</row>
    <row r="580" spans="1:23" s="26" customFormat="1" ht="30" customHeight="1" x14ac:dyDescent="0.2">
      <c r="A580" s="217"/>
      <c r="B580" s="310" t="s">
        <v>3567</v>
      </c>
      <c r="C580" s="248"/>
      <c r="D580" s="95"/>
      <c r="E580" s="250"/>
      <c r="F580" s="298" t="e">
        <f t="shared" si="230"/>
        <v>#DIV/0!</v>
      </c>
      <c r="G580" s="252"/>
      <c r="H580" s="233"/>
      <c r="I580" s="309"/>
      <c r="J580" s="309"/>
      <c r="K580" s="309"/>
      <c r="L580" s="248"/>
      <c r="M580" s="248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</row>
    <row r="581" spans="1:23" s="26" customFormat="1" ht="30" customHeight="1" x14ac:dyDescent="0.2">
      <c r="A581" s="218" t="s">
        <v>3574</v>
      </c>
      <c r="B581" s="311" t="s">
        <v>3553</v>
      </c>
      <c r="C581" s="297" t="s">
        <v>1</v>
      </c>
      <c r="D581" s="300">
        <v>1</v>
      </c>
      <c r="E581" s="301">
        <f t="shared" ref="E581" si="236">G581/11</f>
        <v>21.181818181818183</v>
      </c>
      <c r="F581" s="298">
        <f t="shared" si="230"/>
        <v>4.7210300429184553E-2</v>
      </c>
      <c r="G581" s="302">
        <f t="shared" ref="G581" si="237">L581/H581</f>
        <v>233</v>
      </c>
      <c r="H581" s="216">
        <v>2.5751072961373391</v>
      </c>
      <c r="I581" s="64"/>
      <c r="J581" s="64"/>
      <c r="K581" s="64"/>
      <c r="L581" s="297">
        <v>600</v>
      </c>
      <c r="M581" s="297">
        <v>660</v>
      </c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</row>
    <row r="582" spans="1:23" s="26" customFormat="1" ht="30" customHeight="1" x14ac:dyDescent="0.2">
      <c r="A582" s="218" t="s">
        <v>3575</v>
      </c>
      <c r="B582" s="311" t="s">
        <v>3554</v>
      </c>
      <c r="C582" s="297" t="s">
        <v>1</v>
      </c>
      <c r="D582" s="300">
        <v>2</v>
      </c>
      <c r="E582" s="301">
        <f t="shared" ref="E582:E584" si="238">G582/11</f>
        <v>15.454545454545455</v>
      </c>
      <c r="F582" s="298">
        <f t="shared" si="230"/>
        <v>6.4705882352941183E-2</v>
      </c>
      <c r="G582" s="302">
        <f t="shared" ref="G582:G584" si="239">L582/H582</f>
        <v>170</v>
      </c>
      <c r="H582" s="216">
        <v>3.5294117647058822</v>
      </c>
      <c r="I582" s="64"/>
      <c r="J582" s="64"/>
      <c r="K582" s="64"/>
      <c r="L582" s="297">
        <v>600</v>
      </c>
      <c r="M582" s="297">
        <v>660</v>
      </c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</row>
    <row r="583" spans="1:23" s="26" customFormat="1" ht="30" customHeight="1" x14ac:dyDescent="0.2">
      <c r="A583" s="218" t="s">
        <v>3576</v>
      </c>
      <c r="B583" s="311" t="s">
        <v>3555</v>
      </c>
      <c r="C583" s="297" t="s">
        <v>1</v>
      </c>
      <c r="D583" s="300">
        <v>3</v>
      </c>
      <c r="E583" s="301">
        <f t="shared" si="238"/>
        <v>12.090909090909092</v>
      </c>
      <c r="F583" s="298">
        <f t="shared" si="230"/>
        <v>8.2706766917293228E-2</v>
      </c>
      <c r="G583" s="302">
        <f t="shared" si="239"/>
        <v>133</v>
      </c>
      <c r="H583" s="216">
        <v>4.511278195488722</v>
      </c>
      <c r="I583" s="64"/>
      <c r="J583" s="64"/>
      <c r="K583" s="64"/>
      <c r="L583" s="297">
        <v>600</v>
      </c>
      <c r="M583" s="297">
        <v>660</v>
      </c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</row>
    <row r="584" spans="1:23" s="26" customFormat="1" ht="30" customHeight="1" x14ac:dyDescent="0.2">
      <c r="A584" s="218" t="s">
        <v>3577</v>
      </c>
      <c r="B584" s="311" t="s">
        <v>3556</v>
      </c>
      <c r="C584" s="297" t="s">
        <v>1</v>
      </c>
      <c r="D584" s="300">
        <v>4</v>
      </c>
      <c r="E584" s="301">
        <f t="shared" si="238"/>
        <v>8.545454545454545</v>
      </c>
      <c r="F584" s="298">
        <f t="shared" si="230"/>
        <v>0.11702127659574468</v>
      </c>
      <c r="G584" s="302">
        <f t="shared" si="239"/>
        <v>94</v>
      </c>
      <c r="H584" s="216">
        <v>6.3829787234042552</v>
      </c>
      <c r="I584" s="64"/>
      <c r="J584" s="64"/>
      <c r="K584" s="64"/>
      <c r="L584" s="297">
        <v>600</v>
      </c>
      <c r="M584" s="297">
        <v>660</v>
      </c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</row>
    <row r="585" spans="1:23" s="26" customFormat="1" ht="30" customHeight="1" x14ac:dyDescent="0.2">
      <c r="A585" s="217"/>
      <c r="B585" s="310" t="s">
        <v>3573</v>
      </c>
      <c r="C585" s="248"/>
      <c r="D585" s="95"/>
      <c r="E585" s="250"/>
      <c r="F585" s="298" t="e">
        <f t="shared" si="230"/>
        <v>#DIV/0!</v>
      </c>
      <c r="G585" s="252"/>
      <c r="H585" s="233"/>
      <c r="I585" s="309"/>
      <c r="J585" s="309"/>
      <c r="K585" s="309"/>
      <c r="L585" s="248"/>
      <c r="M585" s="248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</row>
    <row r="586" spans="1:23" s="26" customFormat="1" ht="30" customHeight="1" x14ac:dyDescent="0.2">
      <c r="A586" s="217">
        <v>11456</v>
      </c>
      <c r="B586" s="311" t="s">
        <v>3557</v>
      </c>
      <c r="C586" s="297" t="s">
        <v>1</v>
      </c>
      <c r="D586" s="300">
        <v>1</v>
      </c>
      <c r="E586" s="301">
        <f t="shared" ref="E586" si="240">G586/11</f>
        <v>16.363636363636363</v>
      </c>
      <c r="F586" s="298">
        <f t="shared" si="230"/>
        <v>6.1111111111111109E-2</v>
      </c>
      <c r="G586" s="302">
        <f t="shared" ref="G586" si="241">L586/H586</f>
        <v>180</v>
      </c>
      <c r="H586" s="216">
        <v>3.3333333333333335</v>
      </c>
      <c r="I586" s="64"/>
      <c r="J586" s="64"/>
      <c r="K586" s="64"/>
      <c r="L586" s="297">
        <v>600</v>
      </c>
      <c r="M586" s="297">
        <v>660</v>
      </c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</row>
    <row r="587" spans="1:23" s="26" customFormat="1" ht="30" customHeight="1" x14ac:dyDescent="0.2">
      <c r="A587" s="217">
        <v>11457</v>
      </c>
      <c r="B587" s="311" t="s">
        <v>3558</v>
      </c>
      <c r="C587" s="297" t="s">
        <v>1</v>
      </c>
      <c r="D587" s="300">
        <v>2</v>
      </c>
      <c r="E587" s="301">
        <f t="shared" ref="E587:E591" si="242">G587/11</f>
        <v>11.727272727272727</v>
      </c>
      <c r="F587" s="298">
        <f t="shared" si="230"/>
        <v>8.5271317829457363E-2</v>
      </c>
      <c r="G587" s="302">
        <f t="shared" ref="G587:G590" si="243">L587/H587</f>
        <v>129</v>
      </c>
      <c r="H587" s="216">
        <v>4.6511627906976747</v>
      </c>
      <c r="I587" s="64"/>
      <c r="J587" s="64"/>
      <c r="K587" s="64"/>
      <c r="L587" s="297">
        <v>600</v>
      </c>
      <c r="M587" s="297">
        <v>660</v>
      </c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</row>
    <row r="588" spans="1:23" s="26" customFormat="1" ht="30" customHeight="1" x14ac:dyDescent="0.2">
      <c r="A588" s="217">
        <v>11458</v>
      </c>
      <c r="B588" s="311" t="s">
        <v>3559</v>
      </c>
      <c r="C588" s="297" t="s">
        <v>1</v>
      </c>
      <c r="D588" s="300">
        <v>3</v>
      </c>
      <c r="E588" s="301">
        <f t="shared" si="242"/>
        <v>10.272727272727273</v>
      </c>
      <c r="F588" s="298">
        <f t="shared" si="230"/>
        <v>9.7345132743362831E-2</v>
      </c>
      <c r="G588" s="302">
        <f t="shared" si="243"/>
        <v>113</v>
      </c>
      <c r="H588" s="216">
        <v>5.3097345132743365</v>
      </c>
      <c r="I588" s="64"/>
      <c r="J588" s="64"/>
      <c r="K588" s="64"/>
      <c r="L588" s="297">
        <v>600</v>
      </c>
      <c r="M588" s="297">
        <v>660</v>
      </c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</row>
    <row r="589" spans="1:23" s="26" customFormat="1" ht="30" customHeight="1" x14ac:dyDescent="0.2">
      <c r="A589" s="217">
        <v>11459</v>
      </c>
      <c r="B589" s="311" t="s">
        <v>3560</v>
      </c>
      <c r="C589" s="297" t="s">
        <v>1</v>
      </c>
      <c r="D589" s="300">
        <v>4</v>
      </c>
      <c r="E589" s="301">
        <f t="shared" si="242"/>
        <v>7.2727272727272725</v>
      </c>
      <c r="F589" s="298">
        <f t="shared" si="230"/>
        <v>0.13750000000000001</v>
      </c>
      <c r="G589" s="302">
        <f t="shared" si="243"/>
        <v>80</v>
      </c>
      <c r="H589" s="216">
        <v>7.5</v>
      </c>
      <c r="I589" s="64"/>
      <c r="J589" s="64"/>
      <c r="K589" s="64"/>
      <c r="L589" s="297">
        <v>600</v>
      </c>
      <c r="M589" s="297">
        <v>660</v>
      </c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</row>
    <row r="590" spans="1:23" s="26" customFormat="1" ht="30" customHeight="1" x14ac:dyDescent="0.2">
      <c r="A590" s="217">
        <v>11460</v>
      </c>
      <c r="B590" s="311" t="s">
        <v>3561</v>
      </c>
      <c r="C590" s="297" t="s">
        <v>1</v>
      </c>
      <c r="D590" s="300">
        <v>5</v>
      </c>
      <c r="E590" s="301">
        <f t="shared" si="242"/>
        <v>6.3636363636363633</v>
      </c>
      <c r="F590" s="298">
        <f t="shared" si="230"/>
        <v>0.15714285714285714</v>
      </c>
      <c r="G590" s="302">
        <f t="shared" si="243"/>
        <v>70</v>
      </c>
      <c r="H590" s="216">
        <v>8.5714285714285712</v>
      </c>
      <c r="I590" s="64"/>
      <c r="J590" s="64"/>
      <c r="K590" s="64"/>
      <c r="L590" s="297">
        <v>600</v>
      </c>
      <c r="M590" s="297">
        <v>660</v>
      </c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</row>
    <row r="591" spans="1:23" s="26" customFormat="1" ht="30" customHeight="1" x14ac:dyDescent="0.2">
      <c r="A591" s="217">
        <v>11461</v>
      </c>
      <c r="B591" s="311" t="s">
        <v>3562</v>
      </c>
      <c r="C591" s="297" t="s">
        <v>1</v>
      </c>
      <c r="D591" s="300">
        <v>6</v>
      </c>
      <c r="E591" s="301">
        <f t="shared" si="242"/>
        <v>5.4545454545454541</v>
      </c>
      <c r="F591" s="298">
        <f t="shared" si="230"/>
        <v>0.18333333333333332</v>
      </c>
      <c r="G591" s="302">
        <v>60</v>
      </c>
      <c r="H591" s="216">
        <v>10.714285714285714</v>
      </c>
      <c r="I591" s="64"/>
      <c r="J591" s="64"/>
      <c r="K591" s="64"/>
      <c r="L591" s="297">
        <v>600</v>
      </c>
      <c r="M591" s="297">
        <v>660</v>
      </c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</row>
    <row r="592" spans="1:23" s="26" customFormat="1" ht="30" customHeight="1" x14ac:dyDescent="0.2">
      <c r="A592" s="106"/>
      <c r="B592" s="142" t="s">
        <v>3240</v>
      </c>
      <c r="C592" s="38"/>
      <c r="D592" s="38"/>
      <c r="E592" s="38"/>
      <c r="F592" s="323"/>
      <c r="G592" s="38"/>
      <c r="H592" s="224"/>
      <c r="I592" s="63"/>
      <c r="J592" s="63"/>
      <c r="K592" s="63"/>
      <c r="L592" s="63"/>
      <c r="M592" s="63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</row>
    <row r="593" spans="1:23" s="322" customFormat="1" ht="30" customHeight="1" x14ac:dyDescent="0.2">
      <c r="A593" s="332" t="s">
        <v>3651</v>
      </c>
      <c r="B593" s="331" t="s">
        <v>3655</v>
      </c>
      <c r="C593" s="320" t="s">
        <v>167</v>
      </c>
      <c r="D593" s="324">
        <v>1</v>
      </c>
      <c r="E593" s="325">
        <v>15.661016949152543</v>
      </c>
      <c r="F593" s="321">
        <v>6.3852813852813842E-2</v>
      </c>
      <c r="G593" s="327">
        <v>172.27118644067798</v>
      </c>
      <c r="H593" s="328">
        <v>3.6</v>
      </c>
      <c r="I593" s="326"/>
      <c r="J593" s="326"/>
      <c r="K593" s="326"/>
      <c r="L593" s="320">
        <v>600</v>
      </c>
      <c r="M593" s="320">
        <v>660</v>
      </c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</row>
    <row r="594" spans="1:23" s="322" customFormat="1" ht="30" customHeight="1" x14ac:dyDescent="0.2">
      <c r="A594" s="332" t="s">
        <v>3652</v>
      </c>
      <c r="B594" s="331" t="s">
        <v>3659</v>
      </c>
      <c r="C594" s="320" t="s">
        <v>167</v>
      </c>
      <c r="D594" s="324">
        <v>1</v>
      </c>
      <c r="E594" s="325">
        <v>10.962711864406783</v>
      </c>
      <c r="F594" s="321">
        <v>9.121830550401977E-2</v>
      </c>
      <c r="G594" s="327">
        <v>120.58983050847461</v>
      </c>
      <c r="H594" s="328">
        <v>4</v>
      </c>
      <c r="I594" s="326"/>
      <c r="J594" s="326"/>
      <c r="K594" s="326"/>
      <c r="L594" s="320">
        <v>600</v>
      </c>
      <c r="M594" s="320">
        <v>660</v>
      </c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</row>
    <row r="595" spans="1:23" s="322" customFormat="1" ht="30" customHeight="1" x14ac:dyDescent="0.2">
      <c r="A595" s="332" t="s">
        <v>3653</v>
      </c>
      <c r="B595" s="331" t="s">
        <v>3658</v>
      </c>
      <c r="C595" s="320" t="s">
        <v>167</v>
      </c>
      <c r="D595" s="324"/>
      <c r="E595" s="325">
        <f t="shared" ref="E595:E602" si="244">G595/11</f>
        <v>12.121212121212123</v>
      </c>
      <c r="F595" s="321">
        <f t="shared" ref="F595:F602" si="245">11/G595</f>
        <v>8.249999999999999E-2</v>
      </c>
      <c r="G595" s="327">
        <f t="shared" ref="G595:G602" si="246">L595/H595</f>
        <v>133.33333333333334</v>
      </c>
      <c r="H595" s="328">
        <v>4.5</v>
      </c>
      <c r="I595" s="326"/>
      <c r="J595" s="326"/>
      <c r="K595" s="326"/>
      <c r="L595" s="320">
        <v>600</v>
      </c>
      <c r="M595" s="320">
        <v>660</v>
      </c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</row>
    <row r="596" spans="1:23" s="322" customFormat="1" ht="30" customHeight="1" x14ac:dyDescent="0.2">
      <c r="A596" s="332" t="s">
        <v>3654</v>
      </c>
      <c r="B596" s="331" t="s">
        <v>3657</v>
      </c>
      <c r="C596" s="320" t="s">
        <v>167</v>
      </c>
      <c r="D596" s="324"/>
      <c r="E596" s="325">
        <f t="shared" si="244"/>
        <v>10.909090909090908</v>
      </c>
      <c r="F596" s="321">
        <f t="shared" si="245"/>
        <v>9.166666666666666E-2</v>
      </c>
      <c r="G596" s="327">
        <f t="shared" si="246"/>
        <v>120</v>
      </c>
      <c r="H596" s="328">
        <v>5</v>
      </c>
      <c r="I596" s="326"/>
      <c r="J596" s="326"/>
      <c r="K596" s="326"/>
      <c r="L596" s="320">
        <v>600</v>
      </c>
      <c r="M596" s="320">
        <v>660</v>
      </c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</row>
    <row r="597" spans="1:23" s="322" customFormat="1" ht="30" customHeight="1" x14ac:dyDescent="0.2">
      <c r="A597" s="332" t="s">
        <v>3650</v>
      </c>
      <c r="B597" s="331" t="s">
        <v>3656</v>
      </c>
      <c r="C597" s="320" t="s">
        <v>167</v>
      </c>
      <c r="D597" s="324">
        <v>1</v>
      </c>
      <c r="E597" s="325">
        <f t="shared" si="244"/>
        <v>9.0909090909090917</v>
      </c>
      <c r="F597" s="321">
        <f t="shared" si="245"/>
        <v>0.11</v>
      </c>
      <c r="G597" s="327">
        <f t="shared" si="246"/>
        <v>100</v>
      </c>
      <c r="H597" s="328">
        <v>6</v>
      </c>
      <c r="I597" s="326"/>
      <c r="J597" s="326"/>
      <c r="K597" s="326"/>
      <c r="L597" s="320">
        <v>600</v>
      </c>
      <c r="M597" s="320">
        <v>660</v>
      </c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</row>
    <row r="598" spans="1:23" s="26" customFormat="1" ht="30" customHeight="1" x14ac:dyDescent="0.2">
      <c r="A598" s="204" t="s">
        <v>3230</v>
      </c>
      <c r="B598" s="205" t="s">
        <v>727</v>
      </c>
      <c r="C598" s="21" t="s">
        <v>220</v>
      </c>
      <c r="D598" s="50">
        <v>1</v>
      </c>
      <c r="E598" s="325">
        <f t="shared" si="244"/>
        <v>55.469953775038519</v>
      </c>
      <c r="F598" s="321">
        <f t="shared" si="245"/>
        <v>1.8027777777777778E-2</v>
      </c>
      <c r="G598" s="327">
        <f t="shared" si="246"/>
        <v>610.16949152542372</v>
      </c>
      <c r="H598" s="77">
        <v>0.98333333333333328</v>
      </c>
      <c r="I598" s="71">
        <f t="shared" ref="I598:I601" si="247">M598/L598</f>
        <v>1.1000000000000001</v>
      </c>
      <c r="J598" s="23">
        <f t="shared" ref="J598:J600" si="248">11/K598</f>
        <v>1.8027777777777778E-2</v>
      </c>
      <c r="K598" s="65">
        <f t="shared" ref="K598:K600" si="249">M598/(H598*I598)</f>
        <v>610.16949152542372</v>
      </c>
      <c r="L598" s="21">
        <v>600</v>
      </c>
      <c r="M598" s="21">
        <v>660</v>
      </c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</row>
    <row r="599" spans="1:23" s="26" customFormat="1" ht="30" customHeight="1" x14ac:dyDescent="0.2">
      <c r="A599" s="204" t="s">
        <v>3233</v>
      </c>
      <c r="B599" s="111" t="s">
        <v>728</v>
      </c>
      <c r="C599" s="21" t="s">
        <v>19</v>
      </c>
      <c r="D599" s="50">
        <v>1</v>
      </c>
      <c r="E599" s="325">
        <f t="shared" si="244"/>
        <v>3.3281972265023114</v>
      </c>
      <c r="F599" s="321">
        <f t="shared" si="245"/>
        <v>0.30046296296296293</v>
      </c>
      <c r="G599" s="327">
        <f t="shared" si="246"/>
        <v>36.610169491525426</v>
      </c>
      <c r="H599" s="77">
        <v>16.388888888888889</v>
      </c>
      <c r="I599" s="71">
        <f t="shared" si="247"/>
        <v>1.1000000000000001</v>
      </c>
      <c r="J599" s="23">
        <f t="shared" si="248"/>
        <v>0.30046296296296293</v>
      </c>
      <c r="K599" s="65">
        <f t="shared" si="249"/>
        <v>36.610169491525426</v>
      </c>
      <c r="L599" s="21">
        <v>600</v>
      </c>
      <c r="M599" s="21">
        <v>660</v>
      </c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</row>
    <row r="600" spans="1:23" s="26" customFormat="1" ht="30" customHeight="1" x14ac:dyDescent="0.2">
      <c r="A600" s="204" t="s">
        <v>3234</v>
      </c>
      <c r="B600" s="205" t="s">
        <v>3238</v>
      </c>
      <c r="C600" s="21" t="s">
        <v>511</v>
      </c>
      <c r="D600" s="50">
        <v>1</v>
      </c>
      <c r="E600" s="325">
        <f t="shared" si="244"/>
        <v>9.2745762711864419</v>
      </c>
      <c r="F600" s="321">
        <f t="shared" si="245"/>
        <v>0.10782163742690057</v>
      </c>
      <c r="G600" s="327">
        <f t="shared" si="246"/>
        <v>102.02033898305086</v>
      </c>
      <c r="H600" s="77">
        <v>5.8811802232854857</v>
      </c>
      <c r="I600" s="71">
        <f t="shared" si="247"/>
        <v>1.1000000000000001</v>
      </c>
      <c r="J600" s="23">
        <f t="shared" si="248"/>
        <v>0.10782163742690058</v>
      </c>
      <c r="K600" s="65">
        <f t="shared" si="249"/>
        <v>102.02033898305085</v>
      </c>
      <c r="L600" s="21">
        <v>600</v>
      </c>
      <c r="M600" s="21">
        <v>660</v>
      </c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</row>
    <row r="601" spans="1:23" s="26" customFormat="1" ht="30" customHeight="1" x14ac:dyDescent="0.2">
      <c r="A601" s="204" t="s">
        <v>1982</v>
      </c>
      <c r="B601" s="205" t="s">
        <v>3239</v>
      </c>
      <c r="C601" s="21" t="s">
        <v>511</v>
      </c>
      <c r="D601" s="50">
        <v>1</v>
      </c>
      <c r="E601" s="325">
        <f t="shared" si="244"/>
        <v>7.5661016949152549</v>
      </c>
      <c r="F601" s="321">
        <f t="shared" si="245"/>
        <v>0.13216845878136199</v>
      </c>
      <c r="G601" s="327">
        <f t="shared" si="246"/>
        <v>83.227118644067801</v>
      </c>
      <c r="H601" s="77">
        <v>7.2091886608015638</v>
      </c>
      <c r="I601" s="71">
        <f t="shared" si="247"/>
        <v>1.1000000000000001</v>
      </c>
      <c r="J601" s="23">
        <f>11/K601</f>
        <v>0.13216845878136202</v>
      </c>
      <c r="K601" s="65">
        <f>M601/(H601*I601)</f>
        <v>83.227118644067787</v>
      </c>
      <c r="L601" s="21">
        <v>600</v>
      </c>
      <c r="M601" s="21">
        <v>660</v>
      </c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</row>
    <row r="602" spans="1:23" s="26" customFormat="1" ht="30" customHeight="1" x14ac:dyDescent="0.2">
      <c r="A602" s="204" t="s">
        <v>1983</v>
      </c>
      <c r="B602" s="205" t="s">
        <v>3231</v>
      </c>
      <c r="C602" s="21" t="s">
        <v>511</v>
      </c>
      <c r="D602" s="50">
        <v>1</v>
      </c>
      <c r="E602" s="325">
        <f t="shared" si="244"/>
        <v>5.4545454545454541</v>
      </c>
      <c r="F602" s="321">
        <f t="shared" si="245"/>
        <v>0.18333333333333332</v>
      </c>
      <c r="G602" s="327">
        <f t="shared" si="246"/>
        <v>60</v>
      </c>
      <c r="H602" s="77">
        <v>10</v>
      </c>
      <c r="I602" s="71">
        <f t="shared" ref="I602:I614" si="250">M602/L602</f>
        <v>1.1000000000000001</v>
      </c>
      <c r="J602" s="23">
        <f t="shared" ref="J602:J625" si="251">11/K602</f>
        <v>0.18333333333333332</v>
      </c>
      <c r="K602" s="65">
        <f t="shared" ref="K602:K613" si="252">M602/(H602*I602)</f>
        <v>60</v>
      </c>
      <c r="L602" s="21">
        <v>600</v>
      </c>
      <c r="M602" s="21">
        <v>660</v>
      </c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</row>
    <row r="603" spans="1:23" s="26" customFormat="1" ht="30" customHeight="1" x14ac:dyDescent="0.2">
      <c r="A603" s="204" t="s">
        <v>1984</v>
      </c>
      <c r="B603" s="205" t="s">
        <v>3232</v>
      </c>
      <c r="C603" s="21" t="s">
        <v>511</v>
      </c>
      <c r="D603" s="50">
        <v>1</v>
      </c>
      <c r="E603" s="51">
        <f t="shared" ref="E603" si="253">G603/11</f>
        <v>4.1958041958041958</v>
      </c>
      <c r="F603" s="298">
        <f t="shared" si="230"/>
        <v>0.23833333333333334</v>
      </c>
      <c r="G603" s="65">
        <f t="shared" ref="G603" si="254">L603/H603</f>
        <v>46.153846153846153</v>
      </c>
      <c r="H603" s="77">
        <v>13</v>
      </c>
      <c r="I603" s="71">
        <f t="shared" si="250"/>
        <v>1.1000000000000001</v>
      </c>
      <c r="J603" s="23">
        <f t="shared" si="251"/>
        <v>0.23833333333333334</v>
      </c>
      <c r="K603" s="65">
        <f t="shared" si="252"/>
        <v>46.153846153846153</v>
      </c>
      <c r="L603" s="21">
        <v>600</v>
      </c>
      <c r="M603" s="21">
        <v>660</v>
      </c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</row>
    <row r="604" spans="1:23" s="26" customFormat="1" ht="30" customHeight="1" x14ac:dyDescent="0.2">
      <c r="A604" s="204" t="s">
        <v>1985</v>
      </c>
      <c r="B604" s="162" t="s">
        <v>3356</v>
      </c>
      <c r="C604" s="21" t="s">
        <v>132</v>
      </c>
      <c r="D604" s="50">
        <v>1</v>
      </c>
      <c r="E604" s="51">
        <f t="shared" ref="E604" si="255">G604/11</f>
        <v>18.181818181818183</v>
      </c>
      <c r="F604" s="298">
        <f t="shared" si="230"/>
        <v>5.5E-2</v>
      </c>
      <c r="G604" s="65">
        <f t="shared" ref="G604" si="256">L604/H604</f>
        <v>200</v>
      </c>
      <c r="H604" s="256">
        <v>3</v>
      </c>
      <c r="I604" s="71">
        <f t="shared" si="250"/>
        <v>1.1000000000000001</v>
      </c>
      <c r="J604" s="23">
        <f t="shared" si="251"/>
        <v>5.5000000000000007E-2</v>
      </c>
      <c r="K604" s="65">
        <f t="shared" si="252"/>
        <v>199.99999999999997</v>
      </c>
      <c r="L604" s="21">
        <v>600</v>
      </c>
      <c r="M604" s="21">
        <v>660</v>
      </c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</row>
    <row r="605" spans="1:23" s="26" customFormat="1" ht="30" customHeight="1" x14ac:dyDescent="0.2">
      <c r="A605" s="204" t="s">
        <v>1986</v>
      </c>
      <c r="B605" s="162" t="s">
        <v>3357</v>
      </c>
      <c r="C605" s="21" t="s">
        <v>132</v>
      </c>
      <c r="D605" s="50">
        <v>1</v>
      </c>
      <c r="E605" s="51">
        <f t="shared" ref="E605:E616" si="257">G605/11</f>
        <v>13.636363636363637</v>
      </c>
      <c r="F605" s="298">
        <f t="shared" si="230"/>
        <v>7.3333333333333334E-2</v>
      </c>
      <c r="G605" s="65">
        <f t="shared" ref="G605:G616" si="258">L605/H605</f>
        <v>150</v>
      </c>
      <c r="H605" s="256">
        <v>4</v>
      </c>
      <c r="I605" s="71">
        <f t="shared" si="250"/>
        <v>1.1000000000000001</v>
      </c>
      <c r="J605" s="23">
        <f t="shared" si="251"/>
        <v>7.3333333333333334E-2</v>
      </c>
      <c r="K605" s="65">
        <f t="shared" si="252"/>
        <v>150</v>
      </c>
      <c r="L605" s="21">
        <v>600</v>
      </c>
      <c r="M605" s="21">
        <v>660</v>
      </c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</row>
    <row r="606" spans="1:23" s="26" customFormat="1" ht="30" customHeight="1" x14ac:dyDescent="0.2">
      <c r="A606" s="204" t="s">
        <v>1987</v>
      </c>
      <c r="B606" s="162" t="s">
        <v>3358</v>
      </c>
      <c r="C606" s="21" t="s">
        <v>132</v>
      </c>
      <c r="D606" s="50">
        <v>1</v>
      </c>
      <c r="E606" s="51">
        <f t="shared" si="257"/>
        <v>15.584415584415583</v>
      </c>
      <c r="F606" s="298">
        <f t="shared" si="230"/>
        <v>6.4166666666666677E-2</v>
      </c>
      <c r="G606" s="65">
        <f t="shared" si="258"/>
        <v>171.42857142857142</v>
      </c>
      <c r="H606" s="256">
        <v>3.5</v>
      </c>
      <c r="I606" s="71">
        <f t="shared" si="250"/>
        <v>1.1000000000000001</v>
      </c>
      <c r="J606" s="23">
        <f t="shared" si="251"/>
        <v>6.4166666666666677E-2</v>
      </c>
      <c r="K606" s="65">
        <f t="shared" si="252"/>
        <v>171.42857142857142</v>
      </c>
      <c r="L606" s="21">
        <v>600</v>
      </c>
      <c r="M606" s="21">
        <v>660</v>
      </c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</row>
    <row r="607" spans="1:23" s="26" customFormat="1" ht="30" customHeight="1" x14ac:dyDescent="0.2">
      <c r="A607" s="204" t="s">
        <v>1988</v>
      </c>
      <c r="B607" s="162" t="s">
        <v>3359</v>
      </c>
      <c r="C607" s="21" t="s">
        <v>132</v>
      </c>
      <c r="D607" s="50">
        <v>1</v>
      </c>
      <c r="E607" s="51">
        <f t="shared" si="257"/>
        <v>12.684989429175475</v>
      </c>
      <c r="F607" s="298">
        <f t="shared" si="230"/>
        <v>7.8833333333333339E-2</v>
      </c>
      <c r="G607" s="65">
        <f t="shared" si="258"/>
        <v>139.53488372093022</v>
      </c>
      <c r="H607" s="256">
        <v>4.3</v>
      </c>
      <c r="I607" s="71">
        <f t="shared" si="250"/>
        <v>1.1000000000000001</v>
      </c>
      <c r="J607" s="23">
        <f t="shared" si="251"/>
        <v>7.8833333333333339E-2</v>
      </c>
      <c r="K607" s="65">
        <f t="shared" si="252"/>
        <v>139.53488372093022</v>
      </c>
      <c r="L607" s="21">
        <v>600</v>
      </c>
      <c r="M607" s="21">
        <v>660</v>
      </c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</row>
    <row r="608" spans="1:23" s="26" customFormat="1" ht="30" customHeight="1" x14ac:dyDescent="0.2">
      <c r="A608" s="204" t="s">
        <v>3235</v>
      </c>
      <c r="B608" s="162" t="s">
        <v>3360</v>
      </c>
      <c r="C608" s="21" t="s">
        <v>132</v>
      </c>
      <c r="D608" s="50">
        <v>1</v>
      </c>
      <c r="E608" s="51">
        <f t="shared" si="257"/>
        <v>11.857707509881424</v>
      </c>
      <c r="F608" s="298">
        <f t="shared" si="230"/>
        <v>8.433333333333333E-2</v>
      </c>
      <c r="G608" s="65">
        <f t="shared" si="258"/>
        <v>130.43478260869566</v>
      </c>
      <c r="H608" s="256">
        <v>4.5999999999999996</v>
      </c>
      <c r="I608" s="71">
        <f t="shared" si="250"/>
        <v>1.1000000000000001</v>
      </c>
      <c r="J608" s="23">
        <f t="shared" si="251"/>
        <v>8.433333333333333E-2</v>
      </c>
      <c r="K608" s="65">
        <f t="shared" si="252"/>
        <v>130.43478260869566</v>
      </c>
      <c r="L608" s="21">
        <v>600</v>
      </c>
      <c r="M608" s="21">
        <v>660</v>
      </c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</row>
    <row r="609" spans="1:23" s="26" customFormat="1" ht="30" customHeight="1" x14ac:dyDescent="0.2">
      <c r="A609" s="204" t="s">
        <v>3236</v>
      </c>
      <c r="B609" s="162" t="s">
        <v>3361</v>
      </c>
      <c r="C609" s="21" t="s">
        <v>132</v>
      </c>
      <c r="D609" s="50">
        <v>1</v>
      </c>
      <c r="E609" s="51">
        <f t="shared" si="257"/>
        <v>10.909090909090908</v>
      </c>
      <c r="F609" s="298">
        <f t="shared" si="230"/>
        <v>9.166666666666666E-2</v>
      </c>
      <c r="G609" s="65">
        <f t="shared" si="258"/>
        <v>120</v>
      </c>
      <c r="H609" s="256">
        <v>5</v>
      </c>
      <c r="I609" s="71">
        <f t="shared" si="250"/>
        <v>1.1000000000000001</v>
      </c>
      <c r="J609" s="23">
        <f t="shared" si="251"/>
        <v>9.166666666666666E-2</v>
      </c>
      <c r="K609" s="65">
        <f t="shared" si="252"/>
        <v>120</v>
      </c>
      <c r="L609" s="21">
        <v>600</v>
      </c>
      <c r="M609" s="21">
        <v>660</v>
      </c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</row>
    <row r="610" spans="1:23" s="26" customFormat="1" ht="30" customHeight="1" x14ac:dyDescent="0.2">
      <c r="A610" s="204" t="s">
        <v>3237</v>
      </c>
      <c r="B610" s="162" t="s">
        <v>3362</v>
      </c>
      <c r="C610" s="21" t="s">
        <v>132</v>
      </c>
      <c r="D610" s="50">
        <v>1</v>
      </c>
      <c r="E610" s="51">
        <f t="shared" si="257"/>
        <v>11.363636363636363</v>
      </c>
      <c r="F610" s="298">
        <f t="shared" si="230"/>
        <v>8.7999999999999995E-2</v>
      </c>
      <c r="G610" s="65">
        <f t="shared" si="258"/>
        <v>125</v>
      </c>
      <c r="H610" s="256">
        <v>4.8</v>
      </c>
      <c r="I610" s="71">
        <f t="shared" si="250"/>
        <v>1.1000000000000001</v>
      </c>
      <c r="J610" s="23">
        <f t="shared" si="251"/>
        <v>8.7999999999999995E-2</v>
      </c>
      <c r="K610" s="65">
        <f t="shared" si="252"/>
        <v>125</v>
      </c>
      <c r="L610" s="21">
        <v>600</v>
      </c>
      <c r="M610" s="21">
        <v>660</v>
      </c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</row>
    <row r="611" spans="1:23" s="26" customFormat="1" ht="30" customHeight="1" x14ac:dyDescent="0.2">
      <c r="A611" s="204" t="s">
        <v>1989</v>
      </c>
      <c r="B611" s="162" t="s">
        <v>3363</v>
      </c>
      <c r="C611" s="21" t="s">
        <v>132</v>
      </c>
      <c r="D611" s="50">
        <v>1</v>
      </c>
      <c r="E611" s="51">
        <f t="shared" si="257"/>
        <v>9.0909090909090917</v>
      </c>
      <c r="F611" s="298">
        <f t="shared" si="230"/>
        <v>0.11</v>
      </c>
      <c r="G611" s="65">
        <f t="shared" si="258"/>
        <v>100</v>
      </c>
      <c r="H611" s="256">
        <v>6</v>
      </c>
      <c r="I611" s="71">
        <f t="shared" si="250"/>
        <v>1.1000000000000001</v>
      </c>
      <c r="J611" s="23">
        <f t="shared" si="251"/>
        <v>0.11000000000000001</v>
      </c>
      <c r="K611" s="65">
        <f t="shared" si="252"/>
        <v>99.999999999999986</v>
      </c>
      <c r="L611" s="21">
        <v>600</v>
      </c>
      <c r="M611" s="21">
        <v>660</v>
      </c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</row>
    <row r="612" spans="1:23" s="26" customFormat="1" ht="30" customHeight="1" x14ac:dyDescent="0.2">
      <c r="A612" s="204" t="s">
        <v>1990</v>
      </c>
      <c r="B612" s="162" t="s">
        <v>3364</v>
      </c>
      <c r="C612" s="21" t="s">
        <v>132</v>
      </c>
      <c r="D612" s="50">
        <v>1</v>
      </c>
      <c r="E612" s="51">
        <f t="shared" si="257"/>
        <v>10.1010101010101</v>
      </c>
      <c r="F612" s="298">
        <f t="shared" si="230"/>
        <v>9.9000000000000005E-2</v>
      </c>
      <c r="G612" s="65">
        <f t="shared" si="258"/>
        <v>111.1111111111111</v>
      </c>
      <c r="H612" s="256">
        <v>5.4</v>
      </c>
      <c r="I612" s="71">
        <f t="shared" si="250"/>
        <v>1.1000000000000001</v>
      </c>
      <c r="J612" s="23">
        <f t="shared" si="251"/>
        <v>9.9000000000000019E-2</v>
      </c>
      <c r="K612" s="65">
        <f t="shared" si="252"/>
        <v>111.11111111111109</v>
      </c>
      <c r="L612" s="21">
        <v>600</v>
      </c>
      <c r="M612" s="21">
        <v>660</v>
      </c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</row>
    <row r="613" spans="1:23" s="26" customFormat="1" ht="30" customHeight="1" x14ac:dyDescent="0.2">
      <c r="A613" s="204" t="s">
        <v>1991</v>
      </c>
      <c r="B613" s="162" t="s">
        <v>3365</v>
      </c>
      <c r="C613" s="21" t="s">
        <v>132</v>
      </c>
      <c r="D613" s="50">
        <v>1</v>
      </c>
      <c r="E613" s="51">
        <f t="shared" si="257"/>
        <v>7.7922077922077913</v>
      </c>
      <c r="F613" s="298">
        <f t="shared" si="230"/>
        <v>0.12833333333333335</v>
      </c>
      <c r="G613" s="65">
        <f t="shared" si="258"/>
        <v>85.714285714285708</v>
      </c>
      <c r="H613" s="256">
        <v>7</v>
      </c>
      <c r="I613" s="71">
        <f t="shared" si="250"/>
        <v>1.1000000000000001</v>
      </c>
      <c r="J613" s="23">
        <f t="shared" si="251"/>
        <v>0.12833333333333335</v>
      </c>
      <c r="K613" s="65">
        <f t="shared" si="252"/>
        <v>85.714285714285708</v>
      </c>
      <c r="L613" s="21">
        <v>600</v>
      </c>
      <c r="M613" s="21">
        <v>660</v>
      </c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</row>
    <row r="614" spans="1:23" s="26" customFormat="1" ht="30" customHeight="1" x14ac:dyDescent="0.2">
      <c r="A614" s="204" t="s">
        <v>3218</v>
      </c>
      <c r="B614" s="162" t="s">
        <v>3366</v>
      </c>
      <c r="C614" s="21" t="s">
        <v>132</v>
      </c>
      <c r="D614" s="50">
        <v>1</v>
      </c>
      <c r="E614" s="51">
        <f t="shared" si="257"/>
        <v>6.5717415115005471</v>
      </c>
      <c r="F614" s="298">
        <f t="shared" si="230"/>
        <v>0.1521666666666667</v>
      </c>
      <c r="G614" s="65">
        <f t="shared" si="258"/>
        <v>72.289156626506013</v>
      </c>
      <c r="H614" s="256">
        <v>8.3000000000000007</v>
      </c>
      <c r="I614" s="71">
        <f t="shared" si="250"/>
        <v>1.1000000000000001</v>
      </c>
      <c r="J614" s="23">
        <f>11/K614</f>
        <v>0.1521666666666667</v>
      </c>
      <c r="K614" s="65">
        <f>M614/(H614*I614)</f>
        <v>72.289156626506013</v>
      </c>
      <c r="L614" s="21">
        <v>600</v>
      </c>
      <c r="M614" s="21">
        <v>660</v>
      </c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</row>
    <row r="615" spans="1:23" s="26" customFormat="1" ht="30" customHeight="1" x14ac:dyDescent="0.2">
      <c r="A615" s="204" t="s">
        <v>3219</v>
      </c>
      <c r="B615" s="162" t="s">
        <v>3367</v>
      </c>
      <c r="C615" s="21" t="s">
        <v>132</v>
      </c>
      <c r="D615" s="50">
        <v>1</v>
      </c>
      <c r="E615" s="51">
        <f t="shared" si="257"/>
        <v>9.0909090909090917</v>
      </c>
      <c r="F615" s="298">
        <f t="shared" si="230"/>
        <v>0.11</v>
      </c>
      <c r="G615" s="65">
        <f t="shared" si="258"/>
        <v>100</v>
      </c>
      <c r="H615" s="256">
        <v>6</v>
      </c>
      <c r="I615" s="71">
        <f t="shared" ref="I615:I625" si="259">M615/L615</f>
        <v>1.1000000000000001</v>
      </c>
      <c r="J615" s="23">
        <f t="shared" si="251"/>
        <v>0.11000000000000001</v>
      </c>
      <c r="K615" s="65">
        <f t="shared" ref="K615:K625" si="260">M615/(H615*I615)</f>
        <v>99.999999999999986</v>
      </c>
      <c r="L615" s="21">
        <v>600</v>
      </c>
      <c r="M615" s="21">
        <v>660</v>
      </c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</row>
    <row r="616" spans="1:23" s="26" customFormat="1" ht="30" customHeight="1" x14ac:dyDescent="0.2">
      <c r="A616" s="204" t="s">
        <v>3220</v>
      </c>
      <c r="B616" s="162" t="s">
        <v>3368</v>
      </c>
      <c r="C616" s="21" t="s">
        <v>132</v>
      </c>
      <c r="D616" s="50">
        <v>1</v>
      </c>
      <c r="E616" s="51">
        <f t="shared" si="257"/>
        <v>6.8181818181818183</v>
      </c>
      <c r="F616" s="298">
        <f t="shared" si="230"/>
        <v>0.14666666666666667</v>
      </c>
      <c r="G616" s="65">
        <f t="shared" si="258"/>
        <v>75</v>
      </c>
      <c r="H616" s="256">
        <v>8</v>
      </c>
      <c r="I616" s="71">
        <f t="shared" si="259"/>
        <v>1.1000000000000001</v>
      </c>
      <c r="J616" s="23">
        <f t="shared" si="251"/>
        <v>0.14666666666666667</v>
      </c>
      <c r="K616" s="65">
        <f t="shared" si="260"/>
        <v>75</v>
      </c>
      <c r="L616" s="21">
        <v>600</v>
      </c>
      <c r="M616" s="21">
        <v>660</v>
      </c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</row>
    <row r="617" spans="1:23" s="26" customFormat="1" ht="30" customHeight="1" x14ac:dyDescent="0.2">
      <c r="A617" s="204" t="s">
        <v>3221</v>
      </c>
      <c r="B617" s="162" t="s">
        <v>3369</v>
      </c>
      <c r="C617" s="21" t="s">
        <v>132</v>
      </c>
      <c r="D617" s="50">
        <v>1</v>
      </c>
      <c r="E617" s="51">
        <f t="shared" ref="E617:E625" si="261">G617/11</f>
        <v>7.7922077922077913</v>
      </c>
      <c r="F617" s="298">
        <f t="shared" si="230"/>
        <v>0.12833333333333335</v>
      </c>
      <c r="G617" s="65">
        <f t="shared" ref="G617:G625" si="262">L617/H617</f>
        <v>85.714285714285708</v>
      </c>
      <c r="H617" s="256">
        <v>7</v>
      </c>
      <c r="I617" s="71">
        <f t="shared" si="259"/>
        <v>1.1000000000000001</v>
      </c>
      <c r="J617" s="23">
        <f t="shared" si="251"/>
        <v>0.12833333333333335</v>
      </c>
      <c r="K617" s="65">
        <f t="shared" si="260"/>
        <v>85.714285714285708</v>
      </c>
      <c r="L617" s="21">
        <v>600</v>
      </c>
      <c r="M617" s="21">
        <v>660</v>
      </c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</row>
    <row r="618" spans="1:23" s="26" customFormat="1" ht="30" customHeight="1" x14ac:dyDescent="0.2">
      <c r="A618" s="204" t="s">
        <v>3222</v>
      </c>
      <c r="B618" s="162" t="s">
        <v>3370</v>
      </c>
      <c r="C618" s="21" t="s">
        <v>132</v>
      </c>
      <c r="D618" s="50">
        <v>1</v>
      </c>
      <c r="E618" s="51">
        <f t="shared" si="261"/>
        <v>6.3424947145877377</v>
      </c>
      <c r="F618" s="298">
        <f t="shared" si="230"/>
        <v>0.15766666666666668</v>
      </c>
      <c r="G618" s="65">
        <f t="shared" si="262"/>
        <v>69.767441860465112</v>
      </c>
      <c r="H618" s="256">
        <v>8.6</v>
      </c>
      <c r="I618" s="71">
        <f t="shared" si="259"/>
        <v>1.1000000000000001</v>
      </c>
      <c r="J618" s="23">
        <f t="shared" si="251"/>
        <v>0.15766666666666668</v>
      </c>
      <c r="K618" s="65">
        <f t="shared" si="260"/>
        <v>69.767441860465112</v>
      </c>
      <c r="L618" s="21">
        <v>600</v>
      </c>
      <c r="M618" s="21">
        <v>660</v>
      </c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</row>
    <row r="619" spans="1:23" s="26" customFormat="1" ht="30" customHeight="1" x14ac:dyDescent="0.2">
      <c r="A619" s="204" t="s">
        <v>3223</v>
      </c>
      <c r="B619" s="162" t="s">
        <v>3371</v>
      </c>
      <c r="C619" s="21" t="s">
        <v>132</v>
      </c>
      <c r="D619" s="50">
        <v>1</v>
      </c>
      <c r="E619" s="51">
        <f t="shared" si="261"/>
        <v>5.9288537549407119</v>
      </c>
      <c r="F619" s="298">
        <f t="shared" si="230"/>
        <v>0.16866666666666666</v>
      </c>
      <c r="G619" s="65">
        <f t="shared" si="262"/>
        <v>65.217391304347828</v>
      </c>
      <c r="H619" s="256">
        <v>9.1999999999999993</v>
      </c>
      <c r="I619" s="71">
        <f t="shared" si="259"/>
        <v>1.1000000000000001</v>
      </c>
      <c r="J619" s="23">
        <f t="shared" si="251"/>
        <v>0.16866666666666666</v>
      </c>
      <c r="K619" s="65">
        <f t="shared" si="260"/>
        <v>65.217391304347828</v>
      </c>
      <c r="L619" s="21">
        <v>600</v>
      </c>
      <c r="M619" s="21">
        <v>660</v>
      </c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</row>
    <row r="620" spans="1:23" s="26" customFormat="1" ht="30" customHeight="1" x14ac:dyDescent="0.2">
      <c r="A620" s="204" t="s">
        <v>3224</v>
      </c>
      <c r="B620" s="162" t="s">
        <v>3372</v>
      </c>
      <c r="C620" s="21" t="s">
        <v>132</v>
      </c>
      <c r="D620" s="50">
        <v>1</v>
      </c>
      <c r="E620" s="51">
        <f t="shared" si="261"/>
        <v>5.4545454545454541</v>
      </c>
      <c r="F620" s="298">
        <f t="shared" si="230"/>
        <v>0.18333333333333332</v>
      </c>
      <c r="G620" s="65">
        <f t="shared" si="262"/>
        <v>60</v>
      </c>
      <c r="H620" s="256">
        <v>10</v>
      </c>
      <c r="I620" s="71">
        <f t="shared" si="259"/>
        <v>1.1000000000000001</v>
      </c>
      <c r="J620" s="23">
        <f t="shared" si="251"/>
        <v>0.18333333333333332</v>
      </c>
      <c r="K620" s="65">
        <f t="shared" si="260"/>
        <v>60</v>
      </c>
      <c r="L620" s="21">
        <v>600</v>
      </c>
      <c r="M620" s="21">
        <v>660</v>
      </c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</row>
    <row r="621" spans="1:23" s="26" customFormat="1" ht="30" customHeight="1" x14ac:dyDescent="0.2">
      <c r="A621" s="204" t="s">
        <v>3225</v>
      </c>
      <c r="B621" s="162" t="s">
        <v>3373</v>
      </c>
      <c r="C621" s="21" t="s">
        <v>132</v>
      </c>
      <c r="D621" s="50">
        <v>1</v>
      </c>
      <c r="E621" s="51">
        <f t="shared" si="261"/>
        <v>5.6818181818181817</v>
      </c>
      <c r="F621" s="298">
        <f t="shared" si="230"/>
        <v>0.17599999999999999</v>
      </c>
      <c r="G621" s="65">
        <f t="shared" si="262"/>
        <v>62.5</v>
      </c>
      <c r="H621" s="256">
        <v>9.6</v>
      </c>
      <c r="I621" s="71">
        <f t="shared" si="259"/>
        <v>1.1000000000000001</v>
      </c>
      <c r="J621" s="23">
        <f t="shared" si="251"/>
        <v>0.17599999999999999</v>
      </c>
      <c r="K621" s="65">
        <f t="shared" si="260"/>
        <v>62.5</v>
      </c>
      <c r="L621" s="21">
        <v>600</v>
      </c>
      <c r="M621" s="21">
        <v>660</v>
      </c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</row>
    <row r="622" spans="1:23" s="26" customFormat="1" ht="30" customHeight="1" x14ac:dyDescent="0.2">
      <c r="A622" s="204" t="s">
        <v>3226</v>
      </c>
      <c r="B622" s="162" t="s">
        <v>3374</v>
      </c>
      <c r="C622" s="21" t="s">
        <v>132</v>
      </c>
      <c r="D622" s="50">
        <v>1</v>
      </c>
      <c r="E622" s="51">
        <f t="shared" si="261"/>
        <v>4.5454545454545459</v>
      </c>
      <c r="F622" s="298">
        <f t="shared" si="230"/>
        <v>0.22</v>
      </c>
      <c r="G622" s="65">
        <f t="shared" si="262"/>
        <v>50</v>
      </c>
      <c r="H622" s="256">
        <v>12</v>
      </c>
      <c r="I622" s="71">
        <f t="shared" si="259"/>
        <v>1.1000000000000001</v>
      </c>
      <c r="J622" s="23">
        <f t="shared" si="251"/>
        <v>0.22000000000000003</v>
      </c>
      <c r="K622" s="65">
        <f t="shared" si="260"/>
        <v>49.999999999999993</v>
      </c>
      <c r="L622" s="21">
        <v>600</v>
      </c>
      <c r="M622" s="21">
        <v>660</v>
      </c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</row>
    <row r="623" spans="1:23" s="26" customFormat="1" ht="30" customHeight="1" x14ac:dyDescent="0.2">
      <c r="A623" s="204" t="s">
        <v>3227</v>
      </c>
      <c r="B623" s="162" t="s">
        <v>3375</v>
      </c>
      <c r="C623" s="21" t="s">
        <v>132</v>
      </c>
      <c r="D623" s="50">
        <v>1</v>
      </c>
      <c r="E623" s="51">
        <f t="shared" si="261"/>
        <v>5.0505050505050502</v>
      </c>
      <c r="F623" s="298">
        <f t="shared" si="230"/>
        <v>0.19800000000000001</v>
      </c>
      <c r="G623" s="65">
        <f t="shared" si="262"/>
        <v>55.55555555555555</v>
      </c>
      <c r="H623" s="256">
        <v>10.8</v>
      </c>
      <c r="I623" s="71">
        <f t="shared" si="259"/>
        <v>1.1000000000000001</v>
      </c>
      <c r="J623" s="23">
        <f t="shared" si="251"/>
        <v>0.19800000000000004</v>
      </c>
      <c r="K623" s="65">
        <f t="shared" si="260"/>
        <v>55.555555555555543</v>
      </c>
      <c r="L623" s="21">
        <v>600</v>
      </c>
      <c r="M623" s="21">
        <v>660</v>
      </c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</row>
    <row r="624" spans="1:23" s="26" customFormat="1" ht="30" customHeight="1" x14ac:dyDescent="0.2">
      <c r="A624" s="204" t="s">
        <v>3228</v>
      </c>
      <c r="B624" s="162" t="s">
        <v>3376</v>
      </c>
      <c r="C624" s="21" t="s">
        <v>132</v>
      </c>
      <c r="D624" s="50">
        <v>1</v>
      </c>
      <c r="E624" s="51">
        <f t="shared" si="261"/>
        <v>3.8961038961038956</v>
      </c>
      <c r="F624" s="298">
        <f t="shared" si="230"/>
        <v>0.25666666666666671</v>
      </c>
      <c r="G624" s="65">
        <f t="shared" si="262"/>
        <v>42.857142857142854</v>
      </c>
      <c r="H624" s="256">
        <v>14</v>
      </c>
      <c r="I624" s="71">
        <f t="shared" si="259"/>
        <v>1.1000000000000001</v>
      </c>
      <c r="J624" s="23">
        <f t="shared" si="251"/>
        <v>0.25666666666666671</v>
      </c>
      <c r="K624" s="65">
        <f t="shared" si="260"/>
        <v>42.857142857142854</v>
      </c>
      <c r="L624" s="21">
        <v>600</v>
      </c>
      <c r="M624" s="21">
        <v>660</v>
      </c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</row>
    <row r="625" spans="1:23" s="26" customFormat="1" ht="30" customHeight="1" x14ac:dyDescent="0.2">
      <c r="A625" s="204" t="s">
        <v>3229</v>
      </c>
      <c r="B625" s="162" t="s">
        <v>3377</v>
      </c>
      <c r="C625" s="21" t="s">
        <v>132</v>
      </c>
      <c r="D625" s="50">
        <v>1</v>
      </c>
      <c r="E625" s="51">
        <f t="shared" si="261"/>
        <v>3.276003276003276</v>
      </c>
      <c r="F625" s="298">
        <f t="shared" si="230"/>
        <v>0.30524999999999997</v>
      </c>
      <c r="G625" s="65">
        <f t="shared" si="262"/>
        <v>36.036036036036037</v>
      </c>
      <c r="H625" s="256">
        <v>16.649999999999999</v>
      </c>
      <c r="I625" s="71">
        <f t="shared" si="259"/>
        <v>1.1000000000000001</v>
      </c>
      <c r="J625" s="23">
        <f t="shared" si="251"/>
        <v>0.30525000000000002</v>
      </c>
      <c r="K625" s="65">
        <f t="shared" si="260"/>
        <v>36.03603603603603</v>
      </c>
      <c r="L625" s="21">
        <v>600</v>
      </c>
      <c r="M625" s="21">
        <v>660</v>
      </c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</row>
    <row r="626" spans="1:23" s="26" customFormat="1" ht="30" customHeight="1" x14ac:dyDescent="0.2">
      <c r="A626" s="106"/>
      <c r="B626" s="145" t="s">
        <v>978</v>
      </c>
      <c r="C626" s="33"/>
      <c r="D626" s="33"/>
      <c r="E626" s="33"/>
      <c r="F626" s="298" t="e">
        <f t="shared" si="230"/>
        <v>#DIV/0!</v>
      </c>
      <c r="G626" s="33"/>
      <c r="H626" s="226"/>
      <c r="I626" s="64"/>
      <c r="J626" s="64"/>
      <c r="K626" s="64"/>
      <c r="L626" s="64"/>
      <c r="M626" s="64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</row>
    <row r="627" spans="1:23" s="26" customFormat="1" ht="30" customHeight="1" x14ac:dyDescent="0.2">
      <c r="A627" s="106"/>
      <c r="B627" s="212" t="s">
        <v>979</v>
      </c>
      <c r="C627" s="213"/>
      <c r="D627" s="214"/>
      <c r="E627" s="215"/>
      <c r="F627" s="298" t="e">
        <f t="shared" si="230"/>
        <v>#DIV/0!</v>
      </c>
      <c r="G627" s="215"/>
      <c r="H627" s="233"/>
      <c r="I627" s="295"/>
      <c r="J627" s="83"/>
      <c r="K627" s="83"/>
      <c r="L627" s="83"/>
      <c r="M627" s="83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</row>
    <row r="628" spans="1:23" s="26" customFormat="1" ht="30" customHeight="1" x14ac:dyDescent="0.2">
      <c r="A628" s="106" t="s">
        <v>1992</v>
      </c>
      <c r="B628" s="146" t="s">
        <v>980</v>
      </c>
      <c r="C628" s="147" t="s">
        <v>520</v>
      </c>
      <c r="D628" s="50">
        <v>1</v>
      </c>
      <c r="E628" s="51">
        <f>G628/11</f>
        <v>1</v>
      </c>
      <c r="F628" s="298">
        <f t="shared" si="230"/>
        <v>1</v>
      </c>
      <c r="G628" s="65">
        <f t="shared" ref="G628:G632" si="263">K628</f>
        <v>11</v>
      </c>
      <c r="H628" s="77">
        <f>L628/K628</f>
        <v>54.545454545454547</v>
      </c>
      <c r="I628" s="71">
        <v>1.1000000000000001</v>
      </c>
      <c r="J628" s="23">
        <f>11/K628</f>
        <v>1</v>
      </c>
      <c r="K628" s="65">
        <v>11</v>
      </c>
      <c r="L628" s="21">
        <v>600</v>
      </c>
      <c r="M628" s="21">
        <v>660</v>
      </c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</row>
    <row r="629" spans="1:23" s="26" customFormat="1" ht="30" customHeight="1" x14ac:dyDescent="0.2">
      <c r="A629" s="106" t="s">
        <v>1993</v>
      </c>
      <c r="B629" s="148" t="s">
        <v>981</v>
      </c>
      <c r="C629" s="147" t="s">
        <v>520</v>
      </c>
      <c r="D629" s="22">
        <v>1</v>
      </c>
      <c r="E629" s="51">
        <f>G629/11</f>
        <v>1</v>
      </c>
      <c r="F629" s="298">
        <f t="shared" si="230"/>
        <v>1</v>
      </c>
      <c r="G629" s="65">
        <f t="shared" si="263"/>
        <v>11</v>
      </c>
      <c r="H629" s="77">
        <f>L629/K629</f>
        <v>54.545454545454547</v>
      </c>
      <c r="I629" s="71">
        <f>M629/L629</f>
        <v>1.1000000000000001</v>
      </c>
      <c r="J629" s="23">
        <f>11/K629</f>
        <v>1</v>
      </c>
      <c r="K629" s="23">
        <v>11</v>
      </c>
      <c r="L629" s="21">
        <v>600</v>
      </c>
      <c r="M629" s="21">
        <v>660</v>
      </c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</row>
    <row r="630" spans="1:23" s="26" customFormat="1" ht="30" customHeight="1" x14ac:dyDescent="0.2">
      <c r="A630" s="106" t="s">
        <v>1994</v>
      </c>
      <c r="B630" s="149" t="s">
        <v>1270</v>
      </c>
      <c r="C630" s="147" t="s">
        <v>982</v>
      </c>
      <c r="D630" s="50">
        <v>1</v>
      </c>
      <c r="E630" s="51">
        <f>G630/11</f>
        <v>1.3636363636363635</v>
      </c>
      <c r="F630" s="298">
        <f t="shared" si="230"/>
        <v>0.73333333333333328</v>
      </c>
      <c r="G630" s="65">
        <f t="shared" si="263"/>
        <v>15</v>
      </c>
      <c r="H630" s="77">
        <f>L630/K630</f>
        <v>40</v>
      </c>
      <c r="I630" s="71">
        <f>M630/L630</f>
        <v>1.1000000000000001</v>
      </c>
      <c r="J630" s="23">
        <f>11/K630</f>
        <v>0.73333333333333328</v>
      </c>
      <c r="K630" s="23">
        <v>15</v>
      </c>
      <c r="L630" s="21">
        <v>600</v>
      </c>
      <c r="M630" s="21">
        <v>660</v>
      </c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</row>
    <row r="631" spans="1:23" s="26" customFormat="1" ht="30" customHeight="1" x14ac:dyDescent="0.2">
      <c r="A631" s="106" t="s">
        <v>1995</v>
      </c>
      <c r="B631" s="150" t="s">
        <v>346</v>
      </c>
      <c r="C631" s="147" t="s">
        <v>982</v>
      </c>
      <c r="D631" s="22">
        <v>1</v>
      </c>
      <c r="E631" s="51">
        <f>G631/11</f>
        <v>1.8181818181818181</v>
      </c>
      <c r="F631" s="298">
        <f t="shared" si="230"/>
        <v>0.55000000000000004</v>
      </c>
      <c r="G631" s="65">
        <f t="shared" si="263"/>
        <v>20</v>
      </c>
      <c r="H631" s="77">
        <f>L631/K631</f>
        <v>30</v>
      </c>
      <c r="I631" s="71">
        <f>M631/L631</f>
        <v>1.1000000000000001</v>
      </c>
      <c r="J631" s="23">
        <f>11/K631</f>
        <v>0.55000000000000004</v>
      </c>
      <c r="K631" s="23">
        <v>20</v>
      </c>
      <c r="L631" s="21">
        <v>600</v>
      </c>
      <c r="M631" s="21">
        <v>660</v>
      </c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</row>
    <row r="632" spans="1:23" s="26" customFormat="1" ht="30" customHeight="1" x14ac:dyDescent="0.2">
      <c r="A632" s="106" t="s">
        <v>1996</v>
      </c>
      <c r="B632" s="151" t="s">
        <v>983</v>
      </c>
      <c r="C632" s="147" t="s">
        <v>984</v>
      </c>
      <c r="D632" s="22">
        <v>1</v>
      </c>
      <c r="E632" s="51">
        <f>G632/11</f>
        <v>1.9090909090909092</v>
      </c>
      <c r="F632" s="298">
        <f t="shared" ref="F632:F695" si="264">11/G632</f>
        <v>0.52380952380952384</v>
      </c>
      <c r="G632" s="65">
        <f t="shared" si="263"/>
        <v>21</v>
      </c>
      <c r="H632" s="77">
        <f>L632/K632</f>
        <v>28.571428571428573</v>
      </c>
      <c r="I632" s="71">
        <f>M632/L632</f>
        <v>1.1000000000000001</v>
      </c>
      <c r="J632" s="23">
        <f>11/K632</f>
        <v>0.52380952380952384</v>
      </c>
      <c r="K632" s="23">
        <v>21</v>
      </c>
      <c r="L632" s="21">
        <v>600</v>
      </c>
      <c r="M632" s="21">
        <v>660</v>
      </c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</row>
    <row r="633" spans="1:23" s="26" customFormat="1" ht="30" customHeight="1" x14ac:dyDescent="0.3">
      <c r="A633" s="106"/>
      <c r="B633" s="88" t="s">
        <v>985</v>
      </c>
      <c r="C633"/>
      <c r="D633"/>
      <c r="E633"/>
      <c r="F633" s="298" t="e">
        <f t="shared" si="264"/>
        <v>#DIV/0!</v>
      </c>
      <c r="G633"/>
      <c r="H633" s="221"/>
      <c r="I633" s="65"/>
      <c r="J633" s="83"/>
      <c r="K633" s="83"/>
      <c r="L633" s="83"/>
      <c r="M633" s="83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</row>
    <row r="634" spans="1:23" s="26" customFormat="1" ht="30" customHeight="1" x14ac:dyDescent="0.2">
      <c r="A634" s="106" t="s">
        <v>1997</v>
      </c>
      <c r="B634" s="148" t="s">
        <v>986</v>
      </c>
      <c r="C634" s="21" t="s">
        <v>635</v>
      </c>
      <c r="D634" s="50">
        <v>1</v>
      </c>
      <c r="E634" s="51">
        <v>13.363636363636362</v>
      </c>
      <c r="F634" s="298">
        <f>11/G634</f>
        <v>7.4829931972789129E-2</v>
      </c>
      <c r="G634" s="65">
        <v>146.99999999999997</v>
      </c>
      <c r="H634" s="77">
        <v>4.0816326530612246</v>
      </c>
      <c r="I634" s="65"/>
      <c r="J634" s="83"/>
      <c r="K634" s="83"/>
      <c r="L634" s="21">
        <v>590</v>
      </c>
      <c r="M634" s="21">
        <v>660</v>
      </c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</row>
    <row r="635" spans="1:23" s="26" customFormat="1" ht="30" customHeight="1" x14ac:dyDescent="0.2">
      <c r="A635" s="106" t="s">
        <v>1998</v>
      </c>
      <c r="B635" s="148" t="s">
        <v>987</v>
      </c>
      <c r="C635" s="21" t="s">
        <v>635</v>
      </c>
      <c r="D635" s="50">
        <v>1</v>
      </c>
      <c r="E635" s="51">
        <v>26.727272727272723</v>
      </c>
      <c r="F635" s="298">
        <f t="shared" si="264"/>
        <v>3.7414965986394565E-2</v>
      </c>
      <c r="G635" s="65">
        <v>293.99999999999994</v>
      </c>
      <c r="H635" s="77">
        <v>2.0408163265306123</v>
      </c>
      <c r="I635" s="65"/>
      <c r="J635" s="83"/>
      <c r="K635" s="83"/>
      <c r="L635" s="21">
        <v>590</v>
      </c>
      <c r="M635" s="21">
        <v>660</v>
      </c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</row>
    <row r="636" spans="1:23" s="26" customFormat="1" ht="30" customHeight="1" x14ac:dyDescent="0.2">
      <c r="A636" s="106" t="s">
        <v>1999</v>
      </c>
      <c r="B636" s="148" t="s">
        <v>988</v>
      </c>
      <c r="C636" s="21" t="s">
        <v>635</v>
      </c>
      <c r="D636" s="22">
        <v>1</v>
      </c>
      <c r="E636" s="51">
        <v>15.27272727272727</v>
      </c>
      <c r="F636" s="298">
        <f t="shared" si="264"/>
        <v>6.5476190476190493E-2</v>
      </c>
      <c r="G636" s="65">
        <v>167.99999999999997</v>
      </c>
      <c r="H636" s="77">
        <v>3.5714285714285716</v>
      </c>
      <c r="I636" s="65"/>
      <c r="J636" s="83"/>
      <c r="K636" s="83"/>
      <c r="L636" s="21">
        <v>590</v>
      </c>
      <c r="M636" s="21">
        <v>660</v>
      </c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</row>
    <row r="637" spans="1:23" s="26" customFormat="1" ht="30" customHeight="1" x14ac:dyDescent="0.2">
      <c r="A637" s="106" t="s">
        <v>2000</v>
      </c>
      <c r="B637" s="148" t="s">
        <v>989</v>
      </c>
      <c r="C637" s="21" t="s">
        <v>635</v>
      </c>
      <c r="D637" s="22">
        <v>1</v>
      </c>
      <c r="E637" s="51">
        <v>30.54545454545454</v>
      </c>
      <c r="F637" s="298">
        <f t="shared" si="264"/>
        <v>3.2738095238095247E-2</v>
      </c>
      <c r="G637" s="65">
        <v>335.99999999999994</v>
      </c>
      <c r="H637" s="77">
        <v>1.7857142857142858</v>
      </c>
      <c r="I637" s="65"/>
      <c r="J637" s="83"/>
      <c r="K637" s="83"/>
      <c r="L637" s="21">
        <v>590</v>
      </c>
      <c r="M637" s="21">
        <v>660</v>
      </c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</row>
    <row r="638" spans="1:23" s="26" customFormat="1" ht="30" customHeight="1" x14ac:dyDescent="0.3">
      <c r="A638" s="106"/>
      <c r="B638" s="89" t="s">
        <v>991</v>
      </c>
      <c r="C638"/>
      <c r="D638"/>
      <c r="E638"/>
      <c r="F638" s="298" t="e">
        <f t="shared" si="264"/>
        <v>#DIV/0!</v>
      </c>
      <c r="G638"/>
      <c r="H638" s="221"/>
      <c r="I638" s="65"/>
      <c r="J638" s="83"/>
      <c r="K638" s="83"/>
      <c r="L638" s="21">
        <v>590</v>
      </c>
      <c r="M638" s="21">
        <v>660</v>
      </c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</row>
    <row r="639" spans="1:23" s="26" customFormat="1" ht="30" customHeight="1" x14ac:dyDescent="0.2">
      <c r="A639" s="106" t="s">
        <v>2001</v>
      </c>
      <c r="B639" s="148" t="s">
        <v>992</v>
      </c>
      <c r="C639" s="21" t="s">
        <v>990</v>
      </c>
      <c r="D639" s="22">
        <v>1</v>
      </c>
      <c r="E639" s="51">
        <v>129.81818181818181</v>
      </c>
      <c r="F639" s="298">
        <f t="shared" si="264"/>
        <v>7.7030812324929976E-3</v>
      </c>
      <c r="G639" s="65">
        <v>1428</v>
      </c>
      <c r="H639" s="77">
        <v>0.42016806722689076</v>
      </c>
      <c r="I639" s="65"/>
      <c r="J639" s="83"/>
      <c r="K639" s="83"/>
      <c r="L639" s="21">
        <v>590</v>
      </c>
      <c r="M639" s="21">
        <v>660</v>
      </c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</row>
    <row r="640" spans="1:23" s="26" customFormat="1" ht="30" customHeight="1" x14ac:dyDescent="0.2">
      <c r="A640" s="106" t="s">
        <v>2002</v>
      </c>
      <c r="B640" s="148" t="s">
        <v>993</v>
      </c>
      <c r="C640" s="21" t="s">
        <v>990</v>
      </c>
      <c r="D640" s="22">
        <v>1</v>
      </c>
      <c r="E640" s="51">
        <v>106.90909090909089</v>
      </c>
      <c r="F640" s="298">
        <f t="shared" si="264"/>
        <v>9.3537414965986412E-3</v>
      </c>
      <c r="G640" s="65">
        <v>1175.9999999999998</v>
      </c>
      <c r="H640" s="77">
        <v>0.51020408163265307</v>
      </c>
      <c r="I640" s="65"/>
      <c r="J640" s="83"/>
      <c r="K640" s="83"/>
      <c r="L640" s="21">
        <v>590</v>
      </c>
      <c r="M640" s="21">
        <v>660</v>
      </c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</row>
    <row r="641" spans="1:23" s="26" customFormat="1" ht="30" customHeight="1" x14ac:dyDescent="0.2">
      <c r="A641" s="106" t="s">
        <v>2003</v>
      </c>
      <c r="B641" s="148" t="s">
        <v>994</v>
      </c>
      <c r="C641" s="21" t="s">
        <v>990</v>
      </c>
      <c r="D641" s="50">
        <v>1</v>
      </c>
      <c r="E641" s="51">
        <v>84</v>
      </c>
      <c r="F641" s="298">
        <f t="shared" si="264"/>
        <v>1.1904761904761904E-2</v>
      </c>
      <c r="G641" s="65">
        <v>924</v>
      </c>
      <c r="H641" s="77">
        <v>0.64935064935064934</v>
      </c>
      <c r="I641" s="65"/>
      <c r="J641" s="83"/>
      <c r="K641" s="83"/>
      <c r="L641" s="21">
        <v>590</v>
      </c>
      <c r="M641" s="21">
        <v>660</v>
      </c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</row>
    <row r="642" spans="1:23" s="26" customFormat="1" ht="30" customHeight="1" x14ac:dyDescent="0.2">
      <c r="A642" s="106" t="s">
        <v>2004</v>
      </c>
      <c r="B642" s="148" t="s">
        <v>995</v>
      </c>
      <c r="C642" s="21" t="s">
        <v>990</v>
      </c>
      <c r="D642" s="50">
        <v>1</v>
      </c>
      <c r="E642" s="51">
        <v>68.727272727272734</v>
      </c>
      <c r="F642" s="298">
        <f t="shared" si="264"/>
        <v>1.4550264550264549E-2</v>
      </c>
      <c r="G642" s="65">
        <v>756</v>
      </c>
      <c r="H642" s="77">
        <v>0.79365079365079361</v>
      </c>
      <c r="I642" s="65"/>
      <c r="J642" s="83"/>
      <c r="K642" s="83"/>
      <c r="L642" s="21">
        <v>590</v>
      </c>
      <c r="M642" s="21">
        <v>660</v>
      </c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</row>
    <row r="643" spans="1:23" s="26" customFormat="1" ht="30" customHeight="1" x14ac:dyDescent="0.2">
      <c r="A643" s="106" t="s">
        <v>2005</v>
      </c>
      <c r="B643" s="148" t="s">
        <v>996</v>
      </c>
      <c r="C643" s="21" t="s">
        <v>990</v>
      </c>
      <c r="D643" s="50">
        <v>1</v>
      </c>
      <c r="E643" s="51">
        <v>57.272727272727273</v>
      </c>
      <c r="F643" s="298">
        <f t="shared" si="264"/>
        <v>1.7460317460317461E-2</v>
      </c>
      <c r="G643" s="65">
        <v>630</v>
      </c>
      <c r="H643" s="77">
        <v>0.95238095238095233</v>
      </c>
      <c r="I643" s="65"/>
      <c r="J643" s="83"/>
      <c r="K643" s="83"/>
      <c r="L643" s="21">
        <v>590</v>
      </c>
      <c r="M643" s="21">
        <v>660</v>
      </c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</row>
    <row r="644" spans="1:23" s="26" customFormat="1" ht="30" customHeight="1" x14ac:dyDescent="0.2">
      <c r="A644" s="106" t="s">
        <v>2006</v>
      </c>
      <c r="B644" s="148" t="s">
        <v>997</v>
      </c>
      <c r="C644" s="21" t="s">
        <v>990</v>
      </c>
      <c r="D644" s="22">
        <v>1</v>
      </c>
      <c r="E644" s="51">
        <v>45.81818181818182</v>
      </c>
      <c r="F644" s="298">
        <f t="shared" si="264"/>
        <v>2.1825396825396824E-2</v>
      </c>
      <c r="G644" s="65">
        <v>504</v>
      </c>
      <c r="H644" s="77">
        <v>1.1904761904761905</v>
      </c>
      <c r="I644" s="65"/>
      <c r="J644" s="83"/>
      <c r="K644" s="83"/>
      <c r="L644" s="21">
        <v>590</v>
      </c>
      <c r="M644" s="21">
        <v>660</v>
      </c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</row>
    <row r="645" spans="1:23" s="26" customFormat="1" ht="30" customHeight="1" x14ac:dyDescent="0.2">
      <c r="A645" s="106" t="s">
        <v>2007</v>
      </c>
      <c r="B645" s="148" t="s">
        <v>998</v>
      </c>
      <c r="C645" s="21" t="s">
        <v>990</v>
      </c>
      <c r="D645" s="22">
        <v>1</v>
      </c>
      <c r="E645" s="51">
        <v>38.18181818181818</v>
      </c>
      <c r="F645" s="298">
        <f t="shared" si="264"/>
        <v>2.6190476190476195E-2</v>
      </c>
      <c r="G645" s="65">
        <v>419.99999999999994</v>
      </c>
      <c r="H645" s="77">
        <v>1.4285714285714286</v>
      </c>
      <c r="I645" s="65"/>
      <c r="J645" s="83"/>
      <c r="K645" s="83"/>
      <c r="L645" s="21">
        <v>590</v>
      </c>
      <c r="M645" s="21">
        <v>660</v>
      </c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</row>
    <row r="646" spans="1:23" s="26" customFormat="1" ht="30" customHeight="1" x14ac:dyDescent="0.2">
      <c r="A646" s="106" t="s">
        <v>2008</v>
      </c>
      <c r="B646" s="148" t="s">
        <v>999</v>
      </c>
      <c r="C646" s="21" t="s">
        <v>990</v>
      </c>
      <c r="D646" s="50">
        <v>1</v>
      </c>
      <c r="E646" s="51">
        <v>30.54545454545454</v>
      </c>
      <c r="F646" s="298">
        <f t="shared" si="264"/>
        <v>3.2738095238095247E-2</v>
      </c>
      <c r="G646" s="65">
        <v>335.99999999999994</v>
      </c>
      <c r="H646" s="77">
        <v>1.7857142857142858</v>
      </c>
      <c r="I646" s="65"/>
      <c r="J646" s="83"/>
      <c r="K646" s="83"/>
      <c r="L646" s="21">
        <v>590</v>
      </c>
      <c r="M646" s="21">
        <v>660</v>
      </c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</row>
    <row r="647" spans="1:23" s="26" customFormat="1" ht="30" customHeight="1" x14ac:dyDescent="0.2">
      <c r="A647" s="106" t="s">
        <v>2009</v>
      </c>
      <c r="B647" s="148" t="s">
        <v>1000</v>
      </c>
      <c r="C647" s="21" t="s">
        <v>990</v>
      </c>
      <c r="D647" s="50">
        <v>1</v>
      </c>
      <c r="E647" s="51">
        <v>22.90909090909091</v>
      </c>
      <c r="F647" s="298">
        <f t="shared" si="264"/>
        <v>4.3650793650793648E-2</v>
      </c>
      <c r="G647" s="65">
        <v>252</v>
      </c>
      <c r="H647" s="77">
        <v>2.3809523809523809</v>
      </c>
      <c r="I647" s="65"/>
      <c r="J647" s="83"/>
      <c r="K647" s="83"/>
      <c r="L647" s="21">
        <v>590</v>
      </c>
      <c r="M647" s="21">
        <v>660</v>
      </c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</row>
    <row r="648" spans="1:23" s="26" customFormat="1" ht="30" customHeight="1" x14ac:dyDescent="0.2">
      <c r="A648" s="219" t="s">
        <v>2010</v>
      </c>
      <c r="B648" s="148" t="s">
        <v>1261</v>
      </c>
      <c r="C648" s="21" t="s">
        <v>990</v>
      </c>
      <c r="D648" s="50">
        <v>1</v>
      </c>
      <c r="E648" s="51">
        <f>G648/11</f>
        <v>19.09090909090909</v>
      </c>
      <c r="F648" s="298">
        <f t="shared" si="264"/>
        <v>5.2380952380952382E-2</v>
      </c>
      <c r="G648" s="65">
        <v>210</v>
      </c>
      <c r="H648" s="77">
        <v>2.8570000000000002</v>
      </c>
      <c r="I648" s="65"/>
      <c r="J648" s="83"/>
      <c r="K648" s="83"/>
      <c r="L648" s="21">
        <v>590</v>
      </c>
      <c r="M648" s="21">
        <v>660</v>
      </c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</row>
    <row r="649" spans="1:23" s="26" customFormat="1" ht="30" customHeight="1" x14ac:dyDescent="0.3">
      <c r="A649" s="106"/>
      <c r="B649" s="89" t="s">
        <v>1001</v>
      </c>
      <c r="C649"/>
      <c r="D649"/>
      <c r="E649"/>
      <c r="F649" s="298" t="e">
        <f t="shared" si="264"/>
        <v>#DIV/0!</v>
      </c>
      <c r="G649"/>
      <c r="H649" s="221"/>
      <c r="I649" s="65"/>
      <c r="J649" s="83"/>
      <c r="K649" s="83"/>
      <c r="L649" s="21">
        <v>590</v>
      </c>
      <c r="M649" s="21">
        <v>660</v>
      </c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</row>
    <row r="650" spans="1:23" s="26" customFormat="1" ht="30" customHeight="1" x14ac:dyDescent="0.2">
      <c r="A650" s="106" t="s">
        <v>2011</v>
      </c>
      <c r="B650" s="148" t="s">
        <v>1022</v>
      </c>
      <c r="C650" s="21" t="s">
        <v>990</v>
      </c>
      <c r="D650" s="50">
        <v>1</v>
      </c>
      <c r="E650" s="51">
        <v>76.36363636363636</v>
      </c>
      <c r="F650" s="298">
        <f t="shared" si="264"/>
        <v>1.3095238095238097E-2</v>
      </c>
      <c r="G650" s="65">
        <v>839.99999999999989</v>
      </c>
      <c r="H650" s="77">
        <v>0.7142857142857143</v>
      </c>
      <c r="I650" s="65"/>
      <c r="J650" s="83"/>
      <c r="K650" s="83"/>
      <c r="L650" s="21">
        <v>590</v>
      </c>
      <c r="M650" s="21">
        <v>660</v>
      </c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</row>
    <row r="651" spans="1:23" s="26" customFormat="1" ht="30" customHeight="1" x14ac:dyDescent="0.2">
      <c r="A651" s="106" t="s">
        <v>2012</v>
      </c>
      <c r="B651" s="148" t="s">
        <v>1002</v>
      </c>
      <c r="C651" s="21" t="s">
        <v>990</v>
      </c>
      <c r="D651" s="50">
        <v>1</v>
      </c>
      <c r="E651" s="51">
        <v>68.727272727272734</v>
      </c>
      <c r="F651" s="298">
        <f t="shared" si="264"/>
        <v>1.4550264550264549E-2</v>
      </c>
      <c r="G651" s="65">
        <v>756</v>
      </c>
      <c r="H651" s="77">
        <v>0.79365079365079361</v>
      </c>
      <c r="I651" s="65"/>
      <c r="J651" s="83"/>
      <c r="K651" s="83"/>
      <c r="L651" s="21">
        <v>590</v>
      </c>
      <c r="M651" s="21">
        <v>660</v>
      </c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</row>
    <row r="652" spans="1:23" s="26" customFormat="1" ht="30" customHeight="1" x14ac:dyDescent="0.2">
      <c r="A652" s="106" t="s">
        <v>2013</v>
      </c>
      <c r="B652" s="148" t="s">
        <v>1003</v>
      </c>
      <c r="C652" s="21" t="s">
        <v>990</v>
      </c>
      <c r="D652" s="22">
        <v>1</v>
      </c>
      <c r="E652" s="51">
        <v>38.18181818181818</v>
      </c>
      <c r="F652" s="298">
        <f t="shared" si="264"/>
        <v>2.6190476190476195E-2</v>
      </c>
      <c r="G652" s="65">
        <v>419.99999999999994</v>
      </c>
      <c r="H652" s="77">
        <v>1.4285714285714286</v>
      </c>
      <c r="I652" s="65"/>
      <c r="J652" s="83"/>
      <c r="K652" s="83"/>
      <c r="L652" s="21">
        <v>590</v>
      </c>
      <c r="M652" s="21">
        <v>660</v>
      </c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</row>
    <row r="653" spans="1:23" s="26" customFormat="1" ht="30" customHeight="1" x14ac:dyDescent="0.2">
      <c r="A653" s="106" t="s">
        <v>2014</v>
      </c>
      <c r="B653" s="148" t="s">
        <v>1004</v>
      </c>
      <c r="C653" s="21" t="s">
        <v>990</v>
      </c>
      <c r="D653" s="22">
        <v>1</v>
      </c>
      <c r="E653" s="51">
        <v>30.54545454545454</v>
      </c>
      <c r="F653" s="298">
        <f t="shared" si="264"/>
        <v>3.2738095238095247E-2</v>
      </c>
      <c r="G653" s="65">
        <v>335.99999999999994</v>
      </c>
      <c r="H653" s="77">
        <v>1.7857142857142858</v>
      </c>
      <c r="I653" s="65"/>
      <c r="J653" s="83"/>
      <c r="K653" s="83"/>
      <c r="L653" s="21">
        <v>590</v>
      </c>
      <c r="M653" s="21">
        <v>660</v>
      </c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</row>
    <row r="654" spans="1:23" s="26" customFormat="1" ht="35.25" customHeight="1" x14ac:dyDescent="0.3">
      <c r="A654" s="106"/>
      <c r="B654" s="152" t="s">
        <v>1005</v>
      </c>
      <c r="C654"/>
      <c r="D654"/>
      <c r="E654"/>
      <c r="F654" s="298" t="e">
        <f t="shared" si="264"/>
        <v>#DIV/0!</v>
      </c>
      <c r="G654" s="65">
        <v>0</v>
      </c>
      <c r="H654" s="221"/>
      <c r="I654" s="65"/>
      <c r="J654" s="83"/>
      <c r="K654" s="83"/>
      <c r="L654" s="21">
        <v>590</v>
      </c>
      <c r="M654" s="21">
        <v>660</v>
      </c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</row>
    <row r="655" spans="1:23" s="26" customFormat="1" ht="30" customHeight="1" x14ac:dyDescent="0.2">
      <c r="A655" s="106" t="s">
        <v>2015</v>
      </c>
      <c r="B655" s="153" t="s">
        <v>1006</v>
      </c>
      <c r="C655" s="21" t="s">
        <v>1007</v>
      </c>
      <c r="D655" s="50">
        <v>1</v>
      </c>
      <c r="E655" s="51">
        <v>11.454545454545455</v>
      </c>
      <c r="F655" s="298">
        <f t="shared" si="264"/>
        <v>8.7301587301587297E-2</v>
      </c>
      <c r="G655" s="65">
        <v>126</v>
      </c>
      <c r="H655" s="77">
        <v>4.7619047619047619</v>
      </c>
      <c r="I655" s="65"/>
      <c r="J655" s="83"/>
      <c r="K655" s="83"/>
      <c r="L655" s="21">
        <v>590</v>
      </c>
      <c r="M655" s="21">
        <v>660</v>
      </c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</row>
    <row r="656" spans="1:23" s="26" customFormat="1" ht="30" customHeight="1" x14ac:dyDescent="0.2">
      <c r="A656" s="106" t="s">
        <v>2016</v>
      </c>
      <c r="B656" s="153" t="s">
        <v>1008</v>
      </c>
      <c r="C656" s="21" t="s">
        <v>1007</v>
      </c>
      <c r="D656" s="50">
        <v>1</v>
      </c>
      <c r="E656" s="51">
        <v>8.1818181818181799</v>
      </c>
      <c r="F656" s="298">
        <f t="shared" si="264"/>
        <v>0.12222222222222225</v>
      </c>
      <c r="G656" s="65">
        <v>89.999999999999986</v>
      </c>
      <c r="H656" s="77">
        <v>6.666666666666667</v>
      </c>
      <c r="I656" s="65"/>
      <c r="J656" s="83"/>
      <c r="K656" s="83"/>
      <c r="L656" s="21">
        <v>590</v>
      </c>
      <c r="M656" s="21">
        <v>660</v>
      </c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</row>
    <row r="657" spans="1:23" s="26" customFormat="1" ht="30" customHeight="1" x14ac:dyDescent="0.2">
      <c r="A657" s="106" t="s">
        <v>2017</v>
      </c>
      <c r="B657" s="153" t="s">
        <v>1009</v>
      </c>
      <c r="C657" s="21" t="s">
        <v>1007</v>
      </c>
      <c r="D657" s="22">
        <v>1</v>
      </c>
      <c r="E657" s="51">
        <v>5.7272727272727275</v>
      </c>
      <c r="F657" s="298">
        <f t="shared" si="264"/>
        <v>0.17460317460317459</v>
      </c>
      <c r="G657" s="65">
        <v>63</v>
      </c>
      <c r="H657" s="77">
        <v>9.5238095238095237</v>
      </c>
      <c r="I657" s="65"/>
      <c r="J657" s="83"/>
      <c r="K657" s="83"/>
      <c r="L657" s="21">
        <v>590</v>
      </c>
      <c r="M657" s="21">
        <v>660</v>
      </c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</row>
    <row r="658" spans="1:23" s="26" customFormat="1" ht="30" customHeight="1" x14ac:dyDescent="0.2">
      <c r="A658" s="106" t="s">
        <v>2018</v>
      </c>
      <c r="B658" s="153" t="s">
        <v>1010</v>
      </c>
      <c r="C658" s="21" t="s">
        <v>1007</v>
      </c>
      <c r="D658" s="22">
        <v>1</v>
      </c>
      <c r="E658" s="51">
        <v>1.9090909090909087</v>
      </c>
      <c r="F658" s="298">
        <f t="shared" si="264"/>
        <v>0.52380952380952395</v>
      </c>
      <c r="G658" s="65">
        <v>20.999999999999996</v>
      </c>
      <c r="H658" s="77">
        <v>28.571428571428573</v>
      </c>
      <c r="I658" s="65"/>
      <c r="J658" s="83"/>
      <c r="K658" s="83"/>
      <c r="L658" s="21">
        <v>590</v>
      </c>
      <c r="M658" s="21">
        <v>660</v>
      </c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</row>
    <row r="659" spans="1:23" s="26" customFormat="1" ht="30" customHeight="1" x14ac:dyDescent="0.35">
      <c r="A659" s="106"/>
      <c r="B659" s="90" t="s">
        <v>1011</v>
      </c>
      <c r="C659" s="83"/>
      <c r="D659" s="83"/>
      <c r="E659" s="83"/>
      <c r="F659" s="298" t="e">
        <f t="shared" si="264"/>
        <v>#DIV/0!</v>
      </c>
      <c r="G659" s="65">
        <v>0</v>
      </c>
      <c r="H659" s="234"/>
      <c r="I659" s="65"/>
      <c r="J659" s="83"/>
      <c r="K659" s="83"/>
      <c r="L659" s="21">
        <v>590</v>
      </c>
      <c r="M659" s="21">
        <v>660</v>
      </c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</row>
    <row r="660" spans="1:23" s="26" customFormat="1" ht="30" customHeight="1" x14ac:dyDescent="0.2">
      <c r="A660" s="106" t="s">
        <v>2019</v>
      </c>
      <c r="B660" s="146" t="s">
        <v>529</v>
      </c>
      <c r="C660" s="21" t="s">
        <v>132</v>
      </c>
      <c r="D660" s="22">
        <v>1</v>
      </c>
      <c r="E660" s="51">
        <v>305.45454545454544</v>
      </c>
      <c r="F660" s="298">
        <f t="shared" si="264"/>
        <v>3.2738095238095243E-3</v>
      </c>
      <c r="G660" s="65">
        <v>3359.9999999999995</v>
      </c>
      <c r="H660" s="77">
        <v>0.17857142857142858</v>
      </c>
      <c r="I660" s="65"/>
      <c r="J660" s="83"/>
      <c r="K660" s="83"/>
      <c r="L660" s="21">
        <v>590</v>
      </c>
      <c r="M660" s="21">
        <v>660</v>
      </c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</row>
    <row r="661" spans="1:23" s="26" customFormat="1" ht="30" customHeight="1" x14ac:dyDescent="0.2">
      <c r="A661" s="106" t="s">
        <v>2020</v>
      </c>
      <c r="B661" s="146" t="s">
        <v>504</v>
      </c>
      <c r="C661" s="21" t="s">
        <v>1</v>
      </c>
      <c r="D661" s="50">
        <v>1</v>
      </c>
      <c r="E661" s="51">
        <v>196.36363636363637</v>
      </c>
      <c r="F661" s="298">
        <f t="shared" si="264"/>
        <v>5.092592592592593E-3</v>
      </c>
      <c r="G661" s="65">
        <v>2160</v>
      </c>
      <c r="H661" s="77">
        <v>0.27777777777777779</v>
      </c>
      <c r="I661" s="65"/>
      <c r="J661" s="83"/>
      <c r="K661" s="83"/>
      <c r="L661" s="21">
        <v>590</v>
      </c>
      <c r="M661" s="21">
        <v>660</v>
      </c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</row>
    <row r="662" spans="1:23" s="26" customFormat="1" ht="32.25" customHeight="1" x14ac:dyDescent="0.2">
      <c r="A662" s="106" t="s">
        <v>2021</v>
      </c>
      <c r="B662" s="150" t="s">
        <v>506</v>
      </c>
      <c r="C662" s="21" t="s">
        <v>1</v>
      </c>
      <c r="D662" s="50">
        <v>1</v>
      </c>
      <c r="E662" s="51">
        <v>101.45454545454545</v>
      </c>
      <c r="F662" s="298">
        <f t="shared" si="264"/>
        <v>9.8566308243727592E-3</v>
      </c>
      <c r="G662" s="65">
        <v>1116</v>
      </c>
      <c r="H662" s="77">
        <v>0.5376344086021505</v>
      </c>
      <c r="I662" s="65"/>
      <c r="J662" s="83"/>
      <c r="K662" s="83"/>
      <c r="L662" s="21">
        <v>590</v>
      </c>
      <c r="M662" s="21">
        <v>660</v>
      </c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</row>
    <row r="663" spans="1:23" s="26" customFormat="1" ht="30" customHeight="1" x14ac:dyDescent="0.2">
      <c r="A663" s="106" t="s">
        <v>2022</v>
      </c>
      <c r="B663" s="146" t="s">
        <v>505</v>
      </c>
      <c r="C663" s="21" t="s">
        <v>1</v>
      </c>
      <c r="D663" s="50">
        <v>1</v>
      </c>
      <c r="E663" s="51">
        <v>153.81818181818178</v>
      </c>
      <c r="F663" s="298">
        <f t="shared" si="264"/>
        <v>6.5011820330969274E-3</v>
      </c>
      <c r="G663" s="65">
        <v>1691.9999999999998</v>
      </c>
      <c r="H663" s="77">
        <v>0.3546099290780142</v>
      </c>
      <c r="I663" s="65"/>
      <c r="J663" s="83"/>
      <c r="K663" s="83"/>
      <c r="L663" s="21">
        <v>590</v>
      </c>
      <c r="M663" s="21">
        <v>660</v>
      </c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</row>
    <row r="664" spans="1:23" s="26" customFormat="1" ht="30" customHeight="1" x14ac:dyDescent="0.2">
      <c r="A664" s="106" t="s">
        <v>2023</v>
      </c>
      <c r="B664" s="150" t="s">
        <v>253</v>
      </c>
      <c r="C664" s="21" t="s">
        <v>1</v>
      </c>
      <c r="D664" s="22">
        <v>1</v>
      </c>
      <c r="E664" s="51">
        <v>103.09090909090909</v>
      </c>
      <c r="F664" s="298">
        <f t="shared" si="264"/>
        <v>9.700176366843033E-3</v>
      </c>
      <c r="G664" s="65">
        <v>1134</v>
      </c>
      <c r="H664" s="77">
        <v>0.52910052910052907</v>
      </c>
      <c r="I664" s="65"/>
      <c r="J664" s="83"/>
      <c r="K664" s="83"/>
      <c r="L664" s="21">
        <v>590</v>
      </c>
      <c r="M664" s="21">
        <v>660</v>
      </c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</row>
    <row r="665" spans="1:23" s="26" customFormat="1" ht="30" customHeight="1" x14ac:dyDescent="0.3">
      <c r="A665" s="106" t="s">
        <v>2024</v>
      </c>
      <c r="B665" s="146" t="s">
        <v>1012</v>
      </c>
      <c r="C665" s="21" t="s">
        <v>132</v>
      </c>
      <c r="D665" s="22">
        <v>1</v>
      </c>
      <c r="E665" s="51">
        <v>76.36363636363636</v>
      </c>
      <c r="F665" s="298">
        <f t="shared" si="264"/>
        <v>1.2683039317421882E-2</v>
      </c>
      <c r="G665" s="65">
        <f>L665/H665</f>
        <v>867.30000000000007</v>
      </c>
      <c r="H665" s="267">
        <v>0.68027210884353739</v>
      </c>
      <c r="I665" s="65"/>
      <c r="J665" s="83"/>
      <c r="K665" s="83"/>
      <c r="L665" s="21">
        <v>590</v>
      </c>
      <c r="M665" s="21">
        <v>660</v>
      </c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</row>
    <row r="666" spans="1:23" s="26" customFormat="1" ht="30" customHeight="1" x14ac:dyDescent="0.2">
      <c r="A666" s="106" t="s">
        <v>2025</v>
      </c>
      <c r="B666" s="150" t="s">
        <v>254</v>
      </c>
      <c r="C666" s="21" t="s">
        <v>132</v>
      </c>
      <c r="D666" s="50">
        <v>1</v>
      </c>
      <c r="E666" s="51">
        <v>53.454545454545446</v>
      </c>
      <c r="F666" s="298">
        <f t="shared" si="264"/>
        <v>1.8707482993197282E-2</v>
      </c>
      <c r="G666" s="65">
        <v>587.99999999999989</v>
      </c>
      <c r="H666" s="77">
        <v>1.0204081632653061</v>
      </c>
      <c r="I666" s="65"/>
      <c r="J666" s="83"/>
      <c r="K666" s="83"/>
      <c r="L666" s="21">
        <v>590</v>
      </c>
      <c r="M666" s="21">
        <v>660</v>
      </c>
      <c r="N666" s="285">
        <v>0.68027210884353739</v>
      </c>
      <c r="O666" s="285"/>
      <c r="P666" s="285"/>
      <c r="Q666" s="285"/>
      <c r="R666" s="285"/>
      <c r="S666" s="285"/>
      <c r="T666" s="285"/>
      <c r="U666" s="285"/>
      <c r="V666" s="285"/>
      <c r="W666" s="285"/>
    </row>
    <row r="667" spans="1:23" s="26" customFormat="1" ht="30" customHeight="1" x14ac:dyDescent="0.2">
      <c r="A667" s="106" t="s">
        <v>2026</v>
      </c>
      <c r="B667" s="146" t="s">
        <v>1013</v>
      </c>
      <c r="C667" s="21" t="s">
        <v>132</v>
      </c>
      <c r="D667" s="50">
        <v>1</v>
      </c>
      <c r="E667" s="51">
        <v>22.90909090909091</v>
      </c>
      <c r="F667" s="298">
        <f t="shared" si="264"/>
        <v>4.3650793650793648E-2</v>
      </c>
      <c r="G667" s="65">
        <v>252</v>
      </c>
      <c r="H667" s="77">
        <v>2.3809523809523809</v>
      </c>
      <c r="I667" s="65"/>
      <c r="J667" s="83"/>
      <c r="K667" s="83"/>
      <c r="L667" s="21">
        <v>590</v>
      </c>
      <c r="M667" s="21">
        <v>660</v>
      </c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</row>
    <row r="668" spans="1:23" s="26" customFormat="1" ht="30" customHeight="1" x14ac:dyDescent="0.3">
      <c r="A668" s="106" t="s">
        <v>2027</v>
      </c>
      <c r="B668" s="150" t="s">
        <v>1014</v>
      </c>
      <c r="C668" s="21" t="s">
        <v>132</v>
      </c>
      <c r="D668" s="50">
        <v>1</v>
      </c>
      <c r="E668" s="51">
        <v>15.27272727272727</v>
      </c>
      <c r="F668" s="298">
        <f t="shared" si="264"/>
        <v>6.3415196587109424E-2</v>
      </c>
      <c r="G668" s="65">
        <f>L668/H668</f>
        <v>173.45999999999998</v>
      </c>
      <c r="H668" s="267">
        <v>3.4013605442176873</v>
      </c>
      <c r="I668" s="65"/>
      <c r="J668" s="83"/>
      <c r="K668" s="83"/>
      <c r="L668" s="21">
        <v>590</v>
      </c>
      <c r="M668" s="21">
        <v>660</v>
      </c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</row>
    <row r="669" spans="1:23" s="26" customFormat="1" ht="30" customHeight="1" x14ac:dyDescent="0.2">
      <c r="A669" s="106" t="s">
        <v>2028</v>
      </c>
      <c r="B669" s="146" t="s">
        <v>1015</v>
      </c>
      <c r="C669" s="21" t="s">
        <v>132</v>
      </c>
      <c r="D669" s="22">
        <v>1</v>
      </c>
      <c r="E669" s="51">
        <v>11.454545454545455</v>
      </c>
      <c r="F669" s="298">
        <f t="shared" si="264"/>
        <v>8.7301587301587297E-2</v>
      </c>
      <c r="G669" s="65">
        <v>126</v>
      </c>
      <c r="H669" s="77">
        <v>4.7619047619047619</v>
      </c>
      <c r="I669" s="65"/>
      <c r="J669" s="83"/>
      <c r="K669" s="83"/>
      <c r="L669" s="21">
        <v>590</v>
      </c>
      <c r="M669" s="21">
        <v>660</v>
      </c>
      <c r="N669" s="285">
        <v>3.4013605442176873</v>
      </c>
      <c r="O669" s="285"/>
      <c r="P669" s="285"/>
      <c r="Q669" s="285"/>
      <c r="R669" s="285"/>
      <c r="S669" s="285"/>
      <c r="T669" s="285"/>
      <c r="U669" s="285"/>
      <c r="V669" s="285"/>
      <c r="W669" s="285"/>
    </row>
    <row r="670" spans="1:23" s="26" customFormat="1" ht="30" customHeight="1" x14ac:dyDescent="0.2">
      <c r="A670" s="106" t="s">
        <v>2029</v>
      </c>
      <c r="B670" s="150" t="s">
        <v>1016</v>
      </c>
      <c r="C670" s="21" t="s">
        <v>132</v>
      </c>
      <c r="D670" s="22">
        <v>1</v>
      </c>
      <c r="E670" s="51">
        <v>5.7272727272727275</v>
      </c>
      <c r="F670" s="298">
        <f t="shared" si="264"/>
        <v>0.17460317460317459</v>
      </c>
      <c r="G670" s="65">
        <v>63</v>
      </c>
      <c r="H670" s="77">
        <v>9.5238095238095237</v>
      </c>
      <c r="I670" s="65"/>
      <c r="J670" s="83"/>
      <c r="K670" s="83"/>
      <c r="L670" s="21">
        <v>590</v>
      </c>
      <c r="M670" s="21">
        <v>660</v>
      </c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</row>
    <row r="671" spans="1:23" s="26" customFormat="1" ht="30" customHeight="1" x14ac:dyDescent="0.2">
      <c r="A671" s="106" t="s">
        <v>2030</v>
      </c>
      <c r="B671" s="146" t="s">
        <v>1017</v>
      </c>
      <c r="C671" s="21" t="s">
        <v>132</v>
      </c>
      <c r="D671" s="50">
        <v>1</v>
      </c>
      <c r="E671" s="51">
        <v>5.7272727272727275</v>
      </c>
      <c r="F671" s="298">
        <f t="shared" si="264"/>
        <v>0.17460317460317459</v>
      </c>
      <c r="G671" s="65">
        <v>63</v>
      </c>
      <c r="H671" s="77">
        <v>9.5238095238095237</v>
      </c>
      <c r="I671" s="65"/>
      <c r="J671" s="83"/>
      <c r="K671" s="83"/>
      <c r="L671" s="21">
        <v>590</v>
      </c>
      <c r="M671" s="21">
        <v>660</v>
      </c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</row>
    <row r="672" spans="1:23" s="26" customFormat="1" ht="36.75" customHeight="1" x14ac:dyDescent="0.2">
      <c r="A672" s="106" t="s">
        <v>2031</v>
      </c>
      <c r="B672" s="150" t="s">
        <v>1018</v>
      </c>
      <c r="C672" s="21" t="s">
        <v>132</v>
      </c>
      <c r="D672" s="50">
        <v>1</v>
      </c>
      <c r="E672" s="51">
        <v>2.8636363636363638</v>
      </c>
      <c r="F672" s="298">
        <f t="shared" si="264"/>
        <v>0.34920634920634919</v>
      </c>
      <c r="G672" s="65">
        <v>31.5</v>
      </c>
      <c r="H672" s="77">
        <v>19.047619047619047</v>
      </c>
      <c r="I672" s="65"/>
      <c r="J672" s="83"/>
      <c r="K672" s="83"/>
      <c r="L672" s="21">
        <v>590</v>
      </c>
      <c r="M672" s="21">
        <v>660</v>
      </c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</row>
    <row r="673" spans="1:23" s="26" customFormat="1" ht="33" customHeight="1" x14ac:dyDescent="0.2">
      <c r="A673" s="106" t="s">
        <v>2032</v>
      </c>
      <c r="B673" s="150" t="s">
        <v>1019</v>
      </c>
      <c r="C673" s="21" t="s">
        <v>132</v>
      </c>
      <c r="D673" s="50">
        <v>1</v>
      </c>
      <c r="E673" s="51">
        <v>19.09090909090909</v>
      </c>
      <c r="F673" s="298">
        <f t="shared" si="264"/>
        <v>5.2380952380952389E-2</v>
      </c>
      <c r="G673" s="65">
        <v>209.99999999999997</v>
      </c>
      <c r="H673" s="77">
        <v>2.8571428571428572</v>
      </c>
      <c r="I673" s="65"/>
      <c r="J673" s="83"/>
      <c r="K673" s="83"/>
      <c r="L673" s="21">
        <v>590</v>
      </c>
      <c r="M673" s="21">
        <v>660</v>
      </c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</row>
    <row r="674" spans="1:23" s="26" customFormat="1" ht="36.75" customHeight="1" x14ac:dyDescent="0.2">
      <c r="A674" s="106" t="s">
        <v>2033</v>
      </c>
      <c r="B674" s="150" t="s">
        <v>1020</v>
      </c>
      <c r="C674" s="21" t="s">
        <v>132</v>
      </c>
      <c r="D674" s="22">
        <v>1</v>
      </c>
      <c r="E674" s="51">
        <v>7.6363636363636349</v>
      </c>
      <c r="F674" s="298">
        <f t="shared" si="264"/>
        <v>0.13095238095238099</v>
      </c>
      <c r="G674" s="65">
        <v>83.999999999999986</v>
      </c>
      <c r="H674" s="77">
        <v>7.1428571428571432</v>
      </c>
      <c r="I674" s="65"/>
      <c r="J674" s="83"/>
      <c r="K674" s="83"/>
      <c r="L674" s="21">
        <v>590</v>
      </c>
      <c r="M674" s="21">
        <v>660</v>
      </c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</row>
    <row r="675" spans="1:23" s="26" customFormat="1" ht="30.75" customHeight="1" x14ac:dyDescent="0.2">
      <c r="A675" s="106" t="s">
        <v>2034</v>
      </c>
      <c r="B675" s="150" t="s">
        <v>1021</v>
      </c>
      <c r="C675" s="21" t="s">
        <v>132</v>
      </c>
      <c r="D675" s="22">
        <v>1</v>
      </c>
      <c r="E675" s="51">
        <v>1.5272727272727271</v>
      </c>
      <c r="F675" s="298">
        <f t="shared" si="264"/>
        <v>0.65476190476190488</v>
      </c>
      <c r="G675" s="65">
        <v>16.799999999999997</v>
      </c>
      <c r="H675" s="77">
        <v>35.714285714285715</v>
      </c>
      <c r="I675" s="65"/>
      <c r="J675" s="83"/>
      <c r="K675" s="83"/>
      <c r="L675" s="21">
        <v>590</v>
      </c>
      <c r="M675" s="21">
        <v>660</v>
      </c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</row>
    <row r="676" spans="1:23" s="26" customFormat="1" ht="30.75" customHeight="1" x14ac:dyDescent="0.3">
      <c r="A676" s="106"/>
      <c r="B676" s="154" t="s">
        <v>1023</v>
      </c>
      <c r="C676" s="85"/>
      <c r="D676" s="85"/>
      <c r="E676" s="85"/>
      <c r="F676" s="298" t="e">
        <f t="shared" si="264"/>
        <v>#DIV/0!</v>
      </c>
      <c r="G676" s="85"/>
      <c r="H676" s="235"/>
      <c r="I676" s="65"/>
      <c r="J676" s="83"/>
      <c r="K676" s="83"/>
      <c r="L676" s="21">
        <v>590</v>
      </c>
      <c r="M676" s="21">
        <v>660</v>
      </c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</row>
    <row r="677" spans="1:23" s="26" customFormat="1" ht="42" customHeight="1" x14ac:dyDescent="0.3">
      <c r="A677" s="106"/>
      <c r="B677" s="155" t="s">
        <v>985</v>
      </c>
      <c r="C677"/>
      <c r="D677"/>
      <c r="E677"/>
      <c r="F677" s="298" t="e">
        <f t="shared" si="264"/>
        <v>#DIV/0!</v>
      </c>
      <c r="G677"/>
      <c r="H677" s="221"/>
      <c r="I677" s="65"/>
      <c r="J677" s="83"/>
      <c r="K677" s="83"/>
      <c r="L677" s="21">
        <v>590</v>
      </c>
      <c r="M677" s="21">
        <v>660</v>
      </c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</row>
    <row r="678" spans="1:23" s="26" customFormat="1" ht="42" customHeight="1" x14ac:dyDescent="0.2">
      <c r="A678" s="106" t="s">
        <v>1100</v>
      </c>
      <c r="B678" s="148" t="s">
        <v>1024</v>
      </c>
      <c r="C678" s="21" t="s">
        <v>635</v>
      </c>
      <c r="D678" s="50">
        <v>1</v>
      </c>
      <c r="E678" s="51">
        <f t="shared" ref="E678:E685" si="265">G678/11</f>
        <v>26.727272727272723</v>
      </c>
      <c r="F678" s="298">
        <f t="shared" si="264"/>
        <v>3.7414965986394565E-2</v>
      </c>
      <c r="G678" s="80">
        <v>293.99999999999994</v>
      </c>
      <c r="H678" s="84">
        <f>M678/G678</f>
        <v>2.2448979591836737</v>
      </c>
      <c r="I678" s="65"/>
      <c r="J678" s="83"/>
      <c r="K678" s="83"/>
      <c r="L678" s="21">
        <v>590</v>
      </c>
      <c r="M678" s="21">
        <v>660</v>
      </c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</row>
    <row r="679" spans="1:23" s="26" customFormat="1" ht="42" customHeight="1" x14ac:dyDescent="0.2">
      <c r="A679" s="106" t="s">
        <v>1101</v>
      </c>
      <c r="B679" s="148" t="s">
        <v>1025</v>
      </c>
      <c r="C679" s="21" t="s">
        <v>635</v>
      </c>
      <c r="D679" s="50">
        <v>1</v>
      </c>
      <c r="E679" s="51">
        <f t="shared" si="265"/>
        <v>26.727272727272723</v>
      </c>
      <c r="F679" s="298">
        <f t="shared" si="264"/>
        <v>3.7414965986394565E-2</v>
      </c>
      <c r="G679" s="80">
        <v>293.99999999999994</v>
      </c>
      <c r="H679" s="84">
        <f t="shared" ref="H679:H685" si="266">M679/G679</f>
        <v>2.2448979591836737</v>
      </c>
      <c r="I679" s="65"/>
      <c r="J679" s="83"/>
      <c r="K679" s="83"/>
      <c r="L679" s="21">
        <v>590</v>
      </c>
      <c r="M679" s="21">
        <v>660</v>
      </c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</row>
    <row r="680" spans="1:23" s="26" customFormat="1" ht="42" customHeight="1" x14ac:dyDescent="0.2">
      <c r="A680" s="106" t="s">
        <v>1102</v>
      </c>
      <c r="B680" s="148" t="s">
        <v>1026</v>
      </c>
      <c r="C680" s="21" t="s">
        <v>635</v>
      </c>
      <c r="D680" s="50">
        <v>1</v>
      </c>
      <c r="E680" s="51">
        <f t="shared" si="265"/>
        <v>53.454545454545446</v>
      </c>
      <c r="F680" s="298">
        <f t="shared" si="264"/>
        <v>1.8707482993197282E-2</v>
      </c>
      <c r="G680" s="80">
        <v>587.99999999999989</v>
      </c>
      <c r="H680" s="84">
        <f t="shared" si="266"/>
        <v>1.1224489795918369</v>
      </c>
      <c r="I680" s="65"/>
      <c r="J680" s="83"/>
      <c r="K680" s="83"/>
      <c r="L680" s="21">
        <v>590</v>
      </c>
      <c r="M680" s="21">
        <v>660</v>
      </c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</row>
    <row r="681" spans="1:23" s="26" customFormat="1" ht="42" customHeight="1" x14ac:dyDescent="0.2">
      <c r="A681" s="106" t="s">
        <v>1103</v>
      </c>
      <c r="B681" s="148" t="s">
        <v>1027</v>
      </c>
      <c r="C681" s="21" t="s">
        <v>635</v>
      </c>
      <c r="D681" s="50">
        <v>1</v>
      </c>
      <c r="E681" s="51">
        <f t="shared" si="265"/>
        <v>53.454545454545446</v>
      </c>
      <c r="F681" s="298">
        <f t="shared" si="264"/>
        <v>1.8707482993197282E-2</v>
      </c>
      <c r="G681" s="80">
        <v>587.99999999999989</v>
      </c>
      <c r="H681" s="84">
        <f t="shared" si="266"/>
        <v>1.1224489795918369</v>
      </c>
      <c r="I681" s="65"/>
      <c r="J681" s="83"/>
      <c r="K681" s="83"/>
      <c r="L681" s="21">
        <v>590</v>
      </c>
      <c r="M681" s="21">
        <v>660</v>
      </c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</row>
    <row r="682" spans="1:23" s="26" customFormat="1" ht="42" customHeight="1" x14ac:dyDescent="0.2">
      <c r="A682" s="106" t="s">
        <v>1152</v>
      </c>
      <c r="B682" s="148" t="s">
        <v>1028</v>
      </c>
      <c r="C682" s="21" t="s">
        <v>635</v>
      </c>
      <c r="D682" s="50">
        <v>1</v>
      </c>
      <c r="E682" s="51">
        <f t="shared" si="265"/>
        <v>30.54545454545454</v>
      </c>
      <c r="F682" s="298">
        <f t="shared" si="264"/>
        <v>3.2738095238095247E-2</v>
      </c>
      <c r="G682" s="80">
        <v>335.99999999999994</v>
      </c>
      <c r="H682" s="84">
        <f t="shared" si="266"/>
        <v>1.9642857142857146</v>
      </c>
      <c r="I682" s="65"/>
      <c r="J682" s="83"/>
      <c r="K682" s="83"/>
      <c r="L682" s="21">
        <v>590</v>
      </c>
      <c r="M682" s="21">
        <v>660</v>
      </c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</row>
    <row r="683" spans="1:23" s="26" customFormat="1" ht="51.75" customHeight="1" x14ac:dyDescent="0.2">
      <c r="A683" s="106" t="s">
        <v>1153</v>
      </c>
      <c r="B683" s="148" t="s">
        <v>1029</v>
      </c>
      <c r="C683" s="21" t="s">
        <v>635</v>
      </c>
      <c r="D683" s="50">
        <v>1</v>
      </c>
      <c r="E683" s="51">
        <f t="shared" si="265"/>
        <v>30.54545454545454</v>
      </c>
      <c r="F683" s="298">
        <f t="shared" si="264"/>
        <v>3.2738095238095247E-2</v>
      </c>
      <c r="G683" s="80">
        <v>335.99999999999994</v>
      </c>
      <c r="H683" s="84">
        <f t="shared" si="266"/>
        <v>1.9642857142857146</v>
      </c>
      <c r="I683" s="65"/>
      <c r="J683" s="83"/>
      <c r="K683" s="83"/>
      <c r="L683" s="21">
        <v>590</v>
      </c>
      <c r="M683" s="21">
        <v>660</v>
      </c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</row>
    <row r="684" spans="1:23" s="26" customFormat="1" ht="42" customHeight="1" x14ac:dyDescent="0.2">
      <c r="A684" s="106" t="s">
        <v>1104</v>
      </c>
      <c r="B684" s="148" t="s">
        <v>1030</v>
      </c>
      <c r="C684" s="21" t="s">
        <v>635</v>
      </c>
      <c r="D684" s="50">
        <v>1</v>
      </c>
      <c r="E684" s="51">
        <f t="shared" si="265"/>
        <v>61.090909090909079</v>
      </c>
      <c r="F684" s="298">
        <f t="shared" si="264"/>
        <v>1.6369047619047623E-2</v>
      </c>
      <c r="G684" s="80">
        <v>671.99999999999989</v>
      </c>
      <c r="H684" s="84">
        <f t="shared" si="266"/>
        <v>0.98214285714285732</v>
      </c>
      <c r="I684" s="65"/>
      <c r="J684" s="83"/>
      <c r="K684" s="83"/>
      <c r="L684" s="21">
        <v>590</v>
      </c>
      <c r="M684" s="21">
        <v>660</v>
      </c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</row>
    <row r="685" spans="1:23" s="26" customFormat="1" ht="47.25" customHeight="1" x14ac:dyDescent="0.2">
      <c r="A685" s="106" t="s">
        <v>1105</v>
      </c>
      <c r="B685" s="148" t="s">
        <v>1031</v>
      </c>
      <c r="C685" s="21" t="s">
        <v>635</v>
      </c>
      <c r="D685" s="50">
        <v>1</v>
      </c>
      <c r="E685" s="51">
        <f t="shared" si="265"/>
        <v>61.090909090909079</v>
      </c>
      <c r="F685" s="298">
        <f t="shared" si="264"/>
        <v>1.6369047619047623E-2</v>
      </c>
      <c r="G685" s="80">
        <v>671.99999999999989</v>
      </c>
      <c r="H685" s="84">
        <f t="shared" si="266"/>
        <v>0.98214285714285732</v>
      </c>
      <c r="I685" s="65"/>
      <c r="J685" s="83"/>
      <c r="K685" s="83"/>
      <c r="L685" s="21">
        <v>590</v>
      </c>
      <c r="M685" s="21">
        <v>660</v>
      </c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</row>
    <row r="686" spans="1:23" s="26" customFormat="1" ht="42" customHeight="1" x14ac:dyDescent="0.3">
      <c r="A686" s="106"/>
      <c r="B686" s="89" t="s">
        <v>991</v>
      </c>
      <c r="C686"/>
      <c r="D686"/>
      <c r="E686"/>
      <c r="F686" s="298" t="e">
        <f t="shared" si="264"/>
        <v>#DIV/0!</v>
      </c>
      <c r="G686" s="86"/>
      <c r="H686" s="221"/>
      <c r="I686" s="65"/>
      <c r="J686" s="83"/>
      <c r="K686" s="83"/>
      <c r="L686" s="21">
        <v>590</v>
      </c>
      <c r="M686" s="21">
        <v>660</v>
      </c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</row>
    <row r="687" spans="1:23" s="26" customFormat="1" ht="51.75" customHeight="1" x14ac:dyDescent="0.2">
      <c r="A687" s="106" t="s">
        <v>1154</v>
      </c>
      <c r="B687" s="148" t="s">
        <v>1032</v>
      </c>
      <c r="C687" s="21" t="s">
        <v>990</v>
      </c>
      <c r="D687" s="50">
        <v>1</v>
      </c>
      <c r="E687" s="51">
        <f t="shared" ref="E687:E704" si="267">G687/11</f>
        <v>259.63636363636363</v>
      </c>
      <c r="F687" s="298">
        <f t="shared" si="264"/>
        <v>3.8515406162464988E-3</v>
      </c>
      <c r="G687" s="80">
        <v>2856</v>
      </c>
      <c r="H687" s="84">
        <f t="shared" ref="H687:H704" si="268">M687/G687</f>
        <v>0.23109243697478993</v>
      </c>
      <c r="I687" s="65"/>
      <c r="J687" s="83"/>
      <c r="K687" s="83"/>
      <c r="L687" s="21">
        <v>590</v>
      </c>
      <c r="M687" s="21">
        <v>660</v>
      </c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</row>
    <row r="688" spans="1:23" s="26" customFormat="1" ht="42" customHeight="1" x14ac:dyDescent="0.2">
      <c r="A688" s="106" t="s">
        <v>1155</v>
      </c>
      <c r="B688" s="148" t="s">
        <v>1033</v>
      </c>
      <c r="C688" s="21" t="s">
        <v>990</v>
      </c>
      <c r="D688" s="50">
        <v>1</v>
      </c>
      <c r="E688" s="51">
        <f t="shared" si="267"/>
        <v>259.63636363636363</v>
      </c>
      <c r="F688" s="298">
        <f t="shared" si="264"/>
        <v>3.8515406162464988E-3</v>
      </c>
      <c r="G688" s="80">
        <v>2856</v>
      </c>
      <c r="H688" s="84">
        <f t="shared" si="268"/>
        <v>0.23109243697478993</v>
      </c>
      <c r="I688" s="65"/>
      <c r="J688" s="83"/>
      <c r="K688" s="83"/>
      <c r="L688" s="21">
        <v>590</v>
      </c>
      <c r="M688" s="21">
        <v>660</v>
      </c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</row>
    <row r="689" spans="1:23" s="26" customFormat="1" ht="43.5" customHeight="1" x14ac:dyDescent="0.2">
      <c r="A689" s="106" t="s">
        <v>1156</v>
      </c>
      <c r="B689" s="148" t="s">
        <v>1034</v>
      </c>
      <c r="C689" s="21" t="s">
        <v>990</v>
      </c>
      <c r="D689" s="50">
        <v>1</v>
      </c>
      <c r="E689" s="51">
        <f t="shared" si="267"/>
        <v>213.81818181818178</v>
      </c>
      <c r="F689" s="298">
        <f t="shared" si="264"/>
        <v>4.6768707482993206E-3</v>
      </c>
      <c r="G689" s="80">
        <v>2351.9999999999995</v>
      </c>
      <c r="H689" s="84">
        <f t="shared" si="268"/>
        <v>0.28061224489795922</v>
      </c>
      <c r="I689" s="65"/>
      <c r="J689" s="83"/>
      <c r="K689" s="83"/>
      <c r="L689" s="21">
        <v>590</v>
      </c>
      <c r="M689" s="21">
        <v>660</v>
      </c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</row>
    <row r="690" spans="1:23" s="26" customFormat="1" ht="42" customHeight="1" x14ac:dyDescent="0.2">
      <c r="A690" s="106" t="s">
        <v>1157</v>
      </c>
      <c r="B690" s="148" t="s">
        <v>1035</v>
      </c>
      <c r="C690" s="21" t="s">
        <v>990</v>
      </c>
      <c r="D690" s="50">
        <v>1</v>
      </c>
      <c r="E690" s="51">
        <f t="shared" si="267"/>
        <v>213.81818181818178</v>
      </c>
      <c r="F690" s="298">
        <f t="shared" si="264"/>
        <v>4.6768707482993206E-3</v>
      </c>
      <c r="G690" s="80">
        <v>2351.9999999999995</v>
      </c>
      <c r="H690" s="84">
        <f t="shared" si="268"/>
        <v>0.28061224489795922</v>
      </c>
      <c r="I690" s="65"/>
      <c r="J690" s="83"/>
      <c r="K690" s="83"/>
      <c r="L690" s="21">
        <v>590</v>
      </c>
      <c r="M690" s="21">
        <v>660</v>
      </c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</row>
    <row r="691" spans="1:23" s="26" customFormat="1" ht="42" customHeight="1" x14ac:dyDescent="0.2">
      <c r="A691" s="106" t="s">
        <v>1158</v>
      </c>
      <c r="B691" s="148" t="s">
        <v>1036</v>
      </c>
      <c r="C691" s="21" t="s">
        <v>990</v>
      </c>
      <c r="D691" s="50">
        <v>1</v>
      </c>
      <c r="E691" s="51">
        <f t="shared" si="267"/>
        <v>168</v>
      </c>
      <c r="F691" s="298">
        <f t="shared" si="264"/>
        <v>5.9523809523809521E-3</v>
      </c>
      <c r="G691" s="80">
        <v>1848</v>
      </c>
      <c r="H691" s="84">
        <f t="shared" si="268"/>
        <v>0.35714285714285715</v>
      </c>
      <c r="I691" s="65"/>
      <c r="J691" s="83"/>
      <c r="K691" s="83"/>
      <c r="L691" s="21">
        <v>590</v>
      </c>
      <c r="M691" s="21">
        <v>660</v>
      </c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</row>
    <row r="692" spans="1:23" s="26" customFormat="1" ht="42" customHeight="1" x14ac:dyDescent="0.2">
      <c r="A692" s="106" t="s">
        <v>1159</v>
      </c>
      <c r="B692" s="148" t="s">
        <v>1037</v>
      </c>
      <c r="C692" s="21" t="s">
        <v>990</v>
      </c>
      <c r="D692" s="50">
        <v>1</v>
      </c>
      <c r="E692" s="51">
        <f t="shared" si="267"/>
        <v>168</v>
      </c>
      <c r="F692" s="298">
        <f t="shared" si="264"/>
        <v>5.9523809523809521E-3</v>
      </c>
      <c r="G692" s="80">
        <v>1848</v>
      </c>
      <c r="H692" s="84">
        <f t="shared" si="268"/>
        <v>0.35714285714285715</v>
      </c>
      <c r="I692" s="65"/>
      <c r="J692" s="83"/>
      <c r="K692" s="83"/>
      <c r="L692" s="21">
        <v>590</v>
      </c>
      <c r="M692" s="21">
        <v>660</v>
      </c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</row>
    <row r="693" spans="1:23" s="26" customFormat="1" ht="42" customHeight="1" x14ac:dyDescent="0.2">
      <c r="A693" s="106" t="s">
        <v>1160</v>
      </c>
      <c r="B693" s="148" t="s">
        <v>1038</v>
      </c>
      <c r="C693" s="21" t="s">
        <v>990</v>
      </c>
      <c r="D693" s="50">
        <v>1</v>
      </c>
      <c r="E693" s="51">
        <f t="shared" si="267"/>
        <v>137.45454545454547</v>
      </c>
      <c r="F693" s="298">
        <f t="shared" si="264"/>
        <v>7.2751322751322747E-3</v>
      </c>
      <c r="G693" s="80">
        <v>1512</v>
      </c>
      <c r="H693" s="84">
        <f t="shared" si="268"/>
        <v>0.43650793650793651</v>
      </c>
      <c r="I693" s="65"/>
      <c r="J693" s="83"/>
      <c r="K693" s="83"/>
      <c r="L693" s="21">
        <v>590</v>
      </c>
      <c r="M693" s="21">
        <v>660</v>
      </c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</row>
    <row r="694" spans="1:23" s="26" customFormat="1" ht="42" customHeight="1" x14ac:dyDescent="0.2">
      <c r="A694" s="106" t="s">
        <v>1161</v>
      </c>
      <c r="B694" s="148" t="s">
        <v>1039</v>
      </c>
      <c r="C694" s="21" t="s">
        <v>990</v>
      </c>
      <c r="D694" s="50">
        <v>1</v>
      </c>
      <c r="E694" s="51">
        <f t="shared" si="267"/>
        <v>137.45454545454547</v>
      </c>
      <c r="F694" s="298">
        <f t="shared" si="264"/>
        <v>7.2751322751322747E-3</v>
      </c>
      <c r="G694" s="80">
        <v>1512</v>
      </c>
      <c r="H694" s="84">
        <f t="shared" si="268"/>
        <v>0.43650793650793651</v>
      </c>
      <c r="I694" s="65"/>
      <c r="J694" s="83"/>
      <c r="K694" s="83"/>
      <c r="L694" s="21">
        <v>590</v>
      </c>
      <c r="M694" s="21">
        <v>660</v>
      </c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</row>
    <row r="695" spans="1:23" s="26" customFormat="1" ht="42" customHeight="1" x14ac:dyDescent="0.2">
      <c r="A695" s="106" t="s">
        <v>1162</v>
      </c>
      <c r="B695" s="149" t="s">
        <v>1040</v>
      </c>
      <c r="C695" s="21" t="s">
        <v>990</v>
      </c>
      <c r="D695" s="50">
        <v>1</v>
      </c>
      <c r="E695" s="51">
        <f t="shared" si="267"/>
        <v>114.54545454545455</v>
      </c>
      <c r="F695" s="298">
        <f t="shared" si="264"/>
        <v>8.7301587301587304E-3</v>
      </c>
      <c r="G695" s="80">
        <v>1260</v>
      </c>
      <c r="H695" s="84">
        <f t="shared" si="268"/>
        <v>0.52380952380952384</v>
      </c>
      <c r="I695" s="65"/>
      <c r="J695" s="83"/>
      <c r="K695" s="83"/>
      <c r="L695" s="21">
        <v>590</v>
      </c>
      <c r="M695" s="21">
        <v>660</v>
      </c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</row>
    <row r="696" spans="1:23" s="26" customFormat="1" ht="42" customHeight="1" x14ac:dyDescent="0.2">
      <c r="A696" s="106" t="s">
        <v>1163</v>
      </c>
      <c r="B696" s="148" t="s">
        <v>1041</v>
      </c>
      <c r="C696" s="21" t="s">
        <v>990</v>
      </c>
      <c r="D696" s="50">
        <v>1</v>
      </c>
      <c r="E696" s="51">
        <f t="shared" si="267"/>
        <v>114.54545454545455</v>
      </c>
      <c r="F696" s="298">
        <f t="shared" ref="F696:F755" si="269">11/G696</f>
        <v>8.7301587301587304E-3</v>
      </c>
      <c r="G696" s="80">
        <v>1260</v>
      </c>
      <c r="H696" s="84">
        <f t="shared" si="268"/>
        <v>0.52380952380952384</v>
      </c>
      <c r="I696" s="65"/>
      <c r="J696" s="83"/>
      <c r="K696" s="83"/>
      <c r="L696" s="21">
        <v>590</v>
      </c>
      <c r="M696" s="21">
        <v>660</v>
      </c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</row>
    <row r="697" spans="1:23" s="26" customFormat="1" ht="42" customHeight="1" x14ac:dyDescent="0.2">
      <c r="A697" s="106" t="s">
        <v>1164</v>
      </c>
      <c r="B697" s="148" t="s">
        <v>1042</v>
      </c>
      <c r="C697" s="21" t="s">
        <v>990</v>
      </c>
      <c r="D697" s="50">
        <v>1</v>
      </c>
      <c r="E697" s="51">
        <f t="shared" si="267"/>
        <v>91.63636363636364</v>
      </c>
      <c r="F697" s="298">
        <f t="shared" si="269"/>
        <v>1.0912698412698412E-2</v>
      </c>
      <c r="G697" s="80">
        <v>1008</v>
      </c>
      <c r="H697" s="84">
        <f t="shared" si="268"/>
        <v>0.65476190476190477</v>
      </c>
      <c r="I697" s="65"/>
      <c r="J697" s="83"/>
      <c r="K697" s="83"/>
      <c r="L697" s="21">
        <v>590</v>
      </c>
      <c r="M697" s="21">
        <v>660</v>
      </c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</row>
    <row r="698" spans="1:23" s="26" customFormat="1" ht="42" customHeight="1" x14ac:dyDescent="0.2">
      <c r="A698" s="106" t="s">
        <v>1165</v>
      </c>
      <c r="B698" s="148" t="s">
        <v>1043</v>
      </c>
      <c r="C698" s="21" t="s">
        <v>990</v>
      </c>
      <c r="D698" s="50">
        <v>1</v>
      </c>
      <c r="E698" s="51">
        <f t="shared" si="267"/>
        <v>91.63636363636364</v>
      </c>
      <c r="F698" s="298">
        <f t="shared" si="269"/>
        <v>1.0912698412698412E-2</v>
      </c>
      <c r="G698" s="80">
        <v>1008</v>
      </c>
      <c r="H698" s="84">
        <f t="shared" si="268"/>
        <v>0.65476190476190477</v>
      </c>
      <c r="I698" s="65"/>
      <c r="J698" s="83"/>
      <c r="K698" s="83"/>
      <c r="L698" s="21">
        <v>590</v>
      </c>
      <c r="M698" s="21">
        <v>660</v>
      </c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</row>
    <row r="699" spans="1:23" s="26" customFormat="1" ht="42" customHeight="1" x14ac:dyDescent="0.2">
      <c r="A699" s="106" t="s">
        <v>1166</v>
      </c>
      <c r="B699" s="148" t="s">
        <v>1044</v>
      </c>
      <c r="C699" s="21" t="s">
        <v>990</v>
      </c>
      <c r="D699" s="50">
        <v>1</v>
      </c>
      <c r="E699" s="51">
        <f t="shared" si="267"/>
        <v>76.36363636363636</v>
      </c>
      <c r="F699" s="298">
        <f t="shared" si="269"/>
        <v>1.3095238095238097E-2</v>
      </c>
      <c r="G699" s="80">
        <v>839.99999999999989</v>
      </c>
      <c r="H699" s="84">
        <f t="shared" si="268"/>
        <v>0.78571428571428581</v>
      </c>
      <c r="I699" s="65"/>
      <c r="J699" s="83"/>
      <c r="K699" s="83"/>
      <c r="L699" s="21">
        <v>590</v>
      </c>
      <c r="M699" s="21">
        <v>660</v>
      </c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</row>
    <row r="700" spans="1:23" s="26" customFormat="1" ht="42" customHeight="1" x14ac:dyDescent="0.2">
      <c r="A700" s="106" t="s">
        <v>1167</v>
      </c>
      <c r="B700" s="148" t="s">
        <v>1045</v>
      </c>
      <c r="C700" s="21" t="s">
        <v>990</v>
      </c>
      <c r="D700" s="50">
        <v>1</v>
      </c>
      <c r="E700" s="51">
        <f t="shared" si="267"/>
        <v>76.36363636363636</v>
      </c>
      <c r="F700" s="298">
        <f t="shared" si="269"/>
        <v>1.3095238095238097E-2</v>
      </c>
      <c r="G700" s="80">
        <v>839.99999999999989</v>
      </c>
      <c r="H700" s="84">
        <f t="shared" si="268"/>
        <v>0.78571428571428581</v>
      </c>
      <c r="I700" s="65"/>
      <c r="J700" s="83"/>
      <c r="K700" s="83"/>
      <c r="L700" s="21">
        <v>590</v>
      </c>
      <c r="M700" s="21">
        <v>660</v>
      </c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</row>
    <row r="701" spans="1:23" s="26" customFormat="1" ht="42" customHeight="1" x14ac:dyDescent="0.2">
      <c r="A701" s="106" t="s">
        <v>1168</v>
      </c>
      <c r="B701" s="148" t="s">
        <v>1046</v>
      </c>
      <c r="C701" s="21" t="s">
        <v>990</v>
      </c>
      <c r="D701" s="50">
        <v>1</v>
      </c>
      <c r="E701" s="51">
        <f t="shared" si="267"/>
        <v>61.090909090909079</v>
      </c>
      <c r="F701" s="298">
        <f t="shared" si="269"/>
        <v>1.6369047619047623E-2</v>
      </c>
      <c r="G701" s="80">
        <v>671.99999999999989</v>
      </c>
      <c r="H701" s="84">
        <f t="shared" si="268"/>
        <v>0.98214285714285732</v>
      </c>
      <c r="I701" s="65"/>
      <c r="J701" s="83"/>
      <c r="K701" s="83"/>
      <c r="L701" s="21">
        <v>590</v>
      </c>
      <c r="M701" s="21">
        <v>660</v>
      </c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</row>
    <row r="702" spans="1:23" s="26" customFormat="1" ht="42" customHeight="1" x14ac:dyDescent="0.2">
      <c r="A702" s="106" t="s">
        <v>1169</v>
      </c>
      <c r="B702" s="148" t="s">
        <v>1047</v>
      </c>
      <c r="C702" s="21" t="s">
        <v>990</v>
      </c>
      <c r="D702" s="50">
        <v>1</v>
      </c>
      <c r="E702" s="51">
        <f t="shared" si="267"/>
        <v>61.090909090909079</v>
      </c>
      <c r="F702" s="298">
        <f t="shared" si="269"/>
        <v>1.6369047619047623E-2</v>
      </c>
      <c r="G702" s="80">
        <v>671.99999999999989</v>
      </c>
      <c r="H702" s="84">
        <f t="shared" si="268"/>
        <v>0.98214285714285732</v>
      </c>
      <c r="I702" s="65"/>
      <c r="J702" s="83"/>
      <c r="K702" s="83"/>
      <c r="L702" s="21">
        <v>590</v>
      </c>
      <c r="M702" s="21">
        <v>660</v>
      </c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</row>
    <row r="703" spans="1:23" s="26" customFormat="1" ht="42" customHeight="1" x14ac:dyDescent="0.2">
      <c r="A703" s="106" t="s">
        <v>1170</v>
      </c>
      <c r="B703" s="148" t="s">
        <v>1048</v>
      </c>
      <c r="C703" s="21" t="s">
        <v>990</v>
      </c>
      <c r="D703" s="50">
        <v>1</v>
      </c>
      <c r="E703" s="51">
        <f t="shared" si="267"/>
        <v>45.81818181818182</v>
      </c>
      <c r="F703" s="298">
        <f t="shared" si="269"/>
        <v>2.1825396825396824E-2</v>
      </c>
      <c r="G703" s="80">
        <v>504</v>
      </c>
      <c r="H703" s="84">
        <f t="shared" si="268"/>
        <v>1.3095238095238095</v>
      </c>
      <c r="I703" s="65"/>
      <c r="J703" s="83"/>
      <c r="K703" s="83"/>
      <c r="L703" s="21">
        <v>590</v>
      </c>
      <c r="M703" s="21">
        <v>660</v>
      </c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</row>
    <row r="704" spans="1:23" s="26" customFormat="1" ht="42" customHeight="1" x14ac:dyDescent="0.2">
      <c r="A704" s="106" t="s">
        <v>1171</v>
      </c>
      <c r="B704" s="148" t="s">
        <v>1049</v>
      </c>
      <c r="C704" s="21" t="s">
        <v>990</v>
      </c>
      <c r="D704" s="50">
        <v>1</v>
      </c>
      <c r="E704" s="51">
        <f t="shared" si="267"/>
        <v>45.81818181818182</v>
      </c>
      <c r="F704" s="298">
        <f t="shared" si="269"/>
        <v>2.1825396825396824E-2</v>
      </c>
      <c r="G704" s="80">
        <v>504</v>
      </c>
      <c r="H704" s="84">
        <f t="shared" si="268"/>
        <v>1.3095238095238095</v>
      </c>
      <c r="I704" s="65"/>
      <c r="J704" s="83"/>
      <c r="K704" s="83"/>
      <c r="L704" s="21">
        <v>590</v>
      </c>
      <c r="M704" s="21">
        <v>660</v>
      </c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</row>
    <row r="705" spans="1:23" s="26" customFormat="1" ht="42" customHeight="1" x14ac:dyDescent="0.3">
      <c r="A705" s="106"/>
      <c r="B705" s="89" t="s">
        <v>1001</v>
      </c>
      <c r="C705"/>
      <c r="D705"/>
      <c r="E705"/>
      <c r="F705" s="298" t="e">
        <f t="shared" si="269"/>
        <v>#DIV/0!</v>
      </c>
      <c r="G705" s="86"/>
      <c r="H705" s="221"/>
      <c r="I705" s="65"/>
      <c r="J705" s="83"/>
      <c r="K705" s="83"/>
      <c r="L705" s="21">
        <v>590</v>
      </c>
      <c r="M705" s="21">
        <v>660</v>
      </c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</row>
    <row r="706" spans="1:23" s="26" customFormat="1" ht="42" customHeight="1" x14ac:dyDescent="0.2">
      <c r="A706" s="106" t="s">
        <v>1144</v>
      </c>
      <c r="B706" s="148" t="s">
        <v>1050</v>
      </c>
      <c r="C706" s="21" t="s">
        <v>990</v>
      </c>
      <c r="D706" s="50">
        <v>1</v>
      </c>
      <c r="E706" s="51">
        <f t="shared" ref="E706:E713" si="270">G706/11</f>
        <v>152.72727272727272</v>
      </c>
      <c r="F706" s="298">
        <f t="shared" si="269"/>
        <v>6.5476190476190486E-3</v>
      </c>
      <c r="G706" s="80">
        <v>1679.9999999999998</v>
      </c>
      <c r="H706" s="84">
        <f t="shared" ref="H706:H713" si="271">M706/G706</f>
        <v>0.3928571428571429</v>
      </c>
      <c r="I706" s="65"/>
      <c r="J706" s="83"/>
      <c r="K706" s="83"/>
      <c r="L706" s="21">
        <v>590</v>
      </c>
      <c r="M706" s="21">
        <v>660</v>
      </c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</row>
    <row r="707" spans="1:23" s="26" customFormat="1" ht="42" customHeight="1" x14ac:dyDescent="0.2">
      <c r="A707" s="106" t="s">
        <v>1145</v>
      </c>
      <c r="B707" s="148" t="s">
        <v>1051</v>
      </c>
      <c r="C707" s="21" t="s">
        <v>990</v>
      </c>
      <c r="D707" s="50">
        <v>1</v>
      </c>
      <c r="E707" s="51">
        <f t="shared" si="270"/>
        <v>152.72727272727272</v>
      </c>
      <c r="F707" s="298">
        <f t="shared" si="269"/>
        <v>6.5476190476190486E-3</v>
      </c>
      <c r="G707" s="80">
        <v>1679.9999999999998</v>
      </c>
      <c r="H707" s="84">
        <f t="shared" si="271"/>
        <v>0.3928571428571429</v>
      </c>
      <c r="I707" s="65"/>
      <c r="J707" s="83"/>
      <c r="K707" s="83"/>
      <c r="L707" s="21">
        <v>590</v>
      </c>
      <c r="M707" s="21">
        <v>660</v>
      </c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</row>
    <row r="708" spans="1:23" s="26" customFormat="1" ht="42" customHeight="1" x14ac:dyDescent="0.2">
      <c r="A708" s="106" t="s">
        <v>1146</v>
      </c>
      <c r="B708" s="148" t="s">
        <v>1052</v>
      </c>
      <c r="C708" s="21" t="s">
        <v>990</v>
      </c>
      <c r="D708" s="50">
        <v>1</v>
      </c>
      <c r="E708" s="51">
        <f t="shared" si="270"/>
        <v>137.45454545454547</v>
      </c>
      <c r="F708" s="298">
        <f t="shared" si="269"/>
        <v>7.2751322751322747E-3</v>
      </c>
      <c r="G708" s="80">
        <v>1512</v>
      </c>
      <c r="H708" s="84">
        <f t="shared" si="271"/>
        <v>0.43650793650793651</v>
      </c>
      <c r="I708" s="65"/>
      <c r="J708" s="83"/>
      <c r="K708" s="83"/>
      <c r="L708" s="21">
        <v>590</v>
      </c>
      <c r="M708" s="21">
        <v>660</v>
      </c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</row>
    <row r="709" spans="1:23" s="26" customFormat="1" ht="42" customHeight="1" x14ac:dyDescent="0.2">
      <c r="A709" s="106" t="s">
        <v>1147</v>
      </c>
      <c r="B709" s="148" t="s">
        <v>1053</v>
      </c>
      <c r="C709" s="21" t="s">
        <v>990</v>
      </c>
      <c r="D709" s="50">
        <v>1</v>
      </c>
      <c r="E709" s="51">
        <f t="shared" si="270"/>
        <v>137.45454545454547</v>
      </c>
      <c r="F709" s="298">
        <f t="shared" si="269"/>
        <v>7.2751322751322747E-3</v>
      </c>
      <c r="G709" s="80">
        <v>1512</v>
      </c>
      <c r="H709" s="84">
        <f t="shared" si="271"/>
        <v>0.43650793650793651</v>
      </c>
      <c r="I709" s="65"/>
      <c r="J709" s="83"/>
      <c r="K709" s="83"/>
      <c r="L709" s="21">
        <v>590</v>
      </c>
      <c r="M709" s="21">
        <v>660</v>
      </c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</row>
    <row r="710" spans="1:23" s="26" customFormat="1" ht="42" customHeight="1" x14ac:dyDescent="0.2">
      <c r="A710" s="106" t="s">
        <v>1148</v>
      </c>
      <c r="B710" s="148" t="s">
        <v>1054</v>
      </c>
      <c r="C710" s="21" t="s">
        <v>990</v>
      </c>
      <c r="D710" s="50">
        <v>1</v>
      </c>
      <c r="E710" s="51">
        <f t="shared" si="270"/>
        <v>76.36363636363636</v>
      </c>
      <c r="F710" s="298">
        <f t="shared" si="269"/>
        <v>1.3095238095238097E-2</v>
      </c>
      <c r="G710" s="80">
        <v>839.99999999999989</v>
      </c>
      <c r="H710" s="84">
        <f t="shared" si="271"/>
        <v>0.78571428571428581</v>
      </c>
      <c r="I710" s="65"/>
      <c r="J710" s="83"/>
      <c r="K710" s="83"/>
      <c r="L710" s="21">
        <v>590</v>
      </c>
      <c r="M710" s="21">
        <v>660</v>
      </c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</row>
    <row r="711" spans="1:23" s="26" customFormat="1" ht="42" customHeight="1" x14ac:dyDescent="0.2">
      <c r="A711" s="106" t="s">
        <v>1149</v>
      </c>
      <c r="B711" s="148" t="s">
        <v>1055</v>
      </c>
      <c r="C711" s="21" t="s">
        <v>990</v>
      </c>
      <c r="D711" s="50">
        <v>1</v>
      </c>
      <c r="E711" s="51">
        <f t="shared" si="270"/>
        <v>76.36363636363636</v>
      </c>
      <c r="F711" s="298">
        <f t="shared" si="269"/>
        <v>1.3095238095238097E-2</v>
      </c>
      <c r="G711" s="80">
        <v>839.99999999999989</v>
      </c>
      <c r="H711" s="84">
        <f t="shared" si="271"/>
        <v>0.78571428571428581</v>
      </c>
      <c r="I711" s="65"/>
      <c r="J711" s="83"/>
      <c r="K711" s="83"/>
      <c r="L711" s="21">
        <v>590</v>
      </c>
      <c r="M711" s="21">
        <v>660</v>
      </c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</row>
    <row r="712" spans="1:23" s="26" customFormat="1" ht="42" customHeight="1" x14ac:dyDescent="0.2">
      <c r="A712" s="106" t="s">
        <v>1150</v>
      </c>
      <c r="B712" s="148" t="s">
        <v>1056</v>
      </c>
      <c r="C712" s="21" t="s">
        <v>990</v>
      </c>
      <c r="D712" s="50">
        <v>1</v>
      </c>
      <c r="E712" s="51">
        <f t="shared" si="270"/>
        <v>61.090909090909079</v>
      </c>
      <c r="F712" s="298">
        <f t="shared" si="269"/>
        <v>1.6369047619047623E-2</v>
      </c>
      <c r="G712" s="80">
        <v>671.99999999999989</v>
      </c>
      <c r="H712" s="84">
        <f t="shared" si="271"/>
        <v>0.98214285714285732</v>
      </c>
      <c r="I712" s="65"/>
      <c r="J712" s="83"/>
      <c r="K712" s="83"/>
      <c r="L712" s="21">
        <v>590</v>
      </c>
      <c r="M712" s="21">
        <v>660</v>
      </c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</row>
    <row r="713" spans="1:23" s="26" customFormat="1" ht="42" customHeight="1" x14ac:dyDescent="0.2">
      <c r="A713" s="106" t="s">
        <v>1151</v>
      </c>
      <c r="B713" s="148" t="s">
        <v>1057</v>
      </c>
      <c r="C713" s="21" t="s">
        <v>990</v>
      </c>
      <c r="D713" s="50">
        <v>1</v>
      </c>
      <c r="E713" s="51">
        <f t="shared" si="270"/>
        <v>61.090909090909079</v>
      </c>
      <c r="F713" s="298">
        <f t="shared" si="269"/>
        <v>1.6369047619047623E-2</v>
      </c>
      <c r="G713" s="80">
        <v>671.99999999999989</v>
      </c>
      <c r="H713" s="84">
        <f t="shared" si="271"/>
        <v>0.98214285714285732</v>
      </c>
      <c r="I713" s="65"/>
      <c r="J713" s="83"/>
      <c r="K713" s="83"/>
      <c r="L713" s="21">
        <v>590</v>
      </c>
      <c r="M713" s="21">
        <v>660</v>
      </c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</row>
    <row r="714" spans="1:23" s="26" customFormat="1" ht="42" customHeight="1" x14ac:dyDescent="0.3">
      <c r="A714" s="106"/>
      <c r="B714" s="152" t="s">
        <v>1005</v>
      </c>
      <c r="C714"/>
      <c r="D714"/>
      <c r="E714"/>
      <c r="F714" s="298" t="e">
        <f t="shared" si="269"/>
        <v>#DIV/0!</v>
      </c>
      <c r="G714" s="86"/>
      <c r="H714" s="221"/>
      <c r="I714" s="65"/>
      <c r="J714" s="83"/>
      <c r="K714" s="83"/>
      <c r="L714" s="21">
        <v>590</v>
      </c>
      <c r="M714" s="21">
        <v>660</v>
      </c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</row>
    <row r="715" spans="1:23" s="26" customFormat="1" ht="42" customHeight="1" x14ac:dyDescent="0.2">
      <c r="A715" s="106" t="s">
        <v>1136</v>
      </c>
      <c r="B715" s="153" t="s">
        <v>1058</v>
      </c>
      <c r="C715" s="21" t="s">
        <v>1007</v>
      </c>
      <c r="D715" s="50">
        <v>1</v>
      </c>
      <c r="E715" s="51">
        <f t="shared" ref="E715:E722" si="272">G715/11</f>
        <v>22.90909090909091</v>
      </c>
      <c r="F715" s="298">
        <f t="shared" si="269"/>
        <v>4.3650793650793648E-2</v>
      </c>
      <c r="G715" s="80">
        <v>252</v>
      </c>
      <c r="H715" s="84">
        <f t="shared" ref="H715:H722" si="273">M715/G715</f>
        <v>2.6190476190476191</v>
      </c>
      <c r="I715" s="65"/>
      <c r="J715" s="83"/>
      <c r="K715" s="83"/>
      <c r="L715" s="21">
        <v>590</v>
      </c>
      <c r="M715" s="21">
        <v>660</v>
      </c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</row>
    <row r="716" spans="1:23" s="26" customFormat="1" ht="42" customHeight="1" x14ac:dyDescent="0.2">
      <c r="A716" s="106" t="s">
        <v>1137</v>
      </c>
      <c r="B716" s="153" t="s">
        <v>1059</v>
      </c>
      <c r="C716" s="21" t="s">
        <v>1007</v>
      </c>
      <c r="D716" s="50">
        <v>1</v>
      </c>
      <c r="E716" s="51">
        <f t="shared" si="272"/>
        <v>22.90909090909091</v>
      </c>
      <c r="F716" s="298">
        <f t="shared" si="269"/>
        <v>4.3650793650793648E-2</v>
      </c>
      <c r="G716" s="80">
        <v>252</v>
      </c>
      <c r="H716" s="84">
        <f t="shared" si="273"/>
        <v>2.6190476190476191</v>
      </c>
      <c r="I716" s="65"/>
      <c r="J716" s="83"/>
      <c r="K716" s="83"/>
      <c r="L716" s="21">
        <v>590</v>
      </c>
      <c r="M716" s="21">
        <v>660</v>
      </c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</row>
    <row r="717" spans="1:23" s="26" customFormat="1" ht="42" customHeight="1" x14ac:dyDescent="0.2">
      <c r="A717" s="106" t="s">
        <v>1138</v>
      </c>
      <c r="B717" s="153" t="s">
        <v>1060</v>
      </c>
      <c r="C717" s="21" t="s">
        <v>1007</v>
      </c>
      <c r="D717" s="50">
        <v>1</v>
      </c>
      <c r="E717" s="51">
        <f t="shared" si="272"/>
        <v>16.36363636363636</v>
      </c>
      <c r="F717" s="298">
        <f t="shared" si="269"/>
        <v>6.1111111111111123E-2</v>
      </c>
      <c r="G717" s="80">
        <v>179.99999999999997</v>
      </c>
      <c r="H717" s="84">
        <f t="shared" si="273"/>
        <v>3.6666666666666674</v>
      </c>
      <c r="I717" s="65"/>
      <c r="J717" s="83"/>
      <c r="K717" s="83"/>
      <c r="L717" s="21">
        <v>590</v>
      </c>
      <c r="M717" s="21">
        <v>660</v>
      </c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</row>
    <row r="718" spans="1:23" s="26" customFormat="1" ht="42" customHeight="1" x14ac:dyDescent="0.2">
      <c r="A718" s="106" t="s">
        <v>1139</v>
      </c>
      <c r="B718" s="153" t="s">
        <v>1061</v>
      </c>
      <c r="C718" s="21" t="s">
        <v>1007</v>
      </c>
      <c r="D718" s="50">
        <v>1</v>
      </c>
      <c r="E718" s="51">
        <f t="shared" si="272"/>
        <v>16.36363636363636</v>
      </c>
      <c r="F718" s="298">
        <f t="shared" si="269"/>
        <v>6.1111111111111123E-2</v>
      </c>
      <c r="G718" s="80">
        <v>179.99999999999997</v>
      </c>
      <c r="H718" s="84">
        <f t="shared" si="273"/>
        <v>3.6666666666666674</v>
      </c>
      <c r="I718" s="65"/>
      <c r="J718" s="83"/>
      <c r="K718" s="83"/>
      <c r="L718" s="21">
        <v>590</v>
      </c>
      <c r="M718" s="21">
        <v>660</v>
      </c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</row>
    <row r="719" spans="1:23" s="26" customFormat="1" ht="42" customHeight="1" x14ac:dyDescent="0.2">
      <c r="A719" s="106" t="s">
        <v>1140</v>
      </c>
      <c r="B719" s="153" t="s">
        <v>1062</v>
      </c>
      <c r="C719" s="21" t="s">
        <v>1007</v>
      </c>
      <c r="D719" s="50">
        <v>1</v>
      </c>
      <c r="E719" s="51">
        <f t="shared" si="272"/>
        <v>11.454545454545455</v>
      </c>
      <c r="F719" s="298">
        <f t="shared" si="269"/>
        <v>8.7301587301587297E-2</v>
      </c>
      <c r="G719" s="80">
        <v>126</v>
      </c>
      <c r="H719" s="84">
        <f t="shared" si="273"/>
        <v>5.2380952380952381</v>
      </c>
      <c r="I719" s="65"/>
      <c r="J719" s="83"/>
      <c r="K719" s="83"/>
      <c r="L719" s="21">
        <v>590</v>
      </c>
      <c r="M719" s="21">
        <v>660</v>
      </c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</row>
    <row r="720" spans="1:23" s="26" customFormat="1" ht="42" customHeight="1" x14ac:dyDescent="0.2">
      <c r="A720" s="106" t="s">
        <v>1141</v>
      </c>
      <c r="B720" s="153" t="s">
        <v>1063</v>
      </c>
      <c r="C720" s="21" t="s">
        <v>1007</v>
      </c>
      <c r="D720" s="50">
        <v>1</v>
      </c>
      <c r="E720" s="51">
        <f t="shared" si="272"/>
        <v>11.454545454545455</v>
      </c>
      <c r="F720" s="298">
        <f t="shared" si="269"/>
        <v>8.7301587301587297E-2</v>
      </c>
      <c r="G720" s="80">
        <v>126</v>
      </c>
      <c r="H720" s="84">
        <f t="shared" si="273"/>
        <v>5.2380952380952381</v>
      </c>
      <c r="I720" s="65"/>
      <c r="J720" s="83"/>
      <c r="K720" s="83"/>
      <c r="L720" s="21">
        <v>590</v>
      </c>
      <c r="M720" s="21">
        <v>660</v>
      </c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</row>
    <row r="721" spans="1:23" s="26" customFormat="1" ht="42" customHeight="1" x14ac:dyDescent="0.2">
      <c r="A721" s="106" t="s">
        <v>1142</v>
      </c>
      <c r="B721" s="153" t="s">
        <v>1064</v>
      </c>
      <c r="C721" s="21" t="s">
        <v>1007</v>
      </c>
      <c r="D721" s="50">
        <v>1</v>
      </c>
      <c r="E721" s="51">
        <f t="shared" si="272"/>
        <v>3.8181818181818175</v>
      </c>
      <c r="F721" s="298">
        <f t="shared" si="269"/>
        <v>0.26190476190476197</v>
      </c>
      <c r="G721" s="80">
        <v>41.999999999999993</v>
      </c>
      <c r="H721" s="84">
        <f t="shared" si="273"/>
        <v>15.714285714285717</v>
      </c>
      <c r="I721" s="65"/>
      <c r="J721" s="83"/>
      <c r="K721" s="83"/>
      <c r="L721" s="21">
        <v>590</v>
      </c>
      <c r="M721" s="21">
        <v>660</v>
      </c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</row>
    <row r="722" spans="1:23" s="26" customFormat="1" ht="42" customHeight="1" x14ac:dyDescent="0.2">
      <c r="A722" s="106" t="s">
        <v>1143</v>
      </c>
      <c r="B722" s="153" t="s">
        <v>1065</v>
      </c>
      <c r="C722" s="21" t="s">
        <v>1007</v>
      </c>
      <c r="D722" s="50">
        <v>1</v>
      </c>
      <c r="E722" s="51">
        <f t="shared" si="272"/>
        <v>3.8181818181818175</v>
      </c>
      <c r="F722" s="298">
        <f t="shared" si="269"/>
        <v>0.26190476190476197</v>
      </c>
      <c r="G722" s="80">
        <v>41.999999999999993</v>
      </c>
      <c r="H722" s="84">
        <f t="shared" si="273"/>
        <v>15.714285714285717</v>
      </c>
      <c r="I722" s="65"/>
      <c r="J722" s="83"/>
      <c r="K722" s="83"/>
      <c r="L722" s="21">
        <v>590</v>
      </c>
      <c r="M722" s="21">
        <v>660</v>
      </c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</row>
    <row r="723" spans="1:23" s="26" customFormat="1" ht="42" customHeight="1" x14ac:dyDescent="0.3">
      <c r="A723" s="106"/>
      <c r="B723" s="89" t="s">
        <v>1011</v>
      </c>
      <c r="C723"/>
      <c r="D723"/>
      <c r="E723"/>
      <c r="F723" s="298" t="e">
        <f t="shared" si="269"/>
        <v>#DIV/0!</v>
      </c>
      <c r="G723" s="86"/>
      <c r="H723" s="221"/>
      <c r="I723" s="65"/>
      <c r="J723" s="83"/>
      <c r="K723" s="83"/>
      <c r="L723" s="21">
        <v>590</v>
      </c>
      <c r="M723" s="21">
        <v>660</v>
      </c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</row>
    <row r="724" spans="1:23" s="26" customFormat="1" ht="42" customHeight="1" x14ac:dyDescent="0.2">
      <c r="A724" s="106" t="s">
        <v>1106</v>
      </c>
      <c r="B724" s="156" t="s">
        <v>1066</v>
      </c>
      <c r="C724" s="21" t="s">
        <v>132</v>
      </c>
      <c r="D724" s="50">
        <v>1</v>
      </c>
      <c r="E724" s="51">
        <f t="shared" ref="E724:E755" si="274">G724/11</f>
        <v>610.90909090909088</v>
      </c>
      <c r="F724" s="298">
        <f t="shared" si="269"/>
        <v>1.6369047619047622E-3</v>
      </c>
      <c r="G724" s="87">
        <v>6719.9999999999991</v>
      </c>
      <c r="H724" s="84">
        <f t="shared" ref="H724:H755" si="275">M724/G724</f>
        <v>9.8214285714285726E-2</v>
      </c>
      <c r="I724" s="65"/>
      <c r="J724" s="83"/>
      <c r="K724" s="83"/>
      <c r="L724" s="21">
        <v>590</v>
      </c>
      <c r="M724" s="21">
        <v>660</v>
      </c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</row>
    <row r="725" spans="1:23" s="26" customFormat="1" ht="42" customHeight="1" x14ac:dyDescent="0.2">
      <c r="A725" s="106" t="s">
        <v>1108</v>
      </c>
      <c r="B725" s="156" t="s">
        <v>1067</v>
      </c>
      <c r="C725" s="21" t="s">
        <v>132</v>
      </c>
      <c r="D725" s="50">
        <v>1</v>
      </c>
      <c r="E725" s="51">
        <f t="shared" si="274"/>
        <v>610.90909090909088</v>
      </c>
      <c r="F725" s="298">
        <f t="shared" si="269"/>
        <v>1.6369047619047622E-3</v>
      </c>
      <c r="G725" s="80">
        <v>6719.9999999999991</v>
      </c>
      <c r="H725" s="84">
        <f t="shared" si="275"/>
        <v>9.8214285714285726E-2</v>
      </c>
      <c r="I725" s="65"/>
      <c r="J725" s="83"/>
      <c r="K725" s="83"/>
      <c r="L725" s="21">
        <v>590</v>
      </c>
      <c r="M725" s="21">
        <v>660</v>
      </c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</row>
    <row r="726" spans="1:23" s="26" customFormat="1" ht="42" customHeight="1" x14ac:dyDescent="0.2">
      <c r="A726" s="106" t="s">
        <v>1109</v>
      </c>
      <c r="B726" s="156" t="s">
        <v>1068</v>
      </c>
      <c r="C726" s="21" t="s">
        <v>1</v>
      </c>
      <c r="D726" s="50">
        <v>1</v>
      </c>
      <c r="E726" s="51">
        <f t="shared" si="274"/>
        <v>392.72727272727275</v>
      </c>
      <c r="F726" s="298">
        <f t="shared" si="269"/>
        <v>2.5462962962962965E-3</v>
      </c>
      <c r="G726" s="80">
        <v>4320</v>
      </c>
      <c r="H726" s="84">
        <f t="shared" si="275"/>
        <v>0.15277777777777779</v>
      </c>
      <c r="I726" s="65"/>
      <c r="J726" s="83"/>
      <c r="K726" s="83"/>
      <c r="L726" s="21">
        <v>590</v>
      </c>
      <c r="M726" s="21">
        <v>660</v>
      </c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</row>
    <row r="727" spans="1:23" s="26" customFormat="1" ht="42" customHeight="1" x14ac:dyDescent="0.2">
      <c r="A727" s="106" t="s">
        <v>1107</v>
      </c>
      <c r="B727" s="156" t="s">
        <v>1069</v>
      </c>
      <c r="C727" s="21" t="s">
        <v>1</v>
      </c>
      <c r="D727" s="50">
        <v>1</v>
      </c>
      <c r="E727" s="51">
        <f t="shared" si="274"/>
        <v>392.72727272727275</v>
      </c>
      <c r="F727" s="298">
        <f t="shared" si="269"/>
        <v>2.5462962962962965E-3</v>
      </c>
      <c r="G727" s="80">
        <v>4320</v>
      </c>
      <c r="H727" s="84">
        <f t="shared" si="275"/>
        <v>0.15277777777777779</v>
      </c>
      <c r="I727" s="65"/>
      <c r="J727" s="83"/>
      <c r="K727" s="83"/>
      <c r="L727" s="21">
        <v>590</v>
      </c>
      <c r="M727" s="21">
        <v>660</v>
      </c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</row>
    <row r="728" spans="1:23" s="26" customFormat="1" ht="42" customHeight="1" x14ac:dyDescent="0.2">
      <c r="A728" s="106" t="s">
        <v>1110</v>
      </c>
      <c r="B728" s="151" t="s">
        <v>1070</v>
      </c>
      <c r="C728" s="21" t="s">
        <v>1</v>
      </c>
      <c r="D728" s="50">
        <v>1</v>
      </c>
      <c r="E728" s="51">
        <f t="shared" si="274"/>
        <v>202.90909090909091</v>
      </c>
      <c r="F728" s="298">
        <f t="shared" si="269"/>
        <v>4.9283154121863796E-3</v>
      </c>
      <c r="G728" s="80">
        <v>2232</v>
      </c>
      <c r="H728" s="84">
        <f t="shared" si="275"/>
        <v>0.29569892473118281</v>
      </c>
      <c r="I728" s="65"/>
      <c r="J728" s="83"/>
      <c r="K728" s="83"/>
      <c r="L728" s="21">
        <v>590</v>
      </c>
      <c r="M728" s="21">
        <v>660</v>
      </c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</row>
    <row r="729" spans="1:23" s="26" customFormat="1" ht="42" customHeight="1" x14ac:dyDescent="0.2">
      <c r="A729" s="106" t="s">
        <v>1111</v>
      </c>
      <c r="B729" s="156" t="s">
        <v>1071</v>
      </c>
      <c r="C729" s="21" t="s">
        <v>1</v>
      </c>
      <c r="D729" s="50">
        <v>1</v>
      </c>
      <c r="E729" s="51">
        <f t="shared" si="274"/>
        <v>202.90909090909091</v>
      </c>
      <c r="F729" s="298">
        <f t="shared" si="269"/>
        <v>4.9283154121863796E-3</v>
      </c>
      <c r="G729" s="80">
        <v>2232</v>
      </c>
      <c r="H729" s="84">
        <f t="shared" si="275"/>
        <v>0.29569892473118281</v>
      </c>
      <c r="I729" s="65"/>
      <c r="J729" s="83"/>
      <c r="K729" s="83"/>
      <c r="L729" s="21">
        <v>590</v>
      </c>
      <c r="M729" s="21">
        <v>660</v>
      </c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</row>
    <row r="730" spans="1:23" s="26" customFormat="1" ht="42" customHeight="1" x14ac:dyDescent="0.2">
      <c r="A730" s="106" t="s">
        <v>1112</v>
      </c>
      <c r="B730" s="156" t="s">
        <v>1072</v>
      </c>
      <c r="C730" s="21" t="s">
        <v>1</v>
      </c>
      <c r="D730" s="50">
        <v>1</v>
      </c>
      <c r="E730" s="51">
        <f t="shared" si="274"/>
        <v>307.63636363636357</v>
      </c>
      <c r="F730" s="298">
        <f t="shared" si="269"/>
        <v>3.2505910165484637E-3</v>
      </c>
      <c r="G730" s="80">
        <v>3383.9999999999995</v>
      </c>
      <c r="H730" s="84">
        <f t="shared" si="275"/>
        <v>0.19503546099290783</v>
      </c>
      <c r="I730" s="65"/>
      <c r="J730" s="83"/>
      <c r="K730" s="83"/>
      <c r="L730" s="21">
        <v>590</v>
      </c>
      <c r="M730" s="21">
        <v>660</v>
      </c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</row>
    <row r="731" spans="1:23" s="26" customFormat="1" ht="42" customHeight="1" x14ac:dyDescent="0.2">
      <c r="A731" s="106" t="s">
        <v>1113</v>
      </c>
      <c r="B731" s="156" t="s">
        <v>1073</v>
      </c>
      <c r="C731" s="21" t="s">
        <v>1</v>
      </c>
      <c r="D731" s="50">
        <v>1</v>
      </c>
      <c r="E731" s="51">
        <f t="shared" si="274"/>
        <v>307.63636363636357</v>
      </c>
      <c r="F731" s="298">
        <f t="shared" si="269"/>
        <v>3.2505910165484637E-3</v>
      </c>
      <c r="G731" s="80">
        <v>3383.9999999999995</v>
      </c>
      <c r="H731" s="84">
        <f t="shared" si="275"/>
        <v>0.19503546099290783</v>
      </c>
      <c r="I731" s="65"/>
      <c r="J731" s="83"/>
      <c r="K731" s="83"/>
      <c r="L731" s="21">
        <v>590</v>
      </c>
      <c r="M731" s="21">
        <v>660</v>
      </c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</row>
    <row r="732" spans="1:23" s="26" customFormat="1" ht="42" customHeight="1" x14ac:dyDescent="0.2">
      <c r="A732" s="106" t="s">
        <v>1114</v>
      </c>
      <c r="B732" s="151" t="s">
        <v>1074</v>
      </c>
      <c r="C732" s="21" t="s">
        <v>1</v>
      </c>
      <c r="D732" s="50">
        <v>1</v>
      </c>
      <c r="E732" s="51">
        <f t="shared" si="274"/>
        <v>206.18181818181819</v>
      </c>
      <c r="F732" s="298">
        <f t="shared" si="269"/>
        <v>4.8500881834215165E-3</v>
      </c>
      <c r="G732" s="80">
        <v>2268</v>
      </c>
      <c r="H732" s="84">
        <f t="shared" si="275"/>
        <v>0.29100529100529099</v>
      </c>
      <c r="I732" s="65"/>
      <c r="J732" s="83"/>
      <c r="K732" s="83"/>
      <c r="L732" s="21">
        <v>590</v>
      </c>
      <c r="M732" s="21">
        <v>660</v>
      </c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</row>
    <row r="733" spans="1:23" s="26" customFormat="1" ht="42" customHeight="1" x14ac:dyDescent="0.2">
      <c r="A733" s="106" t="s">
        <v>1115</v>
      </c>
      <c r="B733" s="156" t="s">
        <v>1075</v>
      </c>
      <c r="C733" s="21" t="s">
        <v>1</v>
      </c>
      <c r="D733" s="50">
        <v>1</v>
      </c>
      <c r="E733" s="51">
        <f t="shared" si="274"/>
        <v>206.18181818181819</v>
      </c>
      <c r="F733" s="298">
        <f t="shared" si="269"/>
        <v>4.8500881834215165E-3</v>
      </c>
      <c r="G733" s="80">
        <v>2268</v>
      </c>
      <c r="H733" s="84">
        <f t="shared" si="275"/>
        <v>0.29100529100529099</v>
      </c>
      <c r="I733" s="65"/>
      <c r="J733" s="83"/>
      <c r="K733" s="83"/>
      <c r="L733" s="21">
        <v>590</v>
      </c>
      <c r="M733" s="21">
        <v>660</v>
      </c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</row>
    <row r="734" spans="1:23" s="26" customFormat="1" ht="42" customHeight="1" x14ac:dyDescent="0.2">
      <c r="A734" s="106" t="s">
        <v>1116</v>
      </c>
      <c r="B734" s="156" t="s">
        <v>1076</v>
      </c>
      <c r="C734" s="21" t="s">
        <v>132</v>
      </c>
      <c r="D734" s="50">
        <v>1</v>
      </c>
      <c r="E734" s="51">
        <f t="shared" si="274"/>
        <v>152.72727272727272</v>
      </c>
      <c r="F734" s="298">
        <f t="shared" si="269"/>
        <v>6.5476190476190486E-3</v>
      </c>
      <c r="G734" s="80">
        <v>1679.9999999999998</v>
      </c>
      <c r="H734" s="84">
        <f t="shared" si="275"/>
        <v>0.3928571428571429</v>
      </c>
      <c r="I734" s="65"/>
      <c r="J734" s="83"/>
      <c r="K734" s="83"/>
      <c r="L734" s="21">
        <v>590</v>
      </c>
      <c r="M734" s="21">
        <v>660</v>
      </c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</row>
    <row r="735" spans="1:23" s="26" customFormat="1" ht="42" customHeight="1" x14ac:dyDescent="0.2">
      <c r="A735" s="106" t="s">
        <v>1117</v>
      </c>
      <c r="B735" s="156" t="s">
        <v>1077</v>
      </c>
      <c r="C735" s="21" t="s">
        <v>132</v>
      </c>
      <c r="D735" s="50">
        <v>1</v>
      </c>
      <c r="E735" s="51">
        <f t="shared" si="274"/>
        <v>152.72727272727272</v>
      </c>
      <c r="F735" s="298">
        <f t="shared" si="269"/>
        <v>6.5476190476190486E-3</v>
      </c>
      <c r="G735" s="80">
        <v>1679.9999999999998</v>
      </c>
      <c r="H735" s="84">
        <f t="shared" si="275"/>
        <v>0.3928571428571429</v>
      </c>
      <c r="I735" s="65"/>
      <c r="J735" s="83"/>
      <c r="K735" s="83"/>
      <c r="L735" s="21">
        <v>590</v>
      </c>
      <c r="M735" s="21">
        <v>660</v>
      </c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</row>
    <row r="736" spans="1:23" s="26" customFormat="1" ht="42" customHeight="1" x14ac:dyDescent="0.2">
      <c r="A736" s="106" t="s">
        <v>1118</v>
      </c>
      <c r="B736" s="151" t="s">
        <v>1078</v>
      </c>
      <c r="C736" s="21" t="s">
        <v>132</v>
      </c>
      <c r="D736" s="50">
        <v>1</v>
      </c>
      <c r="E736" s="51">
        <f t="shared" si="274"/>
        <v>106.90909090909089</v>
      </c>
      <c r="F736" s="298">
        <f t="shared" si="269"/>
        <v>9.3537414965986412E-3</v>
      </c>
      <c r="G736" s="80">
        <v>1175.9999999999998</v>
      </c>
      <c r="H736" s="84">
        <f t="shared" si="275"/>
        <v>0.56122448979591844</v>
      </c>
      <c r="I736" s="65"/>
      <c r="J736" s="83"/>
      <c r="K736" s="83"/>
      <c r="L736" s="21">
        <v>590</v>
      </c>
      <c r="M736" s="21">
        <v>660</v>
      </c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</row>
    <row r="737" spans="1:23" s="26" customFormat="1" ht="42" customHeight="1" x14ac:dyDescent="0.2">
      <c r="A737" s="106" t="s">
        <v>1119</v>
      </c>
      <c r="B737" s="156" t="s">
        <v>1079</v>
      </c>
      <c r="C737" s="21" t="s">
        <v>132</v>
      </c>
      <c r="D737" s="50">
        <v>1</v>
      </c>
      <c r="E737" s="51">
        <f t="shared" si="274"/>
        <v>106.90909090909089</v>
      </c>
      <c r="F737" s="298">
        <f t="shared" si="269"/>
        <v>9.3537414965986412E-3</v>
      </c>
      <c r="G737" s="80">
        <v>1175.9999999999998</v>
      </c>
      <c r="H737" s="84">
        <f t="shared" si="275"/>
        <v>0.56122448979591844</v>
      </c>
      <c r="I737" s="65"/>
      <c r="J737" s="83"/>
      <c r="K737" s="83"/>
      <c r="L737" s="21">
        <v>590</v>
      </c>
      <c r="M737" s="21">
        <v>660</v>
      </c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</row>
    <row r="738" spans="1:23" s="26" customFormat="1" ht="42" customHeight="1" x14ac:dyDescent="0.2">
      <c r="A738" s="106" t="s">
        <v>1120</v>
      </c>
      <c r="B738" s="156" t="s">
        <v>1080</v>
      </c>
      <c r="C738" s="21" t="s">
        <v>132</v>
      </c>
      <c r="D738" s="50">
        <v>1</v>
      </c>
      <c r="E738" s="51">
        <f t="shared" si="274"/>
        <v>45.81818181818182</v>
      </c>
      <c r="F738" s="298">
        <f t="shared" si="269"/>
        <v>2.1825396825396824E-2</v>
      </c>
      <c r="G738" s="80">
        <v>504</v>
      </c>
      <c r="H738" s="84">
        <f t="shared" si="275"/>
        <v>1.3095238095238095</v>
      </c>
      <c r="I738" s="65"/>
      <c r="J738" s="83"/>
      <c r="K738" s="83"/>
      <c r="L738" s="21">
        <v>590</v>
      </c>
      <c r="M738" s="21">
        <v>660</v>
      </c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</row>
    <row r="739" spans="1:23" s="26" customFormat="1" ht="42" customHeight="1" x14ac:dyDescent="0.2">
      <c r="A739" s="106" t="s">
        <v>1121</v>
      </c>
      <c r="B739" s="156" t="s">
        <v>1081</v>
      </c>
      <c r="C739" s="21" t="s">
        <v>132</v>
      </c>
      <c r="D739" s="50">
        <v>1</v>
      </c>
      <c r="E739" s="51">
        <f t="shared" si="274"/>
        <v>45.81818181818182</v>
      </c>
      <c r="F739" s="298">
        <f t="shared" si="269"/>
        <v>2.1825396825396824E-2</v>
      </c>
      <c r="G739" s="80">
        <v>504</v>
      </c>
      <c r="H739" s="84">
        <f t="shared" si="275"/>
        <v>1.3095238095238095</v>
      </c>
      <c r="I739" s="65"/>
      <c r="J739" s="83"/>
      <c r="K739" s="83"/>
      <c r="L739" s="21">
        <v>590</v>
      </c>
      <c r="M739" s="21">
        <v>660</v>
      </c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</row>
    <row r="740" spans="1:23" s="26" customFormat="1" ht="42" customHeight="1" x14ac:dyDescent="0.2">
      <c r="A740" s="106" t="s">
        <v>1122</v>
      </c>
      <c r="B740" s="151" t="s">
        <v>1082</v>
      </c>
      <c r="C740" s="21" t="s">
        <v>132</v>
      </c>
      <c r="D740" s="50">
        <v>1</v>
      </c>
      <c r="E740" s="51">
        <f t="shared" si="274"/>
        <v>30.54545454545454</v>
      </c>
      <c r="F740" s="298">
        <f t="shared" si="269"/>
        <v>3.2738095238095247E-2</v>
      </c>
      <c r="G740" s="80">
        <v>335.99999999999994</v>
      </c>
      <c r="H740" s="84">
        <f t="shared" si="275"/>
        <v>1.9642857142857146</v>
      </c>
      <c r="I740" s="65"/>
      <c r="J740" s="83"/>
      <c r="K740" s="83"/>
      <c r="L740" s="21">
        <v>590</v>
      </c>
      <c r="M740" s="21">
        <v>660</v>
      </c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</row>
    <row r="741" spans="1:23" s="26" customFormat="1" ht="42" customHeight="1" x14ac:dyDescent="0.2">
      <c r="A741" s="106" t="s">
        <v>1123</v>
      </c>
      <c r="B741" s="156" t="s">
        <v>1083</v>
      </c>
      <c r="C741" s="21" t="s">
        <v>132</v>
      </c>
      <c r="D741" s="50">
        <v>1</v>
      </c>
      <c r="E741" s="51">
        <f t="shared" si="274"/>
        <v>30.54545454545454</v>
      </c>
      <c r="F741" s="298">
        <f t="shared" si="269"/>
        <v>3.2738095238095247E-2</v>
      </c>
      <c r="G741" s="80">
        <v>335.99999999999994</v>
      </c>
      <c r="H741" s="84">
        <f t="shared" si="275"/>
        <v>1.9642857142857146</v>
      </c>
      <c r="I741" s="65"/>
      <c r="J741" s="83"/>
      <c r="K741" s="83"/>
      <c r="L741" s="21">
        <v>590</v>
      </c>
      <c r="M741" s="21">
        <v>660</v>
      </c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</row>
    <row r="742" spans="1:23" s="26" customFormat="1" ht="42" customHeight="1" x14ac:dyDescent="0.2">
      <c r="A742" s="106" t="s">
        <v>1124</v>
      </c>
      <c r="B742" s="156" t="s">
        <v>1084</v>
      </c>
      <c r="C742" s="21" t="s">
        <v>132</v>
      </c>
      <c r="D742" s="50">
        <v>1</v>
      </c>
      <c r="E742" s="51">
        <f t="shared" si="274"/>
        <v>22.90909090909091</v>
      </c>
      <c r="F742" s="298">
        <f t="shared" si="269"/>
        <v>4.3650793650793648E-2</v>
      </c>
      <c r="G742" s="80">
        <v>252</v>
      </c>
      <c r="H742" s="84">
        <f t="shared" si="275"/>
        <v>2.6190476190476191</v>
      </c>
      <c r="I742" s="65"/>
      <c r="J742" s="83"/>
      <c r="K742" s="83"/>
      <c r="L742" s="21">
        <v>590</v>
      </c>
      <c r="M742" s="21">
        <v>660</v>
      </c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</row>
    <row r="743" spans="1:23" s="26" customFormat="1" ht="42" customHeight="1" x14ac:dyDescent="0.2">
      <c r="A743" s="106" t="s">
        <v>1125</v>
      </c>
      <c r="B743" s="156" t="s">
        <v>1085</v>
      </c>
      <c r="C743" s="21" t="s">
        <v>132</v>
      </c>
      <c r="D743" s="50">
        <v>1</v>
      </c>
      <c r="E743" s="51">
        <f t="shared" si="274"/>
        <v>22.90909090909091</v>
      </c>
      <c r="F743" s="298">
        <f t="shared" si="269"/>
        <v>4.3650793650793648E-2</v>
      </c>
      <c r="G743" s="80">
        <v>252</v>
      </c>
      <c r="H743" s="84">
        <f t="shared" si="275"/>
        <v>2.6190476190476191</v>
      </c>
      <c r="I743" s="65"/>
      <c r="J743" s="83"/>
      <c r="K743" s="83"/>
      <c r="L743" s="21">
        <v>590</v>
      </c>
      <c r="M743" s="21">
        <v>660</v>
      </c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</row>
    <row r="744" spans="1:23" s="26" customFormat="1" ht="42" customHeight="1" x14ac:dyDescent="0.2">
      <c r="A744" s="106" t="s">
        <v>1126</v>
      </c>
      <c r="B744" s="151" t="s">
        <v>1086</v>
      </c>
      <c r="C744" s="21" t="s">
        <v>132</v>
      </c>
      <c r="D744" s="50">
        <v>1</v>
      </c>
      <c r="E744" s="51">
        <f t="shared" si="274"/>
        <v>11.454545454545455</v>
      </c>
      <c r="F744" s="298">
        <f t="shared" si="269"/>
        <v>8.7301587301587297E-2</v>
      </c>
      <c r="G744" s="80">
        <v>126</v>
      </c>
      <c r="H744" s="84">
        <f t="shared" si="275"/>
        <v>5.2380952380952381</v>
      </c>
      <c r="I744" s="65"/>
      <c r="J744" s="83"/>
      <c r="K744" s="83"/>
      <c r="L744" s="21">
        <v>590</v>
      </c>
      <c r="M744" s="21">
        <v>660</v>
      </c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</row>
    <row r="745" spans="1:23" s="26" customFormat="1" ht="42" customHeight="1" x14ac:dyDescent="0.2">
      <c r="A745" s="106" t="s">
        <v>1127</v>
      </c>
      <c r="B745" s="156" t="s">
        <v>1087</v>
      </c>
      <c r="C745" s="21" t="s">
        <v>132</v>
      </c>
      <c r="D745" s="50">
        <v>1</v>
      </c>
      <c r="E745" s="51">
        <f t="shared" si="274"/>
        <v>11.454545454545455</v>
      </c>
      <c r="F745" s="298">
        <f t="shared" si="269"/>
        <v>8.7301587301587297E-2</v>
      </c>
      <c r="G745" s="80">
        <v>126</v>
      </c>
      <c r="H745" s="84">
        <f t="shared" si="275"/>
        <v>5.2380952380952381</v>
      </c>
      <c r="I745" s="65"/>
      <c r="J745" s="83"/>
      <c r="K745" s="83"/>
      <c r="L745" s="21">
        <v>590</v>
      </c>
      <c r="M745" s="21">
        <v>660</v>
      </c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</row>
    <row r="746" spans="1:23" s="26" customFormat="1" ht="42" customHeight="1" x14ac:dyDescent="0.2">
      <c r="A746" s="106" t="s">
        <v>1130</v>
      </c>
      <c r="B746" s="156" t="s">
        <v>1088</v>
      </c>
      <c r="C746" s="21" t="s">
        <v>132</v>
      </c>
      <c r="D746" s="50">
        <v>1</v>
      </c>
      <c r="E746" s="51">
        <f t="shared" si="274"/>
        <v>11.454545454545455</v>
      </c>
      <c r="F746" s="298">
        <f t="shared" si="269"/>
        <v>8.7301587301587297E-2</v>
      </c>
      <c r="G746" s="80">
        <v>126</v>
      </c>
      <c r="H746" s="84">
        <f t="shared" si="275"/>
        <v>5.2380952380952381</v>
      </c>
      <c r="I746" s="65"/>
      <c r="J746" s="83"/>
      <c r="K746" s="83"/>
      <c r="L746" s="21">
        <v>590</v>
      </c>
      <c r="M746" s="21">
        <v>660</v>
      </c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</row>
    <row r="747" spans="1:23" s="26" customFormat="1" ht="42" customHeight="1" x14ac:dyDescent="0.2">
      <c r="A747" s="106" t="s">
        <v>1131</v>
      </c>
      <c r="B747" s="156" t="s">
        <v>1089</v>
      </c>
      <c r="C747" s="21" t="s">
        <v>132</v>
      </c>
      <c r="D747" s="50">
        <v>1</v>
      </c>
      <c r="E747" s="51">
        <f t="shared" si="274"/>
        <v>11.454545454545455</v>
      </c>
      <c r="F747" s="298">
        <f t="shared" si="269"/>
        <v>8.7301587301587297E-2</v>
      </c>
      <c r="G747" s="80">
        <v>126</v>
      </c>
      <c r="H747" s="84">
        <f t="shared" si="275"/>
        <v>5.2380952380952381</v>
      </c>
      <c r="I747" s="65"/>
      <c r="J747" s="83"/>
      <c r="K747" s="83"/>
      <c r="L747" s="21">
        <v>590</v>
      </c>
      <c r="M747" s="21">
        <v>660</v>
      </c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</row>
    <row r="748" spans="1:23" s="26" customFormat="1" ht="42" customHeight="1" x14ac:dyDescent="0.2">
      <c r="A748" s="106" t="s">
        <v>1132</v>
      </c>
      <c r="B748" s="151" t="s">
        <v>1090</v>
      </c>
      <c r="C748" s="21" t="s">
        <v>132</v>
      </c>
      <c r="D748" s="50">
        <v>1</v>
      </c>
      <c r="E748" s="51">
        <f t="shared" si="274"/>
        <v>5.7272727272727275</v>
      </c>
      <c r="F748" s="298">
        <f t="shared" si="269"/>
        <v>0.17460317460317459</v>
      </c>
      <c r="G748" s="80">
        <v>63</v>
      </c>
      <c r="H748" s="84">
        <f t="shared" si="275"/>
        <v>10.476190476190476</v>
      </c>
      <c r="I748" s="65"/>
      <c r="J748" s="83"/>
      <c r="K748" s="83"/>
      <c r="L748" s="21">
        <v>590</v>
      </c>
      <c r="M748" s="21">
        <v>660</v>
      </c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</row>
    <row r="749" spans="1:23" s="26" customFormat="1" ht="42" customHeight="1" x14ac:dyDescent="0.2">
      <c r="A749" s="106" t="s">
        <v>1133</v>
      </c>
      <c r="B749" s="156" t="s">
        <v>1091</v>
      </c>
      <c r="C749" s="21" t="s">
        <v>132</v>
      </c>
      <c r="D749" s="50">
        <v>1</v>
      </c>
      <c r="E749" s="51">
        <f t="shared" si="274"/>
        <v>5.7272727272727275</v>
      </c>
      <c r="F749" s="298">
        <f t="shared" si="269"/>
        <v>0.17460317460317459</v>
      </c>
      <c r="G749" s="80">
        <v>63</v>
      </c>
      <c r="H749" s="84">
        <f t="shared" si="275"/>
        <v>10.476190476190476</v>
      </c>
      <c r="I749" s="65"/>
      <c r="J749" s="83"/>
      <c r="K749" s="83"/>
      <c r="L749" s="21">
        <v>590</v>
      </c>
      <c r="M749" s="21">
        <v>660</v>
      </c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</row>
    <row r="750" spans="1:23" s="26" customFormat="1" ht="42" customHeight="1" x14ac:dyDescent="0.2">
      <c r="A750" s="106" t="s">
        <v>1134</v>
      </c>
      <c r="B750" s="157" t="s">
        <v>1092</v>
      </c>
      <c r="C750" s="21" t="s">
        <v>132</v>
      </c>
      <c r="D750" s="50">
        <v>1</v>
      </c>
      <c r="E750" s="51">
        <f t="shared" si="274"/>
        <v>38.18181818181818</v>
      </c>
      <c r="F750" s="298">
        <f t="shared" si="269"/>
        <v>2.6190476190476195E-2</v>
      </c>
      <c r="G750" s="80">
        <v>419.99999999999994</v>
      </c>
      <c r="H750" s="84">
        <f t="shared" si="275"/>
        <v>1.5714285714285716</v>
      </c>
      <c r="I750" s="65"/>
      <c r="J750" s="83"/>
      <c r="K750" s="83"/>
      <c r="L750" s="21">
        <v>590</v>
      </c>
      <c r="M750" s="21">
        <v>660</v>
      </c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</row>
    <row r="751" spans="1:23" s="26" customFormat="1" ht="42" customHeight="1" x14ac:dyDescent="0.2">
      <c r="A751" s="106" t="s">
        <v>1135</v>
      </c>
      <c r="B751" s="158" t="s">
        <v>1093</v>
      </c>
      <c r="C751" s="21" t="s">
        <v>132</v>
      </c>
      <c r="D751" s="50">
        <v>1</v>
      </c>
      <c r="E751" s="51">
        <f t="shared" si="274"/>
        <v>38.18181818181818</v>
      </c>
      <c r="F751" s="298">
        <f t="shared" si="269"/>
        <v>2.6190476190476195E-2</v>
      </c>
      <c r="G751" s="80">
        <v>419.99999999999994</v>
      </c>
      <c r="H751" s="84">
        <f t="shared" si="275"/>
        <v>1.5714285714285716</v>
      </c>
      <c r="I751" s="65"/>
      <c r="J751" s="83"/>
      <c r="K751" s="83"/>
      <c r="L751" s="21">
        <v>590</v>
      </c>
      <c r="M751" s="21">
        <v>660</v>
      </c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</row>
    <row r="752" spans="1:23" s="26" customFormat="1" ht="42" customHeight="1" x14ac:dyDescent="0.2">
      <c r="A752" s="106" t="s">
        <v>1129</v>
      </c>
      <c r="B752" s="157" t="s">
        <v>1094</v>
      </c>
      <c r="C752" s="21" t="s">
        <v>132</v>
      </c>
      <c r="D752" s="50">
        <v>1</v>
      </c>
      <c r="E752" s="51">
        <f t="shared" si="274"/>
        <v>15.27272727272727</v>
      </c>
      <c r="F752" s="298">
        <f t="shared" si="269"/>
        <v>6.5476190476190493E-2</v>
      </c>
      <c r="G752" s="80">
        <v>167.99999999999997</v>
      </c>
      <c r="H752" s="84">
        <f t="shared" si="275"/>
        <v>3.9285714285714293</v>
      </c>
      <c r="I752" s="65"/>
      <c r="J752" s="83"/>
      <c r="K752" s="83"/>
      <c r="L752" s="21">
        <v>590</v>
      </c>
      <c r="M752" s="21">
        <v>660</v>
      </c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</row>
    <row r="753" spans="1:23" s="26" customFormat="1" ht="42" customHeight="1" x14ac:dyDescent="0.2">
      <c r="A753" s="106" t="s">
        <v>1128</v>
      </c>
      <c r="B753" s="158" t="s">
        <v>1095</v>
      </c>
      <c r="C753" s="21" t="s">
        <v>132</v>
      </c>
      <c r="D753" s="50">
        <v>1</v>
      </c>
      <c r="E753" s="51">
        <f t="shared" si="274"/>
        <v>15.27272727272727</v>
      </c>
      <c r="F753" s="298">
        <f t="shared" si="269"/>
        <v>6.5476190476190493E-2</v>
      </c>
      <c r="G753" s="80">
        <v>167.99999999999997</v>
      </c>
      <c r="H753" s="84">
        <f t="shared" si="275"/>
        <v>3.9285714285714293</v>
      </c>
      <c r="I753" s="65"/>
      <c r="J753" s="83"/>
      <c r="K753" s="83"/>
      <c r="L753" s="21">
        <v>590</v>
      </c>
      <c r="M753" s="21">
        <v>660</v>
      </c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</row>
    <row r="754" spans="1:23" s="26" customFormat="1" ht="45" customHeight="1" x14ac:dyDescent="0.2">
      <c r="A754" s="106" t="s">
        <v>1098</v>
      </c>
      <c r="B754" s="157" t="s">
        <v>1096</v>
      </c>
      <c r="C754" s="21" t="s">
        <v>132</v>
      </c>
      <c r="D754" s="50">
        <v>1</v>
      </c>
      <c r="E754" s="51">
        <f t="shared" si="274"/>
        <v>3.0545454545454542</v>
      </c>
      <c r="F754" s="298">
        <f t="shared" si="269"/>
        <v>0.32738095238095244</v>
      </c>
      <c r="G754" s="80">
        <v>33.599999999999994</v>
      </c>
      <c r="H754" s="84">
        <f t="shared" si="275"/>
        <v>19.642857142857146</v>
      </c>
      <c r="I754" s="65"/>
      <c r="J754" s="83"/>
      <c r="K754" s="83"/>
      <c r="L754" s="21">
        <v>590</v>
      </c>
      <c r="M754" s="21">
        <v>660</v>
      </c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</row>
    <row r="755" spans="1:23" s="26" customFormat="1" ht="50.25" customHeight="1" x14ac:dyDescent="0.2">
      <c r="A755" s="106" t="s">
        <v>1099</v>
      </c>
      <c r="B755" s="158" t="s">
        <v>1097</v>
      </c>
      <c r="C755" s="21" t="s">
        <v>132</v>
      </c>
      <c r="D755" s="50">
        <v>1</v>
      </c>
      <c r="E755" s="51">
        <f t="shared" si="274"/>
        <v>3.0545454545454542</v>
      </c>
      <c r="F755" s="298">
        <f t="shared" si="269"/>
        <v>0.32738095238095244</v>
      </c>
      <c r="G755" s="80">
        <v>33.599999999999994</v>
      </c>
      <c r="H755" s="84">
        <f t="shared" si="275"/>
        <v>19.642857142857146</v>
      </c>
      <c r="I755" s="65"/>
      <c r="J755" s="83"/>
      <c r="K755" s="83"/>
      <c r="L755" s="21">
        <v>590</v>
      </c>
      <c r="M755" s="21">
        <v>660</v>
      </c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</row>
    <row r="756" spans="1:23" s="26" customFormat="1" ht="50.25" customHeight="1" x14ac:dyDescent="0.2">
      <c r="A756" s="106"/>
      <c r="B756" s="112" t="s">
        <v>645</v>
      </c>
      <c r="C756" s="34"/>
      <c r="D756" s="34"/>
      <c r="E756" s="34"/>
      <c r="F756" s="34"/>
      <c r="G756" s="34"/>
      <c r="H756" s="223"/>
      <c r="I756" s="64"/>
      <c r="J756" s="64"/>
      <c r="K756" s="64"/>
      <c r="L756" s="64"/>
      <c r="M756" s="64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</row>
    <row r="757" spans="1:23" s="26" customFormat="1" ht="30" customHeight="1" x14ac:dyDescent="0.2">
      <c r="A757" s="106"/>
      <c r="B757" s="118" t="s">
        <v>149</v>
      </c>
      <c r="C757" s="28"/>
      <c r="D757" s="28"/>
      <c r="E757" s="28"/>
      <c r="F757" s="28"/>
      <c r="G757" s="28"/>
      <c r="H757" s="225"/>
      <c r="I757" s="63"/>
      <c r="J757" s="63"/>
      <c r="K757" s="63"/>
      <c r="L757" s="63"/>
      <c r="M757" s="63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</row>
    <row r="758" spans="1:23" s="26" customFormat="1" ht="50.25" customHeight="1" x14ac:dyDescent="0.2">
      <c r="A758" s="106" t="s">
        <v>2035</v>
      </c>
      <c r="B758" s="159" t="s">
        <v>139</v>
      </c>
      <c r="C758" s="21" t="s">
        <v>132</v>
      </c>
      <c r="D758" s="50">
        <v>1</v>
      </c>
      <c r="E758" s="51">
        <f t="shared" ref="E758:E767" si="276">G758/11</f>
        <v>240.65454545454543</v>
      </c>
      <c r="F758" s="23">
        <f>11/G758</f>
        <v>4.1553339377455424E-3</v>
      </c>
      <c r="G758" s="65">
        <f>L758/H758</f>
        <v>2647.2</v>
      </c>
      <c r="H758" s="77">
        <v>0.22287700211544273</v>
      </c>
      <c r="I758" s="71">
        <f t="shared" ref="I758:I767" si="277">M758/L758</f>
        <v>1.1186440677966101</v>
      </c>
      <c r="J758" s="23">
        <f t="shared" ref="J758:J767" si="278">11/K758</f>
        <v>4.1553339377455424E-3</v>
      </c>
      <c r="K758" s="65">
        <f t="shared" ref="K758:K767" si="279">M758/(H758*I758)</f>
        <v>2647.2000000000003</v>
      </c>
      <c r="L758" s="21">
        <v>590</v>
      </c>
      <c r="M758" s="21">
        <v>660</v>
      </c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</row>
    <row r="759" spans="1:23" s="26" customFormat="1" ht="51.75" customHeight="1" x14ac:dyDescent="0.2">
      <c r="A759" s="106" t="s">
        <v>2036</v>
      </c>
      <c r="B759" s="159" t="s">
        <v>140</v>
      </c>
      <c r="C759" s="21" t="s">
        <v>1</v>
      </c>
      <c r="D759" s="22">
        <v>1</v>
      </c>
      <c r="E759" s="51">
        <f t="shared" si="276"/>
        <v>211.63636363636368</v>
      </c>
      <c r="F759" s="23">
        <f t="shared" ref="F759:G767" si="280">J759</f>
        <v>4.7250859106529198E-3</v>
      </c>
      <c r="G759" s="65">
        <f t="shared" si="280"/>
        <v>2328.0000000000005</v>
      </c>
      <c r="H759" s="77">
        <v>0.25343642611683848</v>
      </c>
      <c r="I759" s="71">
        <f t="shared" si="277"/>
        <v>1.1186440677966101</v>
      </c>
      <c r="J759" s="23">
        <f t="shared" si="278"/>
        <v>4.7250859106529198E-3</v>
      </c>
      <c r="K759" s="65">
        <f t="shared" si="279"/>
        <v>2328.0000000000005</v>
      </c>
      <c r="L759" s="21">
        <v>590</v>
      </c>
      <c r="M759" s="21">
        <v>660</v>
      </c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</row>
    <row r="760" spans="1:23" s="26" customFormat="1" ht="30" customHeight="1" x14ac:dyDescent="0.2">
      <c r="A760" s="106" t="s">
        <v>2037</v>
      </c>
      <c r="B760" s="159" t="s">
        <v>141</v>
      </c>
      <c r="C760" s="21" t="s">
        <v>1</v>
      </c>
      <c r="D760" s="50">
        <v>1</v>
      </c>
      <c r="E760" s="51">
        <f t="shared" si="276"/>
        <v>198.43636363636367</v>
      </c>
      <c r="F760" s="23">
        <f t="shared" si="280"/>
        <v>5.0393989371449507E-3</v>
      </c>
      <c r="G760" s="65">
        <f t="shared" si="280"/>
        <v>2182.8000000000002</v>
      </c>
      <c r="H760" s="77">
        <v>0.27029503390141102</v>
      </c>
      <c r="I760" s="71">
        <f t="shared" si="277"/>
        <v>1.1186440677966101</v>
      </c>
      <c r="J760" s="23">
        <f t="shared" si="278"/>
        <v>5.0393989371449507E-3</v>
      </c>
      <c r="K760" s="65">
        <f t="shared" si="279"/>
        <v>2182.8000000000002</v>
      </c>
      <c r="L760" s="21">
        <v>590</v>
      </c>
      <c r="M760" s="21">
        <v>660</v>
      </c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</row>
    <row r="761" spans="1:23" s="26" customFormat="1" ht="30" customHeight="1" x14ac:dyDescent="0.2">
      <c r="A761" s="106" t="s">
        <v>2038</v>
      </c>
      <c r="B761" s="159" t="s">
        <v>142</v>
      </c>
      <c r="C761" s="21" t="s">
        <v>1</v>
      </c>
      <c r="D761" s="22">
        <v>1</v>
      </c>
      <c r="E761" s="51">
        <f t="shared" si="276"/>
        <v>198.43636363636367</v>
      </c>
      <c r="F761" s="23">
        <f t="shared" si="280"/>
        <v>5.0393989371449507E-3</v>
      </c>
      <c r="G761" s="65">
        <f t="shared" si="280"/>
        <v>2182.8000000000002</v>
      </c>
      <c r="H761" s="77">
        <v>0.27029503390141102</v>
      </c>
      <c r="I761" s="71">
        <f t="shared" si="277"/>
        <v>1.1186440677966101</v>
      </c>
      <c r="J761" s="23">
        <f t="shared" si="278"/>
        <v>5.0393989371449507E-3</v>
      </c>
      <c r="K761" s="65">
        <f t="shared" si="279"/>
        <v>2182.8000000000002</v>
      </c>
      <c r="L761" s="21">
        <v>590</v>
      </c>
      <c r="M761" s="21">
        <v>660</v>
      </c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</row>
    <row r="762" spans="1:23" s="26" customFormat="1" ht="30" customHeight="1" x14ac:dyDescent="0.2">
      <c r="A762" s="106" t="s">
        <v>2039</v>
      </c>
      <c r="B762" s="159" t="s">
        <v>143</v>
      </c>
      <c r="C762" s="21" t="s">
        <v>1</v>
      </c>
      <c r="D762" s="50">
        <v>1</v>
      </c>
      <c r="E762" s="51">
        <f t="shared" si="276"/>
        <v>183.92727272727276</v>
      </c>
      <c r="F762" s="23">
        <f t="shared" si="280"/>
        <v>5.436931593515223E-3</v>
      </c>
      <c r="G762" s="65">
        <f t="shared" si="280"/>
        <v>2023.2000000000003</v>
      </c>
      <c r="H762" s="77">
        <v>0.29161724001581651</v>
      </c>
      <c r="I762" s="71">
        <f t="shared" si="277"/>
        <v>1.1186440677966101</v>
      </c>
      <c r="J762" s="23">
        <f t="shared" si="278"/>
        <v>5.436931593515223E-3</v>
      </c>
      <c r="K762" s="65">
        <f t="shared" si="279"/>
        <v>2023.2000000000003</v>
      </c>
      <c r="L762" s="21">
        <v>590</v>
      </c>
      <c r="M762" s="21">
        <v>660</v>
      </c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</row>
    <row r="763" spans="1:23" s="26" customFormat="1" ht="30" customHeight="1" x14ac:dyDescent="0.2">
      <c r="A763" s="106" t="s">
        <v>2040</v>
      </c>
      <c r="B763" s="159" t="s">
        <v>144</v>
      </c>
      <c r="C763" s="21" t="s">
        <v>1</v>
      </c>
      <c r="D763" s="22">
        <v>1</v>
      </c>
      <c r="E763" s="51">
        <f t="shared" si="276"/>
        <v>170.07272727272726</v>
      </c>
      <c r="F763" s="23">
        <f t="shared" si="280"/>
        <v>5.8798375026726532E-3</v>
      </c>
      <c r="G763" s="65">
        <f t="shared" si="280"/>
        <v>1870.8</v>
      </c>
      <c r="H763" s="77">
        <v>0.31537310241607869</v>
      </c>
      <c r="I763" s="71">
        <f t="shared" si="277"/>
        <v>1.1186440677966101</v>
      </c>
      <c r="J763" s="23">
        <f t="shared" si="278"/>
        <v>5.8798375026726532E-3</v>
      </c>
      <c r="K763" s="65">
        <f t="shared" si="279"/>
        <v>1870.8</v>
      </c>
      <c r="L763" s="21">
        <v>590</v>
      </c>
      <c r="M763" s="21">
        <v>660</v>
      </c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</row>
    <row r="764" spans="1:23" s="26" customFormat="1" ht="30" customHeight="1" x14ac:dyDescent="0.2">
      <c r="A764" s="106" t="s">
        <v>2041</v>
      </c>
      <c r="B764" s="159" t="s">
        <v>145</v>
      </c>
      <c r="C764" s="21" t="s">
        <v>1</v>
      </c>
      <c r="D764" s="50">
        <v>1</v>
      </c>
      <c r="E764" s="51">
        <f t="shared" si="276"/>
        <v>170.07272727272726</v>
      </c>
      <c r="F764" s="23">
        <f t="shared" si="280"/>
        <v>5.8798375026726532E-3</v>
      </c>
      <c r="G764" s="65">
        <f t="shared" si="280"/>
        <v>1870.8</v>
      </c>
      <c r="H764" s="77">
        <v>0.31537310241607869</v>
      </c>
      <c r="I764" s="71">
        <f t="shared" si="277"/>
        <v>1.1186440677966101</v>
      </c>
      <c r="J764" s="23">
        <f t="shared" si="278"/>
        <v>5.8798375026726532E-3</v>
      </c>
      <c r="K764" s="65">
        <f t="shared" si="279"/>
        <v>1870.8</v>
      </c>
      <c r="L764" s="21">
        <v>590</v>
      </c>
      <c r="M764" s="21">
        <v>660</v>
      </c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</row>
    <row r="765" spans="1:23" s="26" customFormat="1" ht="30" customHeight="1" x14ac:dyDescent="0.2">
      <c r="A765" s="106" t="s">
        <v>2042</v>
      </c>
      <c r="B765" s="159" t="s">
        <v>146</v>
      </c>
      <c r="C765" s="21" t="s">
        <v>1</v>
      </c>
      <c r="D765" s="22">
        <v>1</v>
      </c>
      <c r="E765" s="51">
        <f t="shared" si="276"/>
        <v>154.90909090909091</v>
      </c>
      <c r="F765" s="23">
        <f t="shared" si="280"/>
        <v>6.4553990610328642E-3</v>
      </c>
      <c r="G765" s="65">
        <f t="shared" si="280"/>
        <v>1704</v>
      </c>
      <c r="H765" s="77">
        <v>0.34624413145539906</v>
      </c>
      <c r="I765" s="71">
        <f t="shared" si="277"/>
        <v>1.1186440677966101</v>
      </c>
      <c r="J765" s="23">
        <f t="shared" si="278"/>
        <v>6.4553990610328642E-3</v>
      </c>
      <c r="K765" s="65">
        <f t="shared" si="279"/>
        <v>1704</v>
      </c>
      <c r="L765" s="21">
        <v>590</v>
      </c>
      <c r="M765" s="21">
        <v>660</v>
      </c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</row>
    <row r="766" spans="1:23" s="26" customFormat="1" ht="30" customHeight="1" x14ac:dyDescent="0.2">
      <c r="A766" s="106" t="s">
        <v>2043</v>
      </c>
      <c r="B766" s="159" t="s">
        <v>147</v>
      </c>
      <c r="C766" s="21" t="s">
        <v>1</v>
      </c>
      <c r="D766" s="50">
        <v>1</v>
      </c>
      <c r="E766" s="51">
        <f t="shared" si="276"/>
        <v>141.05454545454549</v>
      </c>
      <c r="F766" s="23">
        <f t="shared" si="280"/>
        <v>7.0894560453725174E-3</v>
      </c>
      <c r="G766" s="65">
        <f t="shared" si="280"/>
        <v>1551.6000000000004</v>
      </c>
      <c r="H766" s="77">
        <v>0.38025264243361689</v>
      </c>
      <c r="I766" s="71">
        <f t="shared" si="277"/>
        <v>1.1186440677966101</v>
      </c>
      <c r="J766" s="23">
        <f t="shared" si="278"/>
        <v>7.0894560453725174E-3</v>
      </c>
      <c r="K766" s="65">
        <f t="shared" si="279"/>
        <v>1551.6000000000004</v>
      </c>
      <c r="L766" s="21">
        <v>590</v>
      </c>
      <c r="M766" s="21">
        <v>660</v>
      </c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</row>
    <row r="767" spans="1:23" s="26" customFormat="1" ht="30" customHeight="1" x14ac:dyDescent="0.2">
      <c r="A767" s="106" t="s">
        <v>2044</v>
      </c>
      <c r="B767" s="160" t="s">
        <v>148</v>
      </c>
      <c r="C767" s="21" t="s">
        <v>1</v>
      </c>
      <c r="D767" s="22">
        <v>1</v>
      </c>
      <c r="E767" s="51">
        <f t="shared" si="276"/>
        <v>8.6181818181818191</v>
      </c>
      <c r="F767" s="23">
        <f t="shared" si="280"/>
        <v>0.11603375527426159</v>
      </c>
      <c r="G767" s="65">
        <f t="shared" si="280"/>
        <v>94.800000000000011</v>
      </c>
      <c r="H767" s="77">
        <v>6.2236286919831221</v>
      </c>
      <c r="I767" s="71">
        <f t="shared" si="277"/>
        <v>1.1186440677966101</v>
      </c>
      <c r="J767" s="23">
        <f t="shared" si="278"/>
        <v>0.11603375527426159</v>
      </c>
      <c r="K767" s="65">
        <f t="shared" si="279"/>
        <v>94.800000000000011</v>
      </c>
      <c r="L767" s="21">
        <v>590</v>
      </c>
      <c r="M767" s="21">
        <v>660</v>
      </c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</row>
    <row r="768" spans="1:23" s="26" customFormat="1" ht="30" customHeight="1" x14ac:dyDescent="0.2">
      <c r="A768" s="106"/>
      <c r="B768" s="118" t="s">
        <v>257</v>
      </c>
      <c r="C768" s="28"/>
      <c r="D768" s="28"/>
      <c r="E768" s="28"/>
      <c r="F768" s="28"/>
      <c r="G768" s="28"/>
      <c r="H768" s="225"/>
      <c r="I768" s="63"/>
      <c r="J768" s="63"/>
      <c r="K768" s="63"/>
      <c r="L768" s="63"/>
      <c r="M768" s="63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</row>
    <row r="769" spans="1:23" s="26" customFormat="1" ht="30" customHeight="1" x14ac:dyDescent="0.2">
      <c r="A769" s="106" t="s">
        <v>2045</v>
      </c>
      <c r="B769" s="159" t="s">
        <v>150</v>
      </c>
      <c r="C769" s="21" t="s">
        <v>1</v>
      </c>
      <c r="D769" s="22">
        <v>1</v>
      </c>
      <c r="E769" s="51">
        <f t="shared" ref="E769:E777" si="281">G769/11</f>
        <v>84.981818181818184</v>
      </c>
      <c r="F769" s="23">
        <f t="shared" ref="F769:G777" si="282">J769</f>
        <v>1.1767222935387249E-2</v>
      </c>
      <c r="G769" s="65">
        <f t="shared" si="282"/>
        <v>934.8</v>
      </c>
      <c r="H769" s="77">
        <v>0.63115104835258884</v>
      </c>
      <c r="I769" s="71">
        <f t="shared" ref="I769:I777" si="283">M769/L769</f>
        <v>1.1186440677966101</v>
      </c>
      <c r="J769" s="23">
        <f t="shared" ref="J769:J777" si="284">11/K769</f>
        <v>1.1767222935387249E-2</v>
      </c>
      <c r="K769" s="65">
        <f t="shared" ref="K769:K777" si="285">M769/(H769*I769)</f>
        <v>934.8</v>
      </c>
      <c r="L769" s="21">
        <v>590</v>
      </c>
      <c r="M769" s="21">
        <v>660</v>
      </c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</row>
    <row r="770" spans="1:23" s="26" customFormat="1" ht="30" customHeight="1" x14ac:dyDescent="0.2">
      <c r="A770" s="106" t="s">
        <v>2046</v>
      </c>
      <c r="B770" s="159" t="s">
        <v>151</v>
      </c>
      <c r="C770" s="21" t="s">
        <v>1</v>
      </c>
      <c r="D770" s="50">
        <v>1</v>
      </c>
      <c r="E770" s="51">
        <f t="shared" si="281"/>
        <v>81.818181818181827</v>
      </c>
      <c r="F770" s="23">
        <f t="shared" si="282"/>
        <v>1.2222222222222221E-2</v>
      </c>
      <c r="G770" s="65">
        <f t="shared" si="282"/>
        <v>900.00000000000011</v>
      </c>
      <c r="H770" s="77">
        <v>0.65555555555555556</v>
      </c>
      <c r="I770" s="71">
        <f t="shared" si="283"/>
        <v>1.1186440677966101</v>
      </c>
      <c r="J770" s="23">
        <f t="shared" si="284"/>
        <v>1.2222222222222221E-2</v>
      </c>
      <c r="K770" s="65">
        <f t="shared" si="285"/>
        <v>900.00000000000011</v>
      </c>
      <c r="L770" s="21">
        <v>590</v>
      </c>
      <c r="M770" s="21">
        <v>660</v>
      </c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</row>
    <row r="771" spans="1:23" s="26" customFormat="1" ht="30" customHeight="1" x14ac:dyDescent="0.2">
      <c r="A771" s="106" t="s">
        <v>2047</v>
      </c>
      <c r="B771" s="159" t="s">
        <v>152</v>
      </c>
      <c r="C771" s="21" t="s">
        <v>1</v>
      </c>
      <c r="D771" s="22">
        <v>1</v>
      </c>
      <c r="E771" s="51">
        <f t="shared" si="281"/>
        <v>79.309090909090912</v>
      </c>
      <c r="F771" s="23">
        <f t="shared" si="282"/>
        <v>1.2608895002292526E-2</v>
      </c>
      <c r="G771" s="65">
        <f t="shared" si="282"/>
        <v>872.40000000000009</v>
      </c>
      <c r="H771" s="77">
        <v>0.67629527739569006</v>
      </c>
      <c r="I771" s="71">
        <f t="shared" si="283"/>
        <v>1.1186440677966101</v>
      </c>
      <c r="J771" s="23">
        <f t="shared" si="284"/>
        <v>1.2608895002292526E-2</v>
      </c>
      <c r="K771" s="65">
        <f t="shared" si="285"/>
        <v>872.40000000000009</v>
      </c>
      <c r="L771" s="21">
        <v>590</v>
      </c>
      <c r="M771" s="21">
        <v>660</v>
      </c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</row>
    <row r="772" spans="1:23" s="26" customFormat="1" ht="30" customHeight="1" x14ac:dyDescent="0.2">
      <c r="A772" s="106" t="s">
        <v>2048</v>
      </c>
      <c r="B772" s="159" t="s">
        <v>153</v>
      </c>
      <c r="C772" s="21" t="s">
        <v>1</v>
      </c>
      <c r="D772" s="50">
        <v>1</v>
      </c>
      <c r="E772" s="51">
        <f t="shared" si="281"/>
        <v>46.581818181818193</v>
      </c>
      <c r="F772" s="23">
        <f t="shared" si="282"/>
        <v>2.1467603434816546E-2</v>
      </c>
      <c r="G772" s="65">
        <f t="shared" si="282"/>
        <v>512.40000000000009</v>
      </c>
      <c r="H772" s="77">
        <v>1.1514441842310694</v>
      </c>
      <c r="I772" s="71">
        <f t="shared" si="283"/>
        <v>1.1186440677966101</v>
      </c>
      <c r="J772" s="23">
        <f t="shared" si="284"/>
        <v>2.1467603434816546E-2</v>
      </c>
      <c r="K772" s="65">
        <f t="shared" si="285"/>
        <v>512.40000000000009</v>
      </c>
      <c r="L772" s="21">
        <v>590</v>
      </c>
      <c r="M772" s="21">
        <v>660</v>
      </c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</row>
    <row r="773" spans="1:23" s="26" customFormat="1" ht="30" customHeight="1" x14ac:dyDescent="0.2">
      <c r="A773" s="106" t="s">
        <v>2049</v>
      </c>
      <c r="B773" s="159" t="s">
        <v>154</v>
      </c>
      <c r="C773" s="21" t="s">
        <v>1</v>
      </c>
      <c r="D773" s="22">
        <v>1</v>
      </c>
      <c r="E773" s="51">
        <f t="shared" si="281"/>
        <v>44.072727272727278</v>
      </c>
      <c r="F773" s="23">
        <f t="shared" si="282"/>
        <v>2.2689768976897687E-2</v>
      </c>
      <c r="G773" s="65">
        <f t="shared" si="282"/>
        <v>484.80000000000007</v>
      </c>
      <c r="H773" s="77">
        <v>1.216996699669967</v>
      </c>
      <c r="I773" s="71">
        <f t="shared" si="283"/>
        <v>1.1186440677966101</v>
      </c>
      <c r="J773" s="23">
        <f t="shared" si="284"/>
        <v>2.2689768976897687E-2</v>
      </c>
      <c r="K773" s="65">
        <f t="shared" si="285"/>
        <v>484.80000000000007</v>
      </c>
      <c r="L773" s="21">
        <v>590</v>
      </c>
      <c r="M773" s="21">
        <v>660</v>
      </c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</row>
    <row r="774" spans="1:23" s="26" customFormat="1" ht="30" customHeight="1" x14ac:dyDescent="0.2">
      <c r="A774" s="106" t="s">
        <v>2050</v>
      </c>
      <c r="B774" s="159" t="s">
        <v>155</v>
      </c>
      <c r="C774" s="21" t="s">
        <v>1</v>
      </c>
      <c r="D774" s="50">
        <v>1</v>
      </c>
      <c r="E774" s="51">
        <f t="shared" si="281"/>
        <v>42.109090909090909</v>
      </c>
      <c r="F774" s="23">
        <f t="shared" si="282"/>
        <v>2.3747841105354061E-2</v>
      </c>
      <c r="G774" s="65">
        <f t="shared" si="282"/>
        <v>463.2</v>
      </c>
      <c r="H774" s="77">
        <v>1.2737478411053542</v>
      </c>
      <c r="I774" s="71">
        <f t="shared" si="283"/>
        <v>1.1186440677966101</v>
      </c>
      <c r="J774" s="23">
        <f t="shared" si="284"/>
        <v>2.3747841105354061E-2</v>
      </c>
      <c r="K774" s="65">
        <f t="shared" si="285"/>
        <v>463.2</v>
      </c>
      <c r="L774" s="21">
        <v>590</v>
      </c>
      <c r="M774" s="21">
        <v>660</v>
      </c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</row>
    <row r="775" spans="1:23" s="26" customFormat="1" ht="30" customHeight="1" x14ac:dyDescent="0.2">
      <c r="A775" s="106" t="s">
        <v>2051</v>
      </c>
      <c r="B775" s="159" t="s">
        <v>156</v>
      </c>
      <c r="C775" s="21" t="s">
        <v>1</v>
      </c>
      <c r="D775" s="22">
        <v>1</v>
      </c>
      <c r="E775" s="51">
        <f t="shared" si="281"/>
        <v>26.4</v>
      </c>
      <c r="F775" s="23">
        <f t="shared" si="282"/>
        <v>3.787878787878788E-2</v>
      </c>
      <c r="G775" s="65">
        <f t="shared" si="282"/>
        <v>290.39999999999998</v>
      </c>
      <c r="H775" s="77">
        <v>2.0316804407713502</v>
      </c>
      <c r="I775" s="71">
        <f t="shared" si="283"/>
        <v>1.1186440677966101</v>
      </c>
      <c r="J775" s="23">
        <f t="shared" si="284"/>
        <v>3.787878787878788E-2</v>
      </c>
      <c r="K775" s="65">
        <f t="shared" si="285"/>
        <v>290.39999999999998</v>
      </c>
      <c r="L775" s="21">
        <v>590</v>
      </c>
      <c r="M775" s="21">
        <v>660</v>
      </c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</row>
    <row r="776" spans="1:23" s="26" customFormat="1" ht="30" customHeight="1" x14ac:dyDescent="0.2">
      <c r="A776" s="106" t="s">
        <v>2052</v>
      </c>
      <c r="B776" s="159" t="s">
        <v>157</v>
      </c>
      <c r="C776" s="21" t="s">
        <v>1</v>
      </c>
      <c r="D776" s="50">
        <v>1</v>
      </c>
      <c r="E776" s="51">
        <f t="shared" si="281"/>
        <v>25.200000000000003</v>
      </c>
      <c r="F776" s="23">
        <f t="shared" si="282"/>
        <v>3.9682539682539673E-2</v>
      </c>
      <c r="G776" s="65">
        <f t="shared" si="282"/>
        <v>277.20000000000005</v>
      </c>
      <c r="H776" s="77">
        <v>2.1284271284271283</v>
      </c>
      <c r="I776" s="71">
        <f t="shared" si="283"/>
        <v>1.1186440677966101</v>
      </c>
      <c r="J776" s="23">
        <f t="shared" si="284"/>
        <v>3.9682539682539673E-2</v>
      </c>
      <c r="K776" s="65">
        <f t="shared" si="285"/>
        <v>277.20000000000005</v>
      </c>
      <c r="L776" s="21">
        <v>590</v>
      </c>
      <c r="M776" s="21">
        <v>660</v>
      </c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</row>
    <row r="777" spans="1:23" s="26" customFormat="1" ht="30" customHeight="1" x14ac:dyDescent="0.2">
      <c r="A777" s="106" t="s">
        <v>2053</v>
      </c>
      <c r="B777" s="159" t="s">
        <v>158</v>
      </c>
      <c r="C777" s="21" t="s">
        <v>1</v>
      </c>
      <c r="D777" s="22">
        <v>1</v>
      </c>
      <c r="E777" s="51">
        <f t="shared" si="281"/>
        <v>23.890909090909091</v>
      </c>
      <c r="F777" s="23">
        <f t="shared" si="282"/>
        <v>4.1856925418569252E-2</v>
      </c>
      <c r="G777" s="65">
        <f t="shared" si="282"/>
        <v>262.8</v>
      </c>
      <c r="H777" s="77">
        <v>2.2450532724505328</v>
      </c>
      <c r="I777" s="71">
        <f t="shared" si="283"/>
        <v>1.1186440677966101</v>
      </c>
      <c r="J777" s="23">
        <f t="shared" si="284"/>
        <v>4.1856925418569252E-2</v>
      </c>
      <c r="K777" s="65">
        <f t="shared" si="285"/>
        <v>262.8</v>
      </c>
      <c r="L777" s="21">
        <v>590</v>
      </c>
      <c r="M777" s="21">
        <v>660</v>
      </c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</row>
    <row r="778" spans="1:23" s="26" customFormat="1" ht="30" customHeight="1" x14ac:dyDescent="0.2">
      <c r="A778" s="106"/>
      <c r="B778" s="118" t="s">
        <v>159</v>
      </c>
      <c r="C778" s="28"/>
      <c r="D778" s="28"/>
      <c r="E778" s="28"/>
      <c r="F778" s="28"/>
      <c r="G778" s="28"/>
      <c r="H778" s="225"/>
      <c r="I778" s="63"/>
      <c r="J778" s="63"/>
      <c r="K778" s="63"/>
      <c r="L778" s="63"/>
      <c r="M778" s="63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</row>
    <row r="779" spans="1:23" s="26" customFormat="1" ht="30" customHeight="1" x14ac:dyDescent="0.2">
      <c r="A779" s="106" t="s">
        <v>2054</v>
      </c>
      <c r="B779" s="161" t="s">
        <v>242</v>
      </c>
      <c r="C779" s="21" t="s">
        <v>1</v>
      </c>
      <c r="D779" s="22">
        <v>1</v>
      </c>
      <c r="E779" s="51">
        <f t="shared" ref="E779:E784" si="286">G779/11</f>
        <v>132.5</v>
      </c>
      <c r="F779" s="23">
        <f t="shared" ref="F779:G784" si="287">J779</f>
        <v>7.5471698113207548E-3</v>
      </c>
      <c r="G779" s="65">
        <f t="shared" si="287"/>
        <v>1457.5</v>
      </c>
      <c r="H779" s="77">
        <v>0.404802744425386</v>
      </c>
      <c r="I779" s="71">
        <f t="shared" ref="I779:I784" si="288">M779/L779</f>
        <v>1.1186440677966101</v>
      </c>
      <c r="J779" s="23">
        <f t="shared" ref="J779:J784" si="289">11/K779</f>
        <v>7.5471698113207548E-3</v>
      </c>
      <c r="K779" s="65">
        <f t="shared" ref="K779:K784" si="290">M779/(H779*I779)</f>
        <v>1457.5</v>
      </c>
      <c r="L779" s="21">
        <v>590</v>
      </c>
      <c r="M779" s="21">
        <v>660</v>
      </c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</row>
    <row r="780" spans="1:23" s="26" customFormat="1" ht="30" customHeight="1" x14ac:dyDescent="0.2">
      <c r="A780" s="106" t="s">
        <v>2055</v>
      </c>
      <c r="B780" s="161" t="s">
        <v>243</v>
      </c>
      <c r="C780" s="21" t="s">
        <v>1</v>
      </c>
      <c r="D780" s="50">
        <v>1</v>
      </c>
      <c r="E780" s="51">
        <f t="shared" si="286"/>
        <v>102.95454545454545</v>
      </c>
      <c r="F780" s="23">
        <f t="shared" si="287"/>
        <v>9.7130242825607064E-3</v>
      </c>
      <c r="G780" s="65">
        <f t="shared" si="287"/>
        <v>1132.5</v>
      </c>
      <c r="H780" s="77">
        <v>0.52097130242825607</v>
      </c>
      <c r="I780" s="71">
        <f t="shared" si="288"/>
        <v>1.1186440677966101</v>
      </c>
      <c r="J780" s="23">
        <f t="shared" si="289"/>
        <v>9.7130242825607064E-3</v>
      </c>
      <c r="K780" s="65">
        <f t="shared" si="290"/>
        <v>1132.5</v>
      </c>
      <c r="L780" s="21">
        <v>590</v>
      </c>
      <c r="M780" s="21">
        <v>660</v>
      </c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</row>
    <row r="781" spans="1:23" s="26" customFormat="1" ht="30" customHeight="1" x14ac:dyDescent="0.2">
      <c r="A781" s="106" t="s">
        <v>2056</v>
      </c>
      <c r="B781" s="161" t="s">
        <v>244</v>
      </c>
      <c r="C781" s="21" t="s">
        <v>1</v>
      </c>
      <c r="D781" s="22">
        <v>1</v>
      </c>
      <c r="E781" s="51">
        <f t="shared" si="286"/>
        <v>88.522727272727266</v>
      </c>
      <c r="F781" s="23">
        <f t="shared" si="287"/>
        <v>1.1296534017971758E-2</v>
      </c>
      <c r="G781" s="65">
        <f t="shared" si="287"/>
        <v>973.75</v>
      </c>
      <c r="H781" s="77">
        <v>0.60590500641848521</v>
      </c>
      <c r="I781" s="71">
        <f t="shared" si="288"/>
        <v>1.1186440677966101</v>
      </c>
      <c r="J781" s="23">
        <f t="shared" si="289"/>
        <v>1.1296534017971758E-2</v>
      </c>
      <c r="K781" s="65">
        <f t="shared" si="290"/>
        <v>973.75</v>
      </c>
      <c r="L781" s="21">
        <v>590</v>
      </c>
      <c r="M781" s="21">
        <v>660</v>
      </c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</row>
    <row r="782" spans="1:23" s="26" customFormat="1" ht="30" customHeight="1" x14ac:dyDescent="0.2">
      <c r="A782" s="106" t="s">
        <v>2057</v>
      </c>
      <c r="B782" s="161" t="s">
        <v>245</v>
      </c>
      <c r="C782" s="21" t="s">
        <v>1</v>
      </c>
      <c r="D782" s="50">
        <v>1</v>
      </c>
      <c r="E782" s="51">
        <f t="shared" si="286"/>
        <v>118.06818181818184</v>
      </c>
      <c r="F782" s="23">
        <f t="shared" si="287"/>
        <v>8.469682386910489E-3</v>
      </c>
      <c r="G782" s="65">
        <f t="shared" si="287"/>
        <v>1298.7500000000002</v>
      </c>
      <c r="H782" s="77">
        <v>0.45428296438883542</v>
      </c>
      <c r="I782" s="71">
        <f t="shared" si="288"/>
        <v>1.1186440677966101</v>
      </c>
      <c r="J782" s="23">
        <f t="shared" si="289"/>
        <v>8.469682386910489E-3</v>
      </c>
      <c r="K782" s="65">
        <f t="shared" si="290"/>
        <v>1298.7500000000002</v>
      </c>
      <c r="L782" s="21">
        <v>590</v>
      </c>
      <c r="M782" s="21">
        <v>660</v>
      </c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</row>
    <row r="783" spans="1:23" s="26" customFormat="1" ht="30" customHeight="1" x14ac:dyDescent="0.2">
      <c r="A783" s="106" t="s">
        <v>2058</v>
      </c>
      <c r="B783" s="161" t="s">
        <v>246</v>
      </c>
      <c r="C783" s="21" t="s">
        <v>1</v>
      </c>
      <c r="D783" s="22">
        <v>1</v>
      </c>
      <c r="E783" s="51">
        <f t="shared" si="286"/>
        <v>97.045454545454561</v>
      </c>
      <c r="F783" s="23">
        <f t="shared" si="287"/>
        <v>1.0304449648711942E-2</v>
      </c>
      <c r="G783" s="65">
        <f t="shared" si="287"/>
        <v>1067.5000000000002</v>
      </c>
      <c r="H783" s="77">
        <v>0.5526932084309133</v>
      </c>
      <c r="I783" s="71">
        <f t="shared" si="288"/>
        <v>1.1186440677966101</v>
      </c>
      <c r="J783" s="23">
        <f t="shared" si="289"/>
        <v>1.0304449648711942E-2</v>
      </c>
      <c r="K783" s="65">
        <f t="shared" si="290"/>
        <v>1067.5000000000002</v>
      </c>
      <c r="L783" s="21">
        <v>590</v>
      </c>
      <c r="M783" s="21">
        <v>660</v>
      </c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</row>
    <row r="784" spans="1:23" s="26" customFormat="1" ht="30" customHeight="1" x14ac:dyDescent="0.2">
      <c r="A784" s="106" t="s">
        <v>2059</v>
      </c>
      <c r="B784" s="161" t="s">
        <v>247</v>
      </c>
      <c r="C784" s="21" t="s">
        <v>1</v>
      </c>
      <c r="D784" s="50">
        <v>1</v>
      </c>
      <c r="E784" s="51">
        <f t="shared" si="286"/>
        <v>88.522727272727266</v>
      </c>
      <c r="F784" s="23">
        <f t="shared" si="287"/>
        <v>1.1296534017971758E-2</v>
      </c>
      <c r="G784" s="65">
        <f t="shared" si="287"/>
        <v>973.75</v>
      </c>
      <c r="H784" s="77">
        <v>0.60590500641848521</v>
      </c>
      <c r="I784" s="71">
        <f t="shared" si="288"/>
        <v>1.1186440677966101</v>
      </c>
      <c r="J784" s="23">
        <f t="shared" si="289"/>
        <v>1.1296534017971758E-2</v>
      </c>
      <c r="K784" s="65">
        <f t="shared" si="290"/>
        <v>973.75</v>
      </c>
      <c r="L784" s="21">
        <v>590</v>
      </c>
      <c r="M784" s="21">
        <v>660</v>
      </c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</row>
    <row r="785" spans="1:23" s="26" customFormat="1" ht="30" customHeight="1" x14ac:dyDescent="0.2">
      <c r="A785" s="106"/>
      <c r="B785" s="118" t="s">
        <v>160</v>
      </c>
      <c r="C785" s="28"/>
      <c r="D785" s="28"/>
      <c r="E785" s="28"/>
      <c r="F785" s="28"/>
      <c r="G785" s="28"/>
      <c r="H785" s="225"/>
      <c r="I785" s="63"/>
      <c r="J785" s="63"/>
      <c r="K785" s="63"/>
      <c r="L785" s="63"/>
      <c r="M785" s="63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</row>
    <row r="786" spans="1:23" s="26" customFormat="1" ht="30" customHeight="1" x14ac:dyDescent="0.2">
      <c r="A786" s="106" t="s">
        <v>2060</v>
      </c>
      <c r="B786" s="144" t="s">
        <v>697</v>
      </c>
      <c r="C786" s="21" t="s">
        <v>166</v>
      </c>
      <c r="D786" s="50">
        <v>1</v>
      </c>
      <c r="E786" s="51">
        <f>G786/11</f>
        <v>5.331818181818182</v>
      </c>
      <c r="F786" s="23">
        <f t="shared" ref="F786:G789" si="291">J786</f>
        <v>0.18755328218243819</v>
      </c>
      <c r="G786" s="65">
        <f t="shared" si="291"/>
        <v>58.65</v>
      </c>
      <c r="H786" s="77">
        <v>10.059676044330777</v>
      </c>
      <c r="I786" s="71">
        <f>M786/L786</f>
        <v>1.1186440677966101</v>
      </c>
      <c r="J786" s="23">
        <f>11/K786</f>
        <v>0.18755328218243819</v>
      </c>
      <c r="K786" s="65">
        <f>M786/(H786*I786)</f>
        <v>58.65</v>
      </c>
      <c r="L786" s="21">
        <v>590</v>
      </c>
      <c r="M786" s="21">
        <v>660</v>
      </c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</row>
    <row r="787" spans="1:23" s="26" customFormat="1" ht="30" customHeight="1" x14ac:dyDescent="0.2">
      <c r="A787" s="106" t="s">
        <v>2061</v>
      </c>
      <c r="B787" s="144" t="s">
        <v>698</v>
      </c>
      <c r="C787" s="21" t="s">
        <v>166</v>
      </c>
      <c r="D787" s="22">
        <v>1</v>
      </c>
      <c r="E787" s="51">
        <f>G787/11</f>
        <v>4.8090909090909086</v>
      </c>
      <c r="F787" s="23">
        <f t="shared" si="291"/>
        <v>0.20793950850661627</v>
      </c>
      <c r="G787" s="65">
        <f t="shared" si="291"/>
        <v>52.9</v>
      </c>
      <c r="H787" s="77">
        <v>11.1531190926276</v>
      </c>
      <c r="I787" s="71">
        <f>M787/L787</f>
        <v>1.1186440677966101</v>
      </c>
      <c r="J787" s="23">
        <f>11/K787</f>
        <v>0.20793950850661627</v>
      </c>
      <c r="K787" s="65">
        <f>M787/(H787*I787)</f>
        <v>52.9</v>
      </c>
      <c r="L787" s="21">
        <v>590</v>
      </c>
      <c r="M787" s="21">
        <v>660</v>
      </c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</row>
    <row r="788" spans="1:23" s="26" customFormat="1" ht="30" customHeight="1" x14ac:dyDescent="0.2">
      <c r="A788" s="106" t="s">
        <v>2062</v>
      </c>
      <c r="B788" s="144" t="s">
        <v>699</v>
      </c>
      <c r="C788" s="21" t="s">
        <v>166</v>
      </c>
      <c r="D788" s="50">
        <v>1</v>
      </c>
      <c r="E788" s="51">
        <f>G788/11</f>
        <v>4.2863636363636362</v>
      </c>
      <c r="F788" s="23">
        <f t="shared" si="291"/>
        <v>0.2332979851537646</v>
      </c>
      <c r="G788" s="65">
        <f t="shared" si="291"/>
        <v>47.15</v>
      </c>
      <c r="H788" s="77">
        <v>12.513255567338284</v>
      </c>
      <c r="I788" s="71">
        <f>M788/L788</f>
        <v>1.1186440677966101</v>
      </c>
      <c r="J788" s="23">
        <f>11/K788</f>
        <v>0.2332979851537646</v>
      </c>
      <c r="K788" s="65">
        <f>M788/(H788*I788)</f>
        <v>47.15</v>
      </c>
      <c r="L788" s="21">
        <v>590</v>
      </c>
      <c r="M788" s="21">
        <v>660</v>
      </c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</row>
    <row r="789" spans="1:23" s="26" customFormat="1" ht="30" customHeight="1" x14ac:dyDescent="0.2">
      <c r="A789" s="106" t="s">
        <v>2063</v>
      </c>
      <c r="B789" s="144" t="s">
        <v>700</v>
      </c>
      <c r="C789" s="21" t="s">
        <v>166</v>
      </c>
      <c r="D789" s="22">
        <v>1</v>
      </c>
      <c r="E789" s="51">
        <f>G789/11</f>
        <v>3.6590909090909092</v>
      </c>
      <c r="F789" s="23">
        <f t="shared" si="291"/>
        <v>0.27329192546583853</v>
      </c>
      <c r="G789" s="65">
        <f t="shared" si="291"/>
        <v>40.25</v>
      </c>
      <c r="H789" s="77">
        <v>14.658385093167704</v>
      </c>
      <c r="I789" s="71">
        <f>M789/L789</f>
        <v>1.1186440677966101</v>
      </c>
      <c r="J789" s="23">
        <f>11/K789</f>
        <v>0.27329192546583853</v>
      </c>
      <c r="K789" s="65">
        <f>M789/(H789*I789)</f>
        <v>40.25</v>
      </c>
      <c r="L789" s="21">
        <v>590</v>
      </c>
      <c r="M789" s="21">
        <v>660</v>
      </c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</row>
    <row r="790" spans="1:23" s="26" customFormat="1" ht="30" customHeight="1" x14ac:dyDescent="0.2">
      <c r="A790" s="106"/>
      <c r="B790" s="118" t="s">
        <v>969</v>
      </c>
      <c r="C790" s="28"/>
      <c r="D790" s="28"/>
      <c r="E790" s="28"/>
      <c r="F790" s="28"/>
      <c r="G790" s="28"/>
      <c r="H790" s="225"/>
      <c r="I790" s="63"/>
      <c r="J790" s="63"/>
      <c r="K790" s="63"/>
      <c r="L790" s="63"/>
      <c r="M790" s="63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</row>
    <row r="791" spans="1:23" s="26" customFormat="1" ht="30" customHeight="1" x14ac:dyDescent="0.2">
      <c r="A791" s="106" t="s">
        <v>2064</v>
      </c>
      <c r="B791" s="162" t="s">
        <v>3024</v>
      </c>
      <c r="C791" s="21" t="s">
        <v>167</v>
      </c>
      <c r="D791" s="22">
        <v>1</v>
      </c>
      <c r="E791" s="51">
        <f>G791/11</f>
        <v>20.909090909090907</v>
      </c>
      <c r="F791" s="23">
        <f t="shared" ref="F791:G795" si="292">J791</f>
        <v>4.7826086956521748E-2</v>
      </c>
      <c r="G791" s="65">
        <f t="shared" si="292"/>
        <v>229.99999999999997</v>
      </c>
      <c r="H791" s="79">
        <v>2.5</v>
      </c>
      <c r="I791" s="71">
        <f>M791/L791</f>
        <v>1.1478260869565218</v>
      </c>
      <c r="J791" s="23">
        <f>11/K791</f>
        <v>4.7826086956521748E-2</v>
      </c>
      <c r="K791" s="65">
        <f>M791/(H791*I791)</f>
        <v>229.99999999999997</v>
      </c>
      <c r="L791" s="21">
        <v>575</v>
      </c>
      <c r="M791" s="21">
        <v>660</v>
      </c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</row>
    <row r="792" spans="1:23" s="26" customFormat="1" ht="30" customHeight="1" x14ac:dyDescent="0.2">
      <c r="A792" s="106" t="s">
        <v>2065</v>
      </c>
      <c r="B792" s="162" t="s">
        <v>3025</v>
      </c>
      <c r="C792" s="21" t="s">
        <v>167</v>
      </c>
      <c r="D792" s="22">
        <v>1</v>
      </c>
      <c r="E792" s="51">
        <f>G792/11</f>
        <v>13.755980861244019</v>
      </c>
      <c r="F792" s="23">
        <f t="shared" si="292"/>
        <v>7.2695652173913036E-2</v>
      </c>
      <c r="G792" s="65">
        <f t="shared" si="292"/>
        <v>151.31578947368422</v>
      </c>
      <c r="H792" s="79">
        <v>3.8</v>
      </c>
      <c r="I792" s="71">
        <f>M792/L792</f>
        <v>1.1478260869565218</v>
      </c>
      <c r="J792" s="23">
        <f>11/K792</f>
        <v>7.2695652173913036E-2</v>
      </c>
      <c r="K792" s="65">
        <f>M792/(H792*I792)</f>
        <v>151.31578947368422</v>
      </c>
      <c r="L792" s="21">
        <v>575</v>
      </c>
      <c r="M792" s="21">
        <v>660</v>
      </c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</row>
    <row r="793" spans="1:23" s="26" customFormat="1" ht="30" customHeight="1" x14ac:dyDescent="0.2">
      <c r="A793" s="106" t="s">
        <v>2066</v>
      </c>
      <c r="B793" s="162" t="s">
        <v>3026</v>
      </c>
      <c r="C793" s="21" t="s">
        <v>167</v>
      </c>
      <c r="D793" s="22">
        <v>1</v>
      </c>
      <c r="E793" s="51">
        <f>G793/11</f>
        <v>9.5041322314049594</v>
      </c>
      <c r="F793" s="23">
        <f t="shared" si="292"/>
        <v>0.10521739130434782</v>
      </c>
      <c r="G793" s="65">
        <f t="shared" si="292"/>
        <v>104.54545454545455</v>
      </c>
      <c r="H793" s="79">
        <v>5.5</v>
      </c>
      <c r="I793" s="71">
        <f>M793/L793</f>
        <v>1.1478260869565218</v>
      </c>
      <c r="J793" s="23">
        <f>11/K793</f>
        <v>0.10521739130434782</v>
      </c>
      <c r="K793" s="65">
        <f>M793/(H793*I793)</f>
        <v>104.54545454545455</v>
      </c>
      <c r="L793" s="21">
        <v>575</v>
      </c>
      <c r="M793" s="21">
        <v>660</v>
      </c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</row>
    <row r="794" spans="1:23" s="26" customFormat="1" ht="30" customHeight="1" x14ac:dyDescent="0.2">
      <c r="A794" s="106" t="s">
        <v>2067</v>
      </c>
      <c r="B794" s="162" t="s">
        <v>3027</v>
      </c>
      <c r="C794" s="21" t="s">
        <v>167</v>
      </c>
      <c r="D794" s="50">
        <v>1</v>
      </c>
      <c r="E794" s="51">
        <f>G794/11</f>
        <v>8.712121212121211</v>
      </c>
      <c r="F794" s="23">
        <f t="shared" si="292"/>
        <v>0.11478260869565218</v>
      </c>
      <c r="G794" s="65">
        <f t="shared" si="292"/>
        <v>95.833333333333329</v>
      </c>
      <c r="H794" s="79">
        <v>6</v>
      </c>
      <c r="I794" s="71">
        <f>M794/L794</f>
        <v>1.1478260869565218</v>
      </c>
      <c r="J794" s="23">
        <f>11/K794</f>
        <v>0.11478260869565218</v>
      </c>
      <c r="K794" s="65">
        <f>M794/(H794*I794)</f>
        <v>95.833333333333329</v>
      </c>
      <c r="L794" s="21">
        <v>575</v>
      </c>
      <c r="M794" s="21">
        <v>660</v>
      </c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</row>
    <row r="795" spans="1:23" s="26" customFormat="1" ht="30" customHeight="1" x14ac:dyDescent="0.2">
      <c r="A795" s="106" t="s">
        <v>2068</v>
      </c>
      <c r="B795" s="162" t="s">
        <v>3028</v>
      </c>
      <c r="C795" s="21" t="s">
        <v>167</v>
      </c>
      <c r="D795" s="22">
        <v>1</v>
      </c>
      <c r="E795" s="51">
        <f>G795/11</f>
        <v>6.9696969696969688</v>
      </c>
      <c r="F795" s="23">
        <f t="shared" si="292"/>
        <v>0.14347826086956522</v>
      </c>
      <c r="G795" s="65">
        <f t="shared" si="292"/>
        <v>76.666666666666657</v>
      </c>
      <c r="H795" s="79">
        <v>7.5</v>
      </c>
      <c r="I795" s="71">
        <f>M795/L795</f>
        <v>1.1478260869565218</v>
      </c>
      <c r="J795" s="23">
        <f>11/K795</f>
        <v>0.14347826086956522</v>
      </c>
      <c r="K795" s="65">
        <f>M795/(H795*I795)</f>
        <v>76.666666666666657</v>
      </c>
      <c r="L795" s="21">
        <v>575</v>
      </c>
      <c r="M795" s="21">
        <v>660</v>
      </c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</row>
    <row r="796" spans="1:23" s="26" customFormat="1" ht="30" customHeight="1" x14ac:dyDescent="0.2">
      <c r="A796" s="106"/>
      <c r="B796" s="118" t="s">
        <v>970</v>
      </c>
      <c r="C796" s="28"/>
      <c r="D796" s="28"/>
      <c r="E796" s="28"/>
      <c r="F796" s="28"/>
      <c r="G796" s="28"/>
      <c r="H796" s="225"/>
      <c r="I796" s="71"/>
      <c r="J796" s="23"/>
      <c r="K796" s="65"/>
      <c r="L796" s="21"/>
      <c r="M796" s="21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</row>
    <row r="797" spans="1:23" s="26" customFormat="1" ht="30" customHeight="1" x14ac:dyDescent="0.2">
      <c r="A797" s="106" t="s">
        <v>2069</v>
      </c>
      <c r="B797" s="162" t="s">
        <v>3029</v>
      </c>
      <c r="C797" s="21" t="s">
        <v>167</v>
      </c>
      <c r="D797" s="22">
        <v>1</v>
      </c>
      <c r="E797" s="51">
        <f>G797/11</f>
        <v>8.3333333333333339</v>
      </c>
      <c r="F797" s="23">
        <f t="shared" ref="F797:G801" si="293">J797</f>
        <v>0.12</v>
      </c>
      <c r="G797" s="65">
        <f t="shared" si="293"/>
        <v>91.666666666666671</v>
      </c>
      <c r="H797" s="77">
        <v>6</v>
      </c>
      <c r="I797" s="71">
        <f>M797/L797</f>
        <v>1.2</v>
      </c>
      <c r="J797" s="23">
        <f>11/K797</f>
        <v>0.12</v>
      </c>
      <c r="K797" s="65">
        <f>M797/(H797*I797)</f>
        <v>91.666666666666671</v>
      </c>
      <c r="L797" s="21">
        <v>550</v>
      </c>
      <c r="M797" s="21">
        <v>660</v>
      </c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</row>
    <row r="798" spans="1:23" s="26" customFormat="1" ht="30" customHeight="1" x14ac:dyDescent="0.2">
      <c r="A798" s="106" t="s">
        <v>2070</v>
      </c>
      <c r="B798" s="162" t="s">
        <v>3030</v>
      </c>
      <c r="C798" s="21" t="s">
        <v>167</v>
      </c>
      <c r="D798" s="50">
        <v>1</v>
      </c>
      <c r="E798" s="51">
        <f>G798/11</f>
        <v>4.5454545454545459</v>
      </c>
      <c r="F798" s="23">
        <f t="shared" si="293"/>
        <v>0.22</v>
      </c>
      <c r="G798" s="65">
        <f t="shared" si="293"/>
        <v>50</v>
      </c>
      <c r="H798" s="77">
        <v>11</v>
      </c>
      <c r="I798" s="71">
        <f>M798/L798</f>
        <v>1.2</v>
      </c>
      <c r="J798" s="23">
        <f>11/K798</f>
        <v>0.22</v>
      </c>
      <c r="K798" s="65">
        <f>M798/(H798*I798)</f>
        <v>50</v>
      </c>
      <c r="L798" s="21">
        <v>550</v>
      </c>
      <c r="M798" s="21">
        <v>660</v>
      </c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</row>
    <row r="799" spans="1:23" s="26" customFormat="1" ht="30" customHeight="1" x14ac:dyDescent="0.2">
      <c r="A799" s="106" t="s">
        <v>2071</v>
      </c>
      <c r="B799" s="162" t="s">
        <v>3031</v>
      </c>
      <c r="C799" s="21" t="s">
        <v>167</v>
      </c>
      <c r="D799" s="22">
        <v>1</v>
      </c>
      <c r="E799" s="51">
        <f>G799/11</f>
        <v>3.125</v>
      </c>
      <c r="F799" s="23">
        <f t="shared" si="293"/>
        <v>0.32</v>
      </c>
      <c r="G799" s="65">
        <f t="shared" si="293"/>
        <v>34.375</v>
      </c>
      <c r="H799" s="77">
        <v>16</v>
      </c>
      <c r="I799" s="71">
        <f>M799/L799</f>
        <v>1.2</v>
      </c>
      <c r="J799" s="23">
        <f>11/K799</f>
        <v>0.32</v>
      </c>
      <c r="K799" s="65">
        <f>M799/(H799*I799)</f>
        <v>34.375</v>
      </c>
      <c r="L799" s="21">
        <v>550</v>
      </c>
      <c r="M799" s="21">
        <v>660</v>
      </c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</row>
    <row r="800" spans="1:23" s="26" customFormat="1" ht="30" customHeight="1" x14ac:dyDescent="0.2">
      <c r="A800" s="106" t="s">
        <v>2072</v>
      </c>
      <c r="B800" s="162" t="s">
        <v>3032</v>
      </c>
      <c r="C800" s="21" t="s">
        <v>167</v>
      </c>
      <c r="D800" s="50">
        <v>1</v>
      </c>
      <c r="E800" s="51">
        <f>G800/11</f>
        <v>2.6315789473684208</v>
      </c>
      <c r="F800" s="23">
        <f t="shared" si="293"/>
        <v>0.38</v>
      </c>
      <c r="G800" s="65">
        <f t="shared" si="293"/>
        <v>28.94736842105263</v>
      </c>
      <c r="H800" s="77">
        <v>19</v>
      </c>
      <c r="I800" s="71">
        <f>M800/L800</f>
        <v>1.2</v>
      </c>
      <c r="J800" s="23">
        <f>11/K800</f>
        <v>0.38</v>
      </c>
      <c r="K800" s="65">
        <f>M800/(H800*I800)</f>
        <v>28.94736842105263</v>
      </c>
      <c r="L800" s="21">
        <v>550</v>
      </c>
      <c r="M800" s="21">
        <v>660</v>
      </c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</row>
    <row r="801" spans="1:23" s="26" customFormat="1" ht="30" customHeight="1" x14ac:dyDescent="0.2">
      <c r="A801" s="106" t="s">
        <v>2073</v>
      </c>
      <c r="B801" s="162" t="s">
        <v>3033</v>
      </c>
      <c r="C801" s="21" t="s">
        <v>167</v>
      </c>
      <c r="D801" s="22">
        <v>1</v>
      </c>
      <c r="E801" s="51">
        <f>G801/11</f>
        <v>2.1739130434782612</v>
      </c>
      <c r="F801" s="23">
        <f t="shared" si="293"/>
        <v>0.45999999999999996</v>
      </c>
      <c r="G801" s="65">
        <f t="shared" si="293"/>
        <v>23.913043478260871</v>
      </c>
      <c r="H801" s="77">
        <v>23</v>
      </c>
      <c r="I801" s="71">
        <f>M801/L801</f>
        <v>1.2</v>
      </c>
      <c r="J801" s="23">
        <f>11/K801</f>
        <v>0.45999999999999996</v>
      </c>
      <c r="K801" s="65">
        <f>M801/(H801*I801)</f>
        <v>23.913043478260871</v>
      </c>
      <c r="L801" s="21">
        <v>550</v>
      </c>
      <c r="M801" s="21">
        <v>660</v>
      </c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</row>
    <row r="802" spans="1:23" s="26" customFormat="1" ht="30" customHeight="1" x14ac:dyDescent="0.2">
      <c r="A802" s="106"/>
      <c r="B802" s="118" t="s">
        <v>3603</v>
      </c>
      <c r="C802" s="52"/>
      <c r="D802" s="28"/>
      <c r="E802" s="28"/>
      <c r="F802" s="28"/>
      <c r="G802" s="28"/>
      <c r="H802" s="225"/>
      <c r="I802" s="63"/>
      <c r="J802" s="63"/>
      <c r="K802" s="63"/>
      <c r="L802" s="63"/>
      <c r="M802" s="63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</row>
    <row r="803" spans="1:23" s="26" customFormat="1" ht="40.5" customHeight="1" x14ac:dyDescent="0.2">
      <c r="A803" s="106" t="s">
        <v>2074</v>
      </c>
      <c r="B803" s="163" t="s">
        <v>966</v>
      </c>
      <c r="C803" s="21" t="s">
        <v>132</v>
      </c>
      <c r="D803" s="50">
        <v>1</v>
      </c>
      <c r="E803" s="51">
        <f t="shared" ref="E803:E809" si="294">G803/11</f>
        <v>12.5</v>
      </c>
      <c r="F803" s="23">
        <f t="shared" ref="F803:G809" si="295">J803</f>
        <v>0.08</v>
      </c>
      <c r="G803" s="65">
        <f>K803</f>
        <v>137.5</v>
      </c>
      <c r="H803" s="77">
        <v>4</v>
      </c>
      <c r="I803" s="71">
        <f>M803/L803</f>
        <v>1.2</v>
      </c>
      <c r="J803" s="23">
        <f t="shared" ref="J803:J809" si="296">11/K803</f>
        <v>0.08</v>
      </c>
      <c r="K803" s="65">
        <f>M803/(H803*I803)</f>
        <v>137.5</v>
      </c>
      <c r="L803" s="21">
        <v>550</v>
      </c>
      <c r="M803" s="21">
        <v>660</v>
      </c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</row>
    <row r="804" spans="1:23" s="26" customFormat="1" ht="30" customHeight="1" x14ac:dyDescent="0.2">
      <c r="A804" s="106" t="s">
        <v>2075</v>
      </c>
      <c r="B804" s="164" t="s">
        <v>3378</v>
      </c>
      <c r="C804" s="21" t="s">
        <v>132</v>
      </c>
      <c r="D804" s="50">
        <v>1</v>
      </c>
      <c r="E804" s="51">
        <f t="shared" si="294"/>
        <v>25</v>
      </c>
      <c r="F804" s="23">
        <f t="shared" si="295"/>
        <v>0.04</v>
      </c>
      <c r="G804" s="65">
        <f t="shared" si="295"/>
        <v>275</v>
      </c>
      <c r="H804" s="77">
        <v>2</v>
      </c>
      <c r="I804" s="71">
        <f t="shared" ref="I804:I809" si="297">M804/L804</f>
        <v>1.2</v>
      </c>
      <c r="J804" s="23">
        <f t="shared" si="296"/>
        <v>0.04</v>
      </c>
      <c r="K804" s="65">
        <f t="shared" ref="K804:K809" si="298">M804/(H804*I804)</f>
        <v>275</v>
      </c>
      <c r="L804" s="297">
        <v>550</v>
      </c>
      <c r="M804" s="21">
        <v>660</v>
      </c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</row>
    <row r="805" spans="1:23" s="26" customFormat="1" ht="30" customHeight="1" x14ac:dyDescent="0.2">
      <c r="A805" s="106" t="s">
        <v>2076</v>
      </c>
      <c r="B805" s="162" t="s">
        <v>3598</v>
      </c>
      <c r="C805" s="21" t="s">
        <v>167</v>
      </c>
      <c r="D805" s="50">
        <v>1</v>
      </c>
      <c r="E805" s="51">
        <f t="shared" si="294"/>
        <v>25</v>
      </c>
      <c r="F805" s="23">
        <f t="shared" si="295"/>
        <v>0.04</v>
      </c>
      <c r="G805" s="65">
        <f t="shared" si="295"/>
        <v>275</v>
      </c>
      <c r="H805" s="77">
        <v>2</v>
      </c>
      <c r="I805" s="71">
        <f t="shared" si="297"/>
        <v>1.2</v>
      </c>
      <c r="J805" s="23">
        <f t="shared" si="296"/>
        <v>0.04</v>
      </c>
      <c r="K805" s="65">
        <f t="shared" si="298"/>
        <v>275</v>
      </c>
      <c r="L805" s="297">
        <v>550</v>
      </c>
      <c r="M805" s="21">
        <v>660</v>
      </c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</row>
    <row r="806" spans="1:23" s="26" customFormat="1" ht="30" customHeight="1" x14ac:dyDescent="0.2">
      <c r="A806" s="106" t="s">
        <v>2077</v>
      </c>
      <c r="B806" s="162" t="s">
        <v>3599</v>
      </c>
      <c r="C806" s="21" t="s">
        <v>167</v>
      </c>
      <c r="D806" s="50">
        <v>1</v>
      </c>
      <c r="E806" s="51">
        <f t="shared" si="294"/>
        <v>20.833333333333336</v>
      </c>
      <c r="F806" s="23">
        <f t="shared" si="295"/>
        <v>4.7999999999999994E-2</v>
      </c>
      <c r="G806" s="65">
        <f t="shared" si="295"/>
        <v>229.16666666666669</v>
      </c>
      <c r="H806" s="77">
        <v>2.4</v>
      </c>
      <c r="I806" s="71">
        <f t="shared" si="297"/>
        <v>1.2</v>
      </c>
      <c r="J806" s="23">
        <f t="shared" si="296"/>
        <v>4.7999999999999994E-2</v>
      </c>
      <c r="K806" s="65">
        <f t="shared" si="298"/>
        <v>229.16666666666669</v>
      </c>
      <c r="L806" s="297">
        <v>550</v>
      </c>
      <c r="M806" s="21">
        <v>660</v>
      </c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</row>
    <row r="807" spans="1:23" s="26" customFormat="1" ht="39" customHeight="1" x14ac:dyDescent="0.2">
      <c r="A807" s="106" t="s">
        <v>2078</v>
      </c>
      <c r="B807" s="162" t="s">
        <v>3600</v>
      </c>
      <c r="C807" s="21" t="s">
        <v>167</v>
      </c>
      <c r="D807" s="50">
        <v>1</v>
      </c>
      <c r="E807" s="51">
        <f t="shared" si="294"/>
        <v>13.888888888888888</v>
      </c>
      <c r="F807" s="23">
        <f t="shared" si="295"/>
        <v>7.2000000000000008E-2</v>
      </c>
      <c r="G807" s="65">
        <f t="shared" si="295"/>
        <v>152.77777777777777</v>
      </c>
      <c r="H807" s="77">
        <v>3.6</v>
      </c>
      <c r="I807" s="71">
        <f t="shared" si="297"/>
        <v>1.2</v>
      </c>
      <c r="J807" s="23">
        <f t="shared" si="296"/>
        <v>7.2000000000000008E-2</v>
      </c>
      <c r="K807" s="65">
        <f t="shared" si="298"/>
        <v>152.77777777777777</v>
      </c>
      <c r="L807" s="297">
        <v>550</v>
      </c>
      <c r="M807" s="21">
        <v>660</v>
      </c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</row>
    <row r="808" spans="1:23" s="26" customFormat="1" ht="30" customHeight="1" x14ac:dyDescent="0.2">
      <c r="A808" s="106" t="s">
        <v>2079</v>
      </c>
      <c r="B808" s="162" t="s">
        <v>3601</v>
      </c>
      <c r="C808" s="21" t="s">
        <v>167</v>
      </c>
      <c r="D808" s="50">
        <v>1</v>
      </c>
      <c r="E808" s="51">
        <f t="shared" si="294"/>
        <v>10.416666666666668</v>
      </c>
      <c r="F808" s="23">
        <f t="shared" si="295"/>
        <v>9.5999999999999988E-2</v>
      </c>
      <c r="G808" s="65">
        <f t="shared" si="295"/>
        <v>114.58333333333334</v>
      </c>
      <c r="H808" s="77">
        <v>4.8</v>
      </c>
      <c r="I808" s="71">
        <f t="shared" si="297"/>
        <v>1.2</v>
      </c>
      <c r="J808" s="23">
        <f t="shared" si="296"/>
        <v>9.5999999999999988E-2</v>
      </c>
      <c r="K808" s="65">
        <f t="shared" si="298"/>
        <v>114.58333333333334</v>
      </c>
      <c r="L808" s="297">
        <v>550</v>
      </c>
      <c r="M808" s="21">
        <v>660</v>
      </c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</row>
    <row r="809" spans="1:23" s="26" customFormat="1" ht="30" customHeight="1" x14ac:dyDescent="0.2">
      <c r="A809" s="106" t="s">
        <v>2080</v>
      </c>
      <c r="B809" s="162" t="s">
        <v>3602</v>
      </c>
      <c r="C809" s="21" t="s">
        <v>167</v>
      </c>
      <c r="D809" s="50">
        <v>1</v>
      </c>
      <c r="E809" s="51">
        <f t="shared" si="294"/>
        <v>8.3333333333333339</v>
      </c>
      <c r="F809" s="23">
        <f t="shared" si="295"/>
        <v>0.12</v>
      </c>
      <c r="G809" s="65">
        <f t="shared" si="295"/>
        <v>91.666666666666671</v>
      </c>
      <c r="H809" s="77">
        <v>6</v>
      </c>
      <c r="I809" s="71">
        <f t="shared" si="297"/>
        <v>1.2</v>
      </c>
      <c r="J809" s="23">
        <f t="shared" si="296"/>
        <v>0.12</v>
      </c>
      <c r="K809" s="65">
        <f t="shared" si="298"/>
        <v>91.666666666666671</v>
      </c>
      <c r="L809" s="297">
        <v>550</v>
      </c>
      <c r="M809" s="21">
        <v>660</v>
      </c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</row>
    <row r="810" spans="1:23" s="26" customFormat="1" ht="30" customHeight="1" x14ac:dyDescent="0.2">
      <c r="A810" s="106"/>
      <c r="B810" s="118" t="s">
        <v>163</v>
      </c>
      <c r="C810" s="28"/>
      <c r="D810" s="28"/>
      <c r="E810" s="28"/>
      <c r="F810" s="28"/>
      <c r="G810" s="28"/>
      <c r="H810" s="225"/>
      <c r="I810" s="63"/>
      <c r="J810" s="63"/>
      <c r="K810" s="63"/>
      <c r="L810" s="63"/>
      <c r="M810" s="63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</row>
    <row r="811" spans="1:23" s="26" customFormat="1" ht="45" customHeight="1" x14ac:dyDescent="0.2">
      <c r="A811" s="106" t="s">
        <v>2081</v>
      </c>
      <c r="B811" s="206" t="s">
        <v>161</v>
      </c>
      <c r="C811" s="21" t="s">
        <v>1</v>
      </c>
      <c r="D811" s="50">
        <v>1</v>
      </c>
      <c r="E811" s="51">
        <f>G811/11</f>
        <v>406.81818181818193</v>
      </c>
      <c r="F811" s="23">
        <f>J811</f>
        <v>2.4581005586592174E-3</v>
      </c>
      <c r="G811" s="65">
        <f>K811</f>
        <v>4475.0000000000009</v>
      </c>
      <c r="H811" s="77">
        <v>0.13184357541899441</v>
      </c>
      <c r="I811" s="71">
        <f>M811/L811</f>
        <v>1.1186440677966101</v>
      </c>
      <c r="J811" s="23">
        <f>11/K811</f>
        <v>2.4581005586592174E-3</v>
      </c>
      <c r="K811" s="65">
        <f>M811/(H811*I811)</f>
        <v>4475.0000000000009</v>
      </c>
      <c r="L811" s="21">
        <v>590</v>
      </c>
      <c r="M811" s="21">
        <v>660</v>
      </c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</row>
    <row r="812" spans="1:23" s="26" customFormat="1" ht="26.25" customHeight="1" x14ac:dyDescent="0.2">
      <c r="A812" s="106"/>
      <c r="B812" s="165" t="s">
        <v>164</v>
      </c>
      <c r="C812" s="43"/>
      <c r="D812" s="28"/>
      <c r="E812" s="28"/>
      <c r="F812" s="28"/>
      <c r="G812" s="28"/>
      <c r="H812" s="225"/>
      <c r="I812" s="63"/>
      <c r="J812" s="63"/>
      <c r="K812" s="63"/>
      <c r="L812" s="63"/>
      <c r="M812" s="63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</row>
    <row r="813" spans="1:23" s="26" customFormat="1" ht="30" customHeight="1" x14ac:dyDescent="0.2">
      <c r="A813" s="106" t="s">
        <v>2082</v>
      </c>
      <c r="B813" s="126" t="s">
        <v>162</v>
      </c>
      <c r="C813" s="21" t="s">
        <v>1</v>
      </c>
      <c r="D813" s="50">
        <v>1</v>
      </c>
      <c r="E813" s="51">
        <f>G813/11</f>
        <v>100.34090909090911</v>
      </c>
      <c r="F813" s="23">
        <f>J813</f>
        <v>9.966024915062285E-3</v>
      </c>
      <c r="G813" s="65">
        <f>K813</f>
        <v>1103.7500000000002</v>
      </c>
      <c r="H813" s="77">
        <v>0.53454133635334089</v>
      </c>
      <c r="I813" s="71">
        <f>M813/L813</f>
        <v>1.1186440677966101</v>
      </c>
      <c r="J813" s="23">
        <f>11/K813</f>
        <v>9.966024915062285E-3</v>
      </c>
      <c r="K813" s="65">
        <f>M813/(H813*I813)</f>
        <v>1103.7500000000002</v>
      </c>
      <c r="L813" s="21">
        <v>590</v>
      </c>
      <c r="M813" s="21">
        <v>660</v>
      </c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</row>
    <row r="814" spans="1:23" s="26" customFormat="1" ht="30" customHeight="1" x14ac:dyDescent="0.2">
      <c r="A814" s="106"/>
      <c r="B814" s="118" t="s">
        <v>165</v>
      </c>
      <c r="C814" s="28"/>
      <c r="D814" s="28"/>
      <c r="E814" s="28"/>
      <c r="F814" s="28"/>
      <c r="G814" s="28"/>
      <c r="H814" s="225"/>
      <c r="I814" s="63"/>
      <c r="J814" s="63"/>
      <c r="K814" s="63"/>
      <c r="L814" s="63"/>
      <c r="M814" s="63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</row>
    <row r="815" spans="1:23" s="26" customFormat="1" ht="30" customHeight="1" x14ac:dyDescent="0.2">
      <c r="A815" s="106" t="s">
        <v>2083</v>
      </c>
      <c r="B815" s="166" t="s">
        <v>786</v>
      </c>
      <c r="C815" s="21" t="s">
        <v>167</v>
      </c>
      <c r="D815" s="50">
        <v>1</v>
      </c>
      <c r="E815" s="51">
        <f>G815/11</f>
        <v>8.9393939393939394</v>
      </c>
      <c r="F815" s="23">
        <f>J815</f>
        <v>0.11186440677966102</v>
      </c>
      <c r="G815" s="65">
        <f>K815</f>
        <v>98.333333333333329</v>
      </c>
      <c r="H815" s="77">
        <v>6</v>
      </c>
      <c r="I815" s="71">
        <f>M815/L815</f>
        <v>1.1186440677966101</v>
      </c>
      <c r="J815" s="23">
        <f>11/K815</f>
        <v>0.11186440677966102</v>
      </c>
      <c r="K815" s="65">
        <f>M815/(H815*I815)</f>
        <v>98.333333333333329</v>
      </c>
      <c r="L815" s="21">
        <v>590</v>
      </c>
      <c r="M815" s="21">
        <v>660</v>
      </c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</row>
    <row r="816" spans="1:23" s="26" customFormat="1" ht="30" customHeight="1" x14ac:dyDescent="0.2">
      <c r="A816" s="106" t="s">
        <v>2084</v>
      </c>
      <c r="B816" s="166" t="s">
        <v>787</v>
      </c>
      <c r="C816" s="21" t="s">
        <v>167</v>
      </c>
      <c r="D816" s="22">
        <v>1</v>
      </c>
      <c r="E816" s="51">
        <f>G816/11</f>
        <v>6.7045454545454541</v>
      </c>
      <c r="F816" s="23">
        <f>J816</f>
        <v>0.14915254237288136</v>
      </c>
      <c r="G816" s="65">
        <f>K816</f>
        <v>73.75</v>
      </c>
      <c r="H816" s="77">
        <v>8</v>
      </c>
      <c r="I816" s="71">
        <f>M816/L816</f>
        <v>1.1186440677966101</v>
      </c>
      <c r="J816" s="23">
        <f>11/K816</f>
        <v>0.14915254237288136</v>
      </c>
      <c r="K816" s="65">
        <f>M816/(H816*I816)</f>
        <v>73.75</v>
      </c>
      <c r="L816" s="21">
        <v>590</v>
      </c>
      <c r="M816" s="21">
        <v>660</v>
      </c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</row>
    <row r="817" spans="1:23" s="26" customFormat="1" ht="30" customHeight="1" x14ac:dyDescent="0.2">
      <c r="A817" s="106"/>
      <c r="B817" s="142" t="s">
        <v>651</v>
      </c>
      <c r="C817" s="52"/>
      <c r="D817" s="38"/>
      <c r="E817" s="38"/>
      <c r="F817" s="28"/>
      <c r="G817" s="28"/>
      <c r="H817" s="225"/>
      <c r="I817" s="63"/>
      <c r="J817" s="63"/>
      <c r="K817" s="63"/>
      <c r="L817" s="63"/>
      <c r="M817" s="63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</row>
    <row r="818" spans="1:23" s="26" customFormat="1" ht="30" customHeight="1" x14ac:dyDescent="0.2">
      <c r="A818" s="106" t="s">
        <v>2085</v>
      </c>
      <c r="B818" s="167" t="s">
        <v>653</v>
      </c>
      <c r="C818" s="21" t="s">
        <v>511</v>
      </c>
      <c r="D818" s="50">
        <v>1</v>
      </c>
      <c r="E818" s="51">
        <f>G818/11</f>
        <v>16.70454545454546</v>
      </c>
      <c r="F818" s="23">
        <f>J818</f>
        <v>5.9863945578231277E-2</v>
      </c>
      <c r="G818" s="65">
        <f>K818</f>
        <v>183.75000000000006</v>
      </c>
      <c r="H818" s="77">
        <v>3.2108843537414962</v>
      </c>
      <c r="I818" s="71">
        <f>M818/L818</f>
        <v>1.1186440677966101</v>
      </c>
      <c r="J818" s="23">
        <f>11/K818</f>
        <v>5.9863945578231277E-2</v>
      </c>
      <c r="K818" s="65">
        <f>M818/(H818*I818)</f>
        <v>183.75000000000006</v>
      </c>
      <c r="L818" s="21">
        <v>590</v>
      </c>
      <c r="M818" s="21">
        <v>660</v>
      </c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</row>
    <row r="819" spans="1:23" s="26" customFormat="1" ht="30" customHeight="1" x14ac:dyDescent="0.2">
      <c r="A819" s="106" t="s">
        <v>2086</v>
      </c>
      <c r="B819" s="167" t="s">
        <v>654</v>
      </c>
      <c r="C819" s="21" t="s">
        <v>511</v>
      </c>
      <c r="D819" s="22">
        <v>1</v>
      </c>
      <c r="E819" s="51">
        <f>G819/11</f>
        <v>12.045454545454545</v>
      </c>
      <c r="F819" s="23">
        <f>J819</f>
        <v>8.3018867924528297E-2</v>
      </c>
      <c r="G819" s="65">
        <f>K819</f>
        <v>132.5</v>
      </c>
      <c r="H819" s="77">
        <v>4.4528301886792452</v>
      </c>
      <c r="I819" s="71">
        <f>M819/L819</f>
        <v>1.1186440677966101</v>
      </c>
      <c r="J819" s="23">
        <f>11/K819</f>
        <v>8.3018867924528297E-2</v>
      </c>
      <c r="K819" s="65">
        <f>M819/(H819*I819)</f>
        <v>132.5</v>
      </c>
      <c r="L819" s="21">
        <v>590</v>
      </c>
      <c r="M819" s="21">
        <v>660</v>
      </c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</row>
    <row r="820" spans="1:23" s="26" customFormat="1" ht="30" customHeight="1" x14ac:dyDescent="0.2">
      <c r="A820" s="106"/>
      <c r="B820" s="142" t="s">
        <v>788</v>
      </c>
      <c r="C820" s="52"/>
      <c r="D820" s="38"/>
      <c r="E820" s="38"/>
      <c r="F820" s="28"/>
      <c r="G820" s="28"/>
      <c r="H820" s="225"/>
      <c r="I820" s="63"/>
      <c r="J820" s="63"/>
      <c r="K820" s="63"/>
      <c r="L820" s="63"/>
      <c r="M820" s="63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</row>
    <row r="821" spans="1:23" s="26" customFormat="1" ht="36.75" customHeight="1" x14ac:dyDescent="0.2">
      <c r="A821" s="106" t="s">
        <v>2087</v>
      </c>
      <c r="B821" s="168" t="s">
        <v>724</v>
      </c>
      <c r="C821" s="49" t="s">
        <v>132</v>
      </c>
      <c r="D821" s="22">
        <v>1</v>
      </c>
      <c r="E821" s="51">
        <f>G821/11</f>
        <v>39.77272727272728</v>
      </c>
      <c r="F821" s="23">
        <f t="shared" ref="F821:G823" si="299">J821</f>
        <v>2.514285714285714E-2</v>
      </c>
      <c r="G821" s="65">
        <f t="shared" si="299"/>
        <v>437.50000000000006</v>
      </c>
      <c r="H821" s="77">
        <v>1.3485714285714285</v>
      </c>
      <c r="I821" s="71">
        <f>M821/L821</f>
        <v>1.1186440677966101</v>
      </c>
      <c r="J821" s="23">
        <f>11/K821</f>
        <v>2.514285714285714E-2</v>
      </c>
      <c r="K821" s="65">
        <f>M821/(H821*I821)</f>
        <v>437.50000000000006</v>
      </c>
      <c r="L821" s="21">
        <v>590</v>
      </c>
      <c r="M821" s="21">
        <v>660</v>
      </c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</row>
    <row r="822" spans="1:23" s="26" customFormat="1" ht="39.75" customHeight="1" x14ac:dyDescent="0.2">
      <c r="A822" s="106" t="s">
        <v>2088</v>
      </c>
      <c r="B822" s="168" t="s">
        <v>725</v>
      </c>
      <c r="C822" s="49" t="s">
        <v>132</v>
      </c>
      <c r="D822" s="50">
        <v>1</v>
      </c>
      <c r="E822" s="51">
        <f>G822/11</f>
        <v>31.818181818181824</v>
      </c>
      <c r="F822" s="23">
        <f t="shared" si="299"/>
        <v>3.1428571428571424E-2</v>
      </c>
      <c r="G822" s="65">
        <f t="shared" si="299"/>
        <v>350.00000000000006</v>
      </c>
      <c r="H822" s="77">
        <v>1.6857142857142857</v>
      </c>
      <c r="I822" s="71">
        <f>M822/L822</f>
        <v>1.1186440677966101</v>
      </c>
      <c r="J822" s="23">
        <f>11/K822</f>
        <v>3.1428571428571424E-2</v>
      </c>
      <c r="K822" s="65">
        <f>M822/(H822*I822)</f>
        <v>350.00000000000006</v>
      </c>
      <c r="L822" s="21">
        <v>590</v>
      </c>
      <c r="M822" s="21">
        <v>660</v>
      </c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</row>
    <row r="823" spans="1:23" s="26" customFormat="1" ht="40.5" customHeight="1" x14ac:dyDescent="0.2">
      <c r="A823" s="106" t="s">
        <v>2089</v>
      </c>
      <c r="B823" s="168" t="s">
        <v>726</v>
      </c>
      <c r="C823" s="49" t="s">
        <v>132</v>
      </c>
      <c r="D823" s="22">
        <v>1</v>
      </c>
      <c r="E823" s="51">
        <f>G823/11</f>
        <v>51.136363636363633</v>
      </c>
      <c r="F823" s="23">
        <f t="shared" si="299"/>
        <v>1.9555555555555555E-2</v>
      </c>
      <c r="G823" s="65">
        <f t="shared" si="299"/>
        <v>562.5</v>
      </c>
      <c r="H823" s="77">
        <v>1.048888888888889</v>
      </c>
      <c r="I823" s="71">
        <f>M823/L823</f>
        <v>1.1186440677966101</v>
      </c>
      <c r="J823" s="23">
        <f>11/K823</f>
        <v>1.9555555555555555E-2</v>
      </c>
      <c r="K823" s="65">
        <f>M823/(H823*I823)</f>
        <v>562.5</v>
      </c>
      <c r="L823" s="21">
        <v>590</v>
      </c>
      <c r="M823" s="21">
        <v>660</v>
      </c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</row>
    <row r="824" spans="1:23" s="26" customFormat="1" ht="33" customHeight="1" x14ac:dyDescent="0.2">
      <c r="A824" s="106"/>
      <c r="B824" s="169" t="s">
        <v>734</v>
      </c>
      <c r="C824" s="67"/>
      <c r="D824" s="38"/>
      <c r="E824" s="38"/>
      <c r="F824" s="28"/>
      <c r="G824" s="28"/>
      <c r="H824" s="225"/>
      <c r="I824" s="63"/>
      <c r="J824" s="63"/>
      <c r="K824" s="63"/>
      <c r="L824" s="63"/>
      <c r="M824" s="63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</row>
    <row r="825" spans="1:23" s="26" customFormat="1" ht="39.75" customHeight="1" x14ac:dyDescent="0.2">
      <c r="A825" s="106" t="s">
        <v>2090</v>
      </c>
      <c r="B825" s="168" t="s">
        <v>760</v>
      </c>
      <c r="C825" s="21" t="s">
        <v>167</v>
      </c>
      <c r="D825" s="22">
        <v>1</v>
      </c>
      <c r="E825" s="51">
        <f>G825/11</f>
        <v>5.4545454545454541</v>
      </c>
      <c r="F825" s="23">
        <f>J825</f>
        <v>0.18333333333333332</v>
      </c>
      <c r="G825" s="65">
        <f>K825</f>
        <v>60</v>
      </c>
      <c r="H825" s="77">
        <v>9.8333333333333339</v>
      </c>
      <c r="I825" s="71">
        <f>M825/L825</f>
        <v>1.1186440677966101</v>
      </c>
      <c r="J825" s="23">
        <f>11/K825</f>
        <v>0.18333333333333332</v>
      </c>
      <c r="K825" s="65">
        <f>M825/(H825*I825)</f>
        <v>60</v>
      </c>
      <c r="L825" s="21">
        <v>590</v>
      </c>
      <c r="M825" s="21">
        <v>660</v>
      </c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</row>
    <row r="826" spans="1:23" s="26" customFormat="1" ht="39.75" customHeight="1" x14ac:dyDescent="0.2">
      <c r="A826" s="106"/>
      <c r="B826" s="142" t="s">
        <v>3401</v>
      </c>
      <c r="C826" s="52"/>
      <c r="D826" s="38"/>
      <c r="E826" s="38"/>
      <c r="F826" s="28"/>
      <c r="G826" s="28"/>
      <c r="H826" s="225"/>
      <c r="I826" s="71"/>
      <c r="J826" s="298"/>
      <c r="K826" s="302"/>
      <c r="L826" s="297"/>
      <c r="M826" s="297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</row>
    <row r="827" spans="1:23" s="26" customFormat="1" ht="39.75" customHeight="1" x14ac:dyDescent="0.2">
      <c r="A827" s="305" t="s">
        <v>3400</v>
      </c>
      <c r="B827" s="168" t="s">
        <v>3399</v>
      </c>
      <c r="C827" s="299" t="s">
        <v>132</v>
      </c>
      <c r="D827" s="22">
        <v>1</v>
      </c>
      <c r="E827" s="301">
        <f>G827/11</f>
        <v>9.000900090008999</v>
      </c>
      <c r="F827" s="298">
        <f t="shared" ref="F827" si="300">11/G827</f>
        <v>0.11110000000000002</v>
      </c>
      <c r="G827" s="302">
        <f>K827</f>
        <v>99.009900990098998</v>
      </c>
      <c r="H827" s="303">
        <v>6.06</v>
      </c>
      <c r="I827" s="71">
        <f>M827/L827</f>
        <v>1.1000000000000001</v>
      </c>
      <c r="J827" s="298">
        <f>11/K827</f>
        <v>0.11110000000000002</v>
      </c>
      <c r="K827" s="302">
        <f>M827/(H827*I827)</f>
        <v>99.009900990098998</v>
      </c>
      <c r="L827" s="297">
        <v>600</v>
      </c>
      <c r="M827" s="297">
        <v>660</v>
      </c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</row>
    <row r="828" spans="1:23" s="26" customFormat="1" ht="38.25" customHeight="1" x14ac:dyDescent="0.2">
      <c r="A828" s="106"/>
      <c r="B828" s="170" t="s">
        <v>1473</v>
      </c>
      <c r="C828" s="53"/>
      <c r="D828" s="53"/>
      <c r="E828" s="53"/>
      <c r="F828" s="53"/>
      <c r="G828" s="53"/>
      <c r="H828" s="222"/>
      <c r="I828" s="64"/>
      <c r="J828" s="64"/>
      <c r="K828" s="64"/>
      <c r="L828" s="64"/>
      <c r="M828" s="64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</row>
    <row r="829" spans="1:23" s="26" customFormat="1" ht="38.25" customHeight="1" x14ac:dyDescent="0.2">
      <c r="A829" s="106" t="s">
        <v>2091</v>
      </c>
      <c r="B829" s="131" t="s">
        <v>530</v>
      </c>
      <c r="C829" s="21" t="s">
        <v>259</v>
      </c>
      <c r="D829" s="22">
        <v>1</v>
      </c>
      <c r="E829" s="51">
        <f t="shared" ref="E829" si="301">G829/11</f>
        <v>54.915254237288146</v>
      </c>
      <c r="F829" s="23">
        <f>11/G829</f>
        <v>1.8209876543209873E-2</v>
      </c>
      <c r="G829" s="65">
        <f>L829/H829</f>
        <v>604.06779661016958</v>
      </c>
      <c r="H829" s="77">
        <v>0.99326599326599319</v>
      </c>
      <c r="I829" s="71">
        <f>M829/L829</f>
        <v>1.1000000000000001</v>
      </c>
      <c r="J829" s="23">
        <f>11/K829</f>
        <v>1.8209876543209876E-2</v>
      </c>
      <c r="K829" s="65">
        <f>M829/(H829*I829)</f>
        <v>604.06779661016947</v>
      </c>
      <c r="L829" s="21">
        <v>600</v>
      </c>
      <c r="M829" s="21">
        <v>660</v>
      </c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</row>
    <row r="830" spans="1:23" s="26" customFormat="1" ht="45" customHeight="1" x14ac:dyDescent="0.2">
      <c r="A830" s="106" t="s">
        <v>2092</v>
      </c>
      <c r="B830" s="110" t="s">
        <v>531</v>
      </c>
      <c r="C830" s="49" t="s">
        <v>259</v>
      </c>
      <c r="D830" s="50">
        <v>1</v>
      </c>
      <c r="E830" s="51">
        <f t="shared" ref="E830:E831" si="302">G830/11</f>
        <v>54.915254237288146</v>
      </c>
      <c r="F830" s="23">
        <f t="shared" ref="F830:F831" si="303">11/G830</f>
        <v>1.8209876543209873E-2</v>
      </c>
      <c r="G830" s="65">
        <f t="shared" ref="G830:G831" si="304">L830/H830</f>
        <v>604.06779661016958</v>
      </c>
      <c r="H830" s="77">
        <v>0.99326599326599319</v>
      </c>
      <c r="I830" s="71">
        <f>M830/L830</f>
        <v>1.1000000000000001</v>
      </c>
      <c r="J830" s="23">
        <f>11/K830</f>
        <v>1.8209876543209876E-2</v>
      </c>
      <c r="K830" s="65">
        <f>M830/(H830*I830)</f>
        <v>604.06779661016947</v>
      </c>
      <c r="L830" s="21">
        <v>600</v>
      </c>
      <c r="M830" s="21">
        <v>660</v>
      </c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</row>
    <row r="831" spans="1:23" s="26" customFormat="1" ht="36" customHeight="1" x14ac:dyDescent="0.2">
      <c r="A831" s="106" t="s">
        <v>2093</v>
      </c>
      <c r="B831" s="110" t="s">
        <v>1466</v>
      </c>
      <c r="C831" s="49" t="s">
        <v>259</v>
      </c>
      <c r="D831" s="50">
        <v>1</v>
      </c>
      <c r="E831" s="51">
        <f t="shared" si="302"/>
        <v>36.97996918335901</v>
      </c>
      <c r="F831" s="23">
        <f t="shared" si="303"/>
        <v>2.7041666666666665E-2</v>
      </c>
      <c r="G831" s="65">
        <f t="shared" si="304"/>
        <v>406.77966101694915</v>
      </c>
      <c r="H831" s="77">
        <v>1.4750000000000001</v>
      </c>
      <c r="I831" s="71">
        <f>M831/L831</f>
        <v>1.1000000000000001</v>
      </c>
      <c r="J831" s="23">
        <f>11/K831</f>
        <v>2.7041666666666672E-2</v>
      </c>
      <c r="K831" s="65">
        <f>M831/(H831*I831)</f>
        <v>406.77966101694909</v>
      </c>
      <c r="L831" s="21">
        <v>600</v>
      </c>
      <c r="M831" s="21">
        <v>660</v>
      </c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</row>
    <row r="832" spans="1:23" s="26" customFormat="1" ht="36" customHeight="1" x14ac:dyDescent="0.2">
      <c r="A832" s="106"/>
      <c r="B832" s="171" t="s">
        <v>616</v>
      </c>
      <c r="C832" s="33"/>
      <c r="D832" s="33"/>
      <c r="E832" s="33"/>
      <c r="F832" s="53"/>
      <c r="G832" s="53"/>
      <c r="H832" s="222"/>
      <c r="I832" s="64"/>
      <c r="J832" s="64"/>
      <c r="K832" s="64"/>
      <c r="L832" s="64"/>
      <c r="M832" s="64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</row>
    <row r="833" spans="1:23" s="26" customFormat="1" ht="33" customHeight="1" x14ac:dyDescent="0.2">
      <c r="A833" s="106" t="s">
        <v>2094</v>
      </c>
      <c r="B833" s="125" t="s">
        <v>1172</v>
      </c>
      <c r="C833" s="49" t="s">
        <v>132</v>
      </c>
      <c r="D833" s="50">
        <v>1</v>
      </c>
      <c r="E833" s="51">
        <f t="shared" ref="E833:E864" si="305">G833/11</f>
        <v>18.181818181818183</v>
      </c>
      <c r="F833" s="23">
        <f>11/G833</f>
        <v>5.5E-2</v>
      </c>
      <c r="G833" s="65">
        <f>L833/H833</f>
        <v>200</v>
      </c>
      <c r="H833" s="77">
        <v>3</v>
      </c>
      <c r="I833" s="71">
        <f t="shared" ref="I833:I864" si="306">M833/L833</f>
        <v>1.1000000000000001</v>
      </c>
      <c r="J833" s="23">
        <f t="shared" ref="J833:J864" si="307">11/K833</f>
        <v>5.5000000000000007E-2</v>
      </c>
      <c r="K833" s="65">
        <f t="shared" ref="K833:K855" si="308">M833/(H833*I833)</f>
        <v>199.99999999999997</v>
      </c>
      <c r="L833" s="21">
        <v>600</v>
      </c>
      <c r="M833" s="21">
        <v>660</v>
      </c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</row>
    <row r="834" spans="1:23" s="26" customFormat="1" ht="30" customHeight="1" x14ac:dyDescent="0.2">
      <c r="A834" s="106" t="s">
        <v>2094</v>
      </c>
      <c r="B834" s="125" t="s">
        <v>735</v>
      </c>
      <c r="C834" s="49" t="s">
        <v>132</v>
      </c>
      <c r="D834" s="50">
        <v>1</v>
      </c>
      <c r="E834" s="51">
        <f t="shared" si="305"/>
        <v>56.135593220338983</v>
      </c>
      <c r="F834" s="23">
        <f t="shared" ref="F834:F897" si="309">11/G834</f>
        <v>1.7814009661835748E-2</v>
      </c>
      <c r="G834" s="65">
        <f t="shared" ref="G834:G864" si="310">L834/H834</f>
        <v>617.49152542372883</v>
      </c>
      <c r="H834" s="77">
        <v>0.97167325428194995</v>
      </c>
      <c r="I834" s="71">
        <f t="shared" si="306"/>
        <v>1.1000000000000001</v>
      </c>
      <c r="J834" s="23">
        <f t="shared" si="307"/>
        <v>1.7814009661835752E-2</v>
      </c>
      <c r="K834" s="65">
        <f t="shared" si="308"/>
        <v>617.49152542372872</v>
      </c>
      <c r="L834" s="21">
        <v>600</v>
      </c>
      <c r="M834" s="21">
        <v>660</v>
      </c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</row>
    <row r="835" spans="1:23" s="26" customFormat="1" ht="30" customHeight="1" x14ac:dyDescent="0.2">
      <c r="A835" s="106" t="s">
        <v>2095</v>
      </c>
      <c r="B835" s="125" t="s">
        <v>736</v>
      </c>
      <c r="C835" s="49" t="s">
        <v>132</v>
      </c>
      <c r="D835" s="22">
        <v>1</v>
      </c>
      <c r="E835" s="51">
        <f t="shared" si="305"/>
        <v>6.3235747303543919</v>
      </c>
      <c r="F835" s="23">
        <f t="shared" si="309"/>
        <v>0.15813840155945419</v>
      </c>
      <c r="G835" s="65">
        <f t="shared" si="310"/>
        <v>69.559322033898312</v>
      </c>
      <c r="H835" s="77">
        <v>8.6257309941520468</v>
      </c>
      <c r="I835" s="71">
        <f t="shared" si="306"/>
        <v>1.1000000000000001</v>
      </c>
      <c r="J835" s="23">
        <f t="shared" si="307"/>
        <v>0.15813840155945422</v>
      </c>
      <c r="K835" s="65">
        <f t="shared" si="308"/>
        <v>69.559322033898297</v>
      </c>
      <c r="L835" s="21">
        <v>600</v>
      </c>
      <c r="M835" s="21">
        <v>660</v>
      </c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</row>
    <row r="836" spans="1:23" s="26" customFormat="1" ht="30" customHeight="1" x14ac:dyDescent="0.2">
      <c r="A836" s="106" t="s">
        <v>2096</v>
      </c>
      <c r="B836" s="125" t="s">
        <v>737</v>
      </c>
      <c r="C836" s="49" t="s">
        <v>132</v>
      </c>
      <c r="D836" s="50">
        <v>1</v>
      </c>
      <c r="E836" s="51">
        <f t="shared" si="305"/>
        <v>1.4422187981510015</v>
      </c>
      <c r="F836" s="23">
        <f t="shared" si="309"/>
        <v>0.69337606837606847</v>
      </c>
      <c r="G836" s="65">
        <f t="shared" si="310"/>
        <v>15.864406779661016</v>
      </c>
      <c r="H836" s="77">
        <v>37.820512820512825</v>
      </c>
      <c r="I836" s="71">
        <f t="shared" si="306"/>
        <v>1.1000000000000001</v>
      </c>
      <c r="J836" s="23">
        <f t="shared" si="307"/>
        <v>0.69337606837606847</v>
      </c>
      <c r="K836" s="65">
        <f t="shared" si="308"/>
        <v>15.864406779661014</v>
      </c>
      <c r="L836" s="21">
        <v>600</v>
      </c>
      <c r="M836" s="21">
        <v>660</v>
      </c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</row>
    <row r="837" spans="1:23" s="26" customFormat="1" ht="30" customHeight="1" x14ac:dyDescent="0.2">
      <c r="A837" s="106" t="s">
        <v>2097</v>
      </c>
      <c r="B837" s="125" t="s">
        <v>738</v>
      </c>
      <c r="C837" s="49" t="s">
        <v>132</v>
      </c>
      <c r="D837" s="22">
        <v>1</v>
      </c>
      <c r="E837" s="51">
        <f t="shared" si="305"/>
        <v>4.2157164869029264</v>
      </c>
      <c r="F837" s="23">
        <f t="shared" si="309"/>
        <v>0.23720760233918134</v>
      </c>
      <c r="G837" s="65">
        <f t="shared" si="310"/>
        <v>46.372881355932194</v>
      </c>
      <c r="H837" s="77">
        <v>12.938596491228072</v>
      </c>
      <c r="I837" s="71">
        <f t="shared" si="306"/>
        <v>1.1000000000000001</v>
      </c>
      <c r="J837" s="23">
        <f t="shared" si="307"/>
        <v>0.23720760233918134</v>
      </c>
      <c r="K837" s="65">
        <f t="shared" si="308"/>
        <v>46.372881355932194</v>
      </c>
      <c r="L837" s="21">
        <v>600</v>
      </c>
      <c r="M837" s="21">
        <v>660</v>
      </c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</row>
    <row r="838" spans="1:23" s="26" customFormat="1" ht="30" customHeight="1" x14ac:dyDescent="0.2">
      <c r="A838" s="106" t="s">
        <v>2098</v>
      </c>
      <c r="B838" s="125" t="s">
        <v>739</v>
      </c>
      <c r="C838" s="49" t="s">
        <v>132</v>
      </c>
      <c r="D838" s="50">
        <v>1</v>
      </c>
      <c r="E838" s="51">
        <f t="shared" si="305"/>
        <v>19.414483821263481</v>
      </c>
      <c r="F838" s="23">
        <f t="shared" si="309"/>
        <v>5.150793650793651E-2</v>
      </c>
      <c r="G838" s="65">
        <f t="shared" si="310"/>
        <v>213.5593220338983</v>
      </c>
      <c r="H838" s="77">
        <v>2.8095238095238098</v>
      </c>
      <c r="I838" s="71">
        <f t="shared" si="306"/>
        <v>1.1000000000000001</v>
      </c>
      <c r="J838" s="23">
        <f t="shared" si="307"/>
        <v>5.1507936507936516E-2</v>
      </c>
      <c r="K838" s="65">
        <f t="shared" si="308"/>
        <v>213.55932203389827</v>
      </c>
      <c r="L838" s="21">
        <v>600</v>
      </c>
      <c r="M838" s="21">
        <v>660</v>
      </c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</row>
    <row r="839" spans="1:23" s="26" customFormat="1" ht="30" customHeight="1" x14ac:dyDescent="0.2">
      <c r="A839" s="106" t="s">
        <v>2099</v>
      </c>
      <c r="B839" s="125" t="s">
        <v>740</v>
      </c>
      <c r="C839" s="49" t="s">
        <v>132</v>
      </c>
      <c r="D839" s="22">
        <v>1</v>
      </c>
      <c r="E839" s="51">
        <f t="shared" si="305"/>
        <v>17.750385208012325</v>
      </c>
      <c r="F839" s="23">
        <f t="shared" si="309"/>
        <v>5.6336805555555557E-2</v>
      </c>
      <c r="G839" s="65">
        <f t="shared" si="310"/>
        <v>195.25423728813558</v>
      </c>
      <c r="H839" s="77">
        <v>3.072916666666667</v>
      </c>
      <c r="I839" s="71">
        <f t="shared" si="306"/>
        <v>1.1000000000000001</v>
      </c>
      <c r="J839" s="23">
        <f t="shared" si="307"/>
        <v>5.6336805555555564E-2</v>
      </c>
      <c r="K839" s="65">
        <f t="shared" si="308"/>
        <v>195.25423728813556</v>
      </c>
      <c r="L839" s="21">
        <v>600</v>
      </c>
      <c r="M839" s="21">
        <v>660</v>
      </c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</row>
    <row r="840" spans="1:23" s="26" customFormat="1" ht="30" customHeight="1" x14ac:dyDescent="0.2">
      <c r="A840" s="106" t="s">
        <v>2100</v>
      </c>
      <c r="B840" s="125" t="s">
        <v>741</v>
      </c>
      <c r="C840" s="49" t="s">
        <v>132</v>
      </c>
      <c r="D840" s="50">
        <v>1</v>
      </c>
      <c r="E840" s="51">
        <f t="shared" si="305"/>
        <v>14.64406779661017</v>
      </c>
      <c r="F840" s="23">
        <f t="shared" si="309"/>
        <v>6.8287037037037035E-2</v>
      </c>
      <c r="G840" s="65">
        <f t="shared" si="310"/>
        <v>161.08474576271186</v>
      </c>
      <c r="H840" s="77">
        <v>3.7247474747474749</v>
      </c>
      <c r="I840" s="71">
        <f t="shared" si="306"/>
        <v>1.1000000000000001</v>
      </c>
      <c r="J840" s="23">
        <f t="shared" si="307"/>
        <v>6.8287037037037035E-2</v>
      </c>
      <c r="K840" s="65">
        <f t="shared" si="308"/>
        <v>161.08474576271186</v>
      </c>
      <c r="L840" s="21">
        <v>600</v>
      </c>
      <c r="M840" s="21">
        <v>660</v>
      </c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</row>
    <row r="841" spans="1:23" s="26" customFormat="1" ht="30" customHeight="1" x14ac:dyDescent="0.2">
      <c r="A841" s="106" t="s">
        <v>2101</v>
      </c>
      <c r="B841" s="125" t="s">
        <v>742</v>
      </c>
      <c r="C841" s="49" t="s">
        <v>132</v>
      </c>
      <c r="D841" s="22">
        <v>1</v>
      </c>
      <c r="E841" s="51">
        <f t="shared" si="305"/>
        <v>11.537750385208012</v>
      </c>
      <c r="F841" s="23">
        <f t="shared" si="309"/>
        <v>8.6672008547008558E-2</v>
      </c>
      <c r="G841" s="65">
        <f t="shared" si="310"/>
        <v>126.91525423728812</v>
      </c>
      <c r="H841" s="77">
        <v>4.7275641025641031</v>
      </c>
      <c r="I841" s="71">
        <f t="shared" si="306"/>
        <v>1.1000000000000001</v>
      </c>
      <c r="J841" s="23">
        <f t="shared" si="307"/>
        <v>8.6672008547008558E-2</v>
      </c>
      <c r="K841" s="65">
        <f t="shared" si="308"/>
        <v>126.91525423728811</v>
      </c>
      <c r="L841" s="21">
        <v>600</v>
      </c>
      <c r="M841" s="21">
        <v>660</v>
      </c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</row>
    <row r="842" spans="1:23" s="26" customFormat="1" ht="30" customHeight="1" x14ac:dyDescent="0.2">
      <c r="A842" s="106" t="s">
        <v>2102</v>
      </c>
      <c r="B842" s="125" t="s">
        <v>743</v>
      </c>
      <c r="C842" s="49" t="s">
        <v>132</v>
      </c>
      <c r="D842" s="50">
        <v>1</v>
      </c>
      <c r="E842" s="51">
        <f t="shared" si="305"/>
        <v>28.178736517719571</v>
      </c>
      <c r="F842" s="23">
        <f t="shared" si="309"/>
        <v>3.5487751531058619E-2</v>
      </c>
      <c r="G842" s="65">
        <f t="shared" si="310"/>
        <v>309.96610169491527</v>
      </c>
      <c r="H842" s="77">
        <v>1.9356955380577427</v>
      </c>
      <c r="I842" s="71">
        <f t="shared" si="306"/>
        <v>1.1000000000000001</v>
      </c>
      <c r="J842" s="23">
        <f t="shared" si="307"/>
        <v>3.5487751531058619E-2</v>
      </c>
      <c r="K842" s="65">
        <f t="shared" si="308"/>
        <v>309.96610169491527</v>
      </c>
      <c r="L842" s="21">
        <v>600</v>
      </c>
      <c r="M842" s="21">
        <v>660</v>
      </c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</row>
    <row r="843" spans="1:23" s="26" customFormat="1" ht="30" customHeight="1" x14ac:dyDescent="0.2">
      <c r="A843" s="106" t="s">
        <v>2103</v>
      </c>
      <c r="B843" s="125" t="s">
        <v>744</v>
      </c>
      <c r="C843" s="49" t="s">
        <v>132</v>
      </c>
      <c r="D843" s="22">
        <v>1</v>
      </c>
      <c r="E843" s="51">
        <f t="shared" si="305"/>
        <v>30.397534668721107</v>
      </c>
      <c r="F843" s="23">
        <f t="shared" si="309"/>
        <v>3.2897404703974051E-2</v>
      </c>
      <c r="G843" s="65">
        <f t="shared" si="310"/>
        <v>334.37288135593218</v>
      </c>
      <c r="H843" s="77">
        <v>1.7944038929440391</v>
      </c>
      <c r="I843" s="71">
        <f t="shared" si="306"/>
        <v>1.1000000000000001</v>
      </c>
      <c r="J843" s="23">
        <f t="shared" si="307"/>
        <v>3.2897404703974058E-2</v>
      </c>
      <c r="K843" s="65">
        <f t="shared" si="308"/>
        <v>334.37288135593212</v>
      </c>
      <c r="L843" s="21">
        <v>600</v>
      </c>
      <c r="M843" s="21">
        <v>660</v>
      </c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</row>
    <row r="844" spans="1:23" s="26" customFormat="1" ht="30" customHeight="1" x14ac:dyDescent="0.2">
      <c r="A844" s="106" t="s">
        <v>2104</v>
      </c>
      <c r="B844" s="125" t="s">
        <v>745</v>
      </c>
      <c r="C844" s="49" t="s">
        <v>132</v>
      </c>
      <c r="D844" s="50">
        <v>1</v>
      </c>
      <c r="E844" s="51">
        <f t="shared" si="305"/>
        <v>27.734976887519259</v>
      </c>
      <c r="F844" s="23">
        <f t="shared" si="309"/>
        <v>3.6055555555555556E-2</v>
      </c>
      <c r="G844" s="65">
        <f t="shared" si="310"/>
        <v>305.08474576271186</v>
      </c>
      <c r="H844" s="77">
        <v>1.9666666666666666</v>
      </c>
      <c r="I844" s="71">
        <f t="shared" si="306"/>
        <v>1.1000000000000001</v>
      </c>
      <c r="J844" s="23">
        <f t="shared" si="307"/>
        <v>3.6055555555555556E-2</v>
      </c>
      <c r="K844" s="65">
        <f t="shared" si="308"/>
        <v>305.08474576271186</v>
      </c>
      <c r="L844" s="21">
        <v>600</v>
      </c>
      <c r="M844" s="21">
        <v>660</v>
      </c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</row>
    <row r="845" spans="1:23" s="26" customFormat="1" ht="30" customHeight="1" x14ac:dyDescent="0.2">
      <c r="A845" s="106" t="s">
        <v>2105</v>
      </c>
      <c r="B845" s="125" t="s">
        <v>746</v>
      </c>
      <c r="C845" s="49" t="s">
        <v>132</v>
      </c>
      <c r="D845" s="22">
        <v>1</v>
      </c>
      <c r="E845" s="51">
        <f t="shared" si="305"/>
        <v>35.278890600924498</v>
      </c>
      <c r="F845" s="23">
        <f t="shared" si="309"/>
        <v>2.8345562543675751E-2</v>
      </c>
      <c r="G845" s="65">
        <f t="shared" si="310"/>
        <v>388.06779661016947</v>
      </c>
      <c r="H845" s="77">
        <v>1.5461215932914047</v>
      </c>
      <c r="I845" s="71">
        <f t="shared" si="306"/>
        <v>1.1000000000000001</v>
      </c>
      <c r="J845" s="23">
        <f t="shared" si="307"/>
        <v>2.8345562543675751E-2</v>
      </c>
      <c r="K845" s="65">
        <f t="shared" si="308"/>
        <v>388.06779661016947</v>
      </c>
      <c r="L845" s="21">
        <v>600</v>
      </c>
      <c r="M845" s="21">
        <v>660</v>
      </c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</row>
    <row r="846" spans="1:23" s="26" customFormat="1" ht="30" customHeight="1" x14ac:dyDescent="0.2">
      <c r="A846" s="106" t="s">
        <v>2106</v>
      </c>
      <c r="B846" s="125" t="s">
        <v>747</v>
      </c>
      <c r="C846" s="49" t="s">
        <v>132</v>
      </c>
      <c r="D846" s="50">
        <v>1</v>
      </c>
      <c r="E846" s="51">
        <f t="shared" si="305"/>
        <v>16.640986132511557</v>
      </c>
      <c r="F846" s="23">
        <f t="shared" si="309"/>
        <v>6.0092592592592586E-2</v>
      </c>
      <c r="G846" s="65">
        <f t="shared" si="310"/>
        <v>183.05084745762713</v>
      </c>
      <c r="H846" s="77">
        <v>3.2777777777777777</v>
      </c>
      <c r="I846" s="71">
        <f t="shared" si="306"/>
        <v>1.1000000000000001</v>
      </c>
      <c r="J846" s="23">
        <f t="shared" si="307"/>
        <v>6.0092592592592586E-2</v>
      </c>
      <c r="K846" s="65">
        <f t="shared" si="308"/>
        <v>183.05084745762713</v>
      </c>
      <c r="L846" s="21">
        <v>600</v>
      </c>
      <c r="M846" s="21">
        <v>660</v>
      </c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</row>
    <row r="847" spans="1:23" s="26" customFormat="1" ht="30" customHeight="1" x14ac:dyDescent="0.2">
      <c r="A847" s="106" t="s">
        <v>2107</v>
      </c>
      <c r="B847" s="125" t="s">
        <v>748</v>
      </c>
      <c r="C847" s="49" t="s">
        <v>132</v>
      </c>
      <c r="D847" s="22">
        <v>1</v>
      </c>
      <c r="E847" s="51">
        <f t="shared" si="305"/>
        <v>12.758089368258858</v>
      </c>
      <c r="F847" s="23">
        <f t="shared" si="309"/>
        <v>7.8381642512077299E-2</v>
      </c>
      <c r="G847" s="65">
        <f t="shared" si="310"/>
        <v>140.33898305084745</v>
      </c>
      <c r="H847" s="77">
        <v>4.27536231884058</v>
      </c>
      <c r="I847" s="71">
        <f t="shared" si="306"/>
        <v>1.1000000000000001</v>
      </c>
      <c r="J847" s="23">
        <f t="shared" si="307"/>
        <v>7.8381642512077312E-2</v>
      </c>
      <c r="K847" s="65">
        <f t="shared" si="308"/>
        <v>140.33898305084742</v>
      </c>
      <c r="L847" s="21">
        <v>600</v>
      </c>
      <c r="M847" s="21">
        <v>660</v>
      </c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</row>
    <row r="848" spans="1:23" s="26" customFormat="1" ht="30" customHeight="1" x14ac:dyDescent="0.2">
      <c r="A848" s="106" t="s">
        <v>2108</v>
      </c>
      <c r="B848" s="125" t="s">
        <v>749</v>
      </c>
      <c r="C848" s="49" t="s">
        <v>132</v>
      </c>
      <c r="D848" s="50">
        <v>1</v>
      </c>
      <c r="E848" s="51">
        <f t="shared" si="305"/>
        <v>20.302003081664097</v>
      </c>
      <c r="F848" s="23">
        <f t="shared" si="309"/>
        <v>4.9256223436551304E-2</v>
      </c>
      <c r="G848" s="65">
        <f t="shared" si="310"/>
        <v>223.32203389830508</v>
      </c>
      <c r="H848" s="77">
        <v>2.6867030965391621</v>
      </c>
      <c r="I848" s="71">
        <f t="shared" si="306"/>
        <v>1.1000000000000001</v>
      </c>
      <c r="J848" s="23">
        <f t="shared" si="307"/>
        <v>4.9256223436551304E-2</v>
      </c>
      <c r="K848" s="65">
        <f t="shared" si="308"/>
        <v>223.32203389830508</v>
      </c>
      <c r="L848" s="21">
        <v>600</v>
      </c>
      <c r="M848" s="21">
        <v>660</v>
      </c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</row>
    <row r="849" spans="1:23" s="26" customFormat="1" ht="30" customHeight="1" x14ac:dyDescent="0.2">
      <c r="A849" s="106" t="s">
        <v>2109</v>
      </c>
      <c r="B849" s="125" t="s">
        <v>750</v>
      </c>
      <c r="C849" s="49" t="s">
        <v>132</v>
      </c>
      <c r="D849" s="22">
        <v>1</v>
      </c>
      <c r="E849" s="51">
        <f t="shared" si="305"/>
        <v>10.206471494607088</v>
      </c>
      <c r="F849" s="23">
        <f t="shared" si="309"/>
        <v>9.7977053140096623E-2</v>
      </c>
      <c r="G849" s="65">
        <f t="shared" si="310"/>
        <v>112.27118644067797</v>
      </c>
      <c r="H849" s="77">
        <v>5.3442028985507246</v>
      </c>
      <c r="I849" s="71">
        <f t="shared" si="306"/>
        <v>1.1000000000000001</v>
      </c>
      <c r="J849" s="23">
        <f t="shared" si="307"/>
        <v>9.7977053140096637E-2</v>
      </c>
      <c r="K849" s="65">
        <f t="shared" si="308"/>
        <v>112.27118644067795</v>
      </c>
      <c r="L849" s="21">
        <v>600</v>
      </c>
      <c r="M849" s="21">
        <v>660</v>
      </c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</row>
    <row r="850" spans="1:23" s="26" customFormat="1" ht="30" customHeight="1" x14ac:dyDescent="0.2">
      <c r="A850" s="106" t="s">
        <v>2110</v>
      </c>
      <c r="B850" s="125" t="s">
        <v>751</v>
      </c>
      <c r="C850" s="49" t="s">
        <v>132</v>
      </c>
      <c r="D850" s="50">
        <v>1</v>
      </c>
      <c r="E850" s="51">
        <f t="shared" si="305"/>
        <v>8.9861325115562387</v>
      </c>
      <c r="F850" s="23">
        <f t="shared" si="309"/>
        <v>0.11128257887517148</v>
      </c>
      <c r="G850" s="65">
        <f t="shared" si="310"/>
        <v>98.847457627118629</v>
      </c>
      <c r="H850" s="77">
        <v>6.0699588477366264</v>
      </c>
      <c r="I850" s="71">
        <f t="shared" si="306"/>
        <v>1.1000000000000001</v>
      </c>
      <c r="J850" s="23">
        <f t="shared" si="307"/>
        <v>0.1112825788751715</v>
      </c>
      <c r="K850" s="65">
        <f t="shared" si="308"/>
        <v>98.847457627118615</v>
      </c>
      <c r="L850" s="21">
        <v>600</v>
      </c>
      <c r="M850" s="21">
        <v>660</v>
      </c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</row>
    <row r="851" spans="1:23" s="26" customFormat="1" ht="30" customHeight="1" x14ac:dyDescent="0.2">
      <c r="A851" s="106" t="s">
        <v>2111</v>
      </c>
      <c r="B851" s="125" t="s">
        <v>752</v>
      </c>
      <c r="C851" s="49" t="s">
        <v>132</v>
      </c>
      <c r="D851" s="22">
        <v>1</v>
      </c>
      <c r="E851" s="51">
        <f t="shared" si="305"/>
        <v>98.736517719568567</v>
      </c>
      <c r="F851" s="23">
        <f t="shared" si="309"/>
        <v>1.012796504369538E-2</v>
      </c>
      <c r="G851" s="65">
        <f t="shared" si="310"/>
        <v>1086.1016949152543</v>
      </c>
      <c r="H851" s="77">
        <v>0.55243445692883897</v>
      </c>
      <c r="I851" s="71">
        <f t="shared" si="306"/>
        <v>1.1000000000000001</v>
      </c>
      <c r="J851" s="23">
        <f t="shared" si="307"/>
        <v>1.0127965043695383E-2</v>
      </c>
      <c r="K851" s="65">
        <f t="shared" si="308"/>
        <v>1086.101694915254</v>
      </c>
      <c r="L851" s="21">
        <v>600</v>
      </c>
      <c r="M851" s="21">
        <v>660</v>
      </c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</row>
    <row r="852" spans="1:23" s="26" customFormat="1" ht="30" customHeight="1" x14ac:dyDescent="0.2">
      <c r="A852" s="106" t="s">
        <v>2112</v>
      </c>
      <c r="B852" s="125" t="s">
        <v>753</v>
      </c>
      <c r="C852" s="49" t="s">
        <v>132</v>
      </c>
      <c r="D852" s="50">
        <v>1</v>
      </c>
      <c r="E852" s="51">
        <f t="shared" si="305"/>
        <v>65.121725731895225</v>
      </c>
      <c r="F852" s="23">
        <f t="shared" si="309"/>
        <v>1.535585841378005E-2</v>
      </c>
      <c r="G852" s="65">
        <f t="shared" si="310"/>
        <v>716.33898305084745</v>
      </c>
      <c r="H852" s="77">
        <v>0.8375922771152754</v>
      </c>
      <c r="I852" s="71">
        <f t="shared" si="306"/>
        <v>1.1000000000000001</v>
      </c>
      <c r="J852" s="23">
        <f t="shared" si="307"/>
        <v>1.5355858413780052E-2</v>
      </c>
      <c r="K852" s="65">
        <f t="shared" si="308"/>
        <v>716.33898305084733</v>
      </c>
      <c r="L852" s="21">
        <v>600</v>
      </c>
      <c r="M852" s="21">
        <v>660</v>
      </c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</row>
    <row r="853" spans="1:23" s="26" customFormat="1" ht="30" customHeight="1" x14ac:dyDescent="0.2">
      <c r="A853" s="106" t="s">
        <v>2113</v>
      </c>
      <c r="B853" s="125" t="s">
        <v>754</v>
      </c>
      <c r="C853" s="49" t="s">
        <v>132</v>
      </c>
      <c r="D853" s="22">
        <v>1</v>
      </c>
      <c r="E853" s="51">
        <f t="shared" si="305"/>
        <v>142.0030816640986</v>
      </c>
      <c r="F853" s="23">
        <f t="shared" si="309"/>
        <v>7.0421006944444446E-3</v>
      </c>
      <c r="G853" s="65">
        <f t="shared" si="310"/>
        <v>1562.0338983050847</v>
      </c>
      <c r="H853" s="77">
        <v>0.38411458333333337</v>
      </c>
      <c r="I853" s="71">
        <f t="shared" si="306"/>
        <v>1.1000000000000001</v>
      </c>
      <c r="J853" s="23">
        <f t="shared" si="307"/>
        <v>7.0421006944444454E-3</v>
      </c>
      <c r="K853" s="65">
        <f t="shared" si="308"/>
        <v>1562.0338983050844</v>
      </c>
      <c r="L853" s="21">
        <v>600</v>
      </c>
      <c r="M853" s="21">
        <v>660</v>
      </c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</row>
    <row r="854" spans="1:23" s="26" customFormat="1" ht="30" customHeight="1" x14ac:dyDescent="0.2">
      <c r="A854" s="106" t="s">
        <v>2114</v>
      </c>
      <c r="B854" s="125" t="s">
        <v>755</v>
      </c>
      <c r="C854" s="49" t="s">
        <v>132</v>
      </c>
      <c r="D854" s="50">
        <v>1</v>
      </c>
      <c r="E854" s="51">
        <f t="shared" si="305"/>
        <v>13.534668721109396</v>
      </c>
      <c r="F854" s="23">
        <f t="shared" si="309"/>
        <v>7.388433515482698E-2</v>
      </c>
      <c r="G854" s="65">
        <f t="shared" si="310"/>
        <v>148.88135593220335</v>
      </c>
      <c r="H854" s="77">
        <v>4.030054644808744</v>
      </c>
      <c r="I854" s="71">
        <f t="shared" si="306"/>
        <v>1.1000000000000001</v>
      </c>
      <c r="J854" s="23">
        <f t="shared" si="307"/>
        <v>7.388433515482698E-2</v>
      </c>
      <c r="K854" s="65">
        <f t="shared" si="308"/>
        <v>148.88135593220335</v>
      </c>
      <c r="L854" s="21">
        <v>600</v>
      </c>
      <c r="M854" s="21">
        <v>660</v>
      </c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</row>
    <row r="855" spans="1:23" s="26" customFormat="1" ht="30" customHeight="1" x14ac:dyDescent="0.2">
      <c r="A855" s="106" t="s">
        <v>2115</v>
      </c>
      <c r="B855" s="125" t="s">
        <v>870</v>
      </c>
      <c r="C855" s="49" t="s">
        <v>132</v>
      </c>
      <c r="D855" s="22">
        <v>1</v>
      </c>
      <c r="E855" s="51">
        <f t="shared" si="305"/>
        <v>33.281972265023114</v>
      </c>
      <c r="F855" s="23">
        <f t="shared" si="309"/>
        <v>3.0046296296296293E-2</v>
      </c>
      <c r="G855" s="65">
        <f t="shared" si="310"/>
        <v>366.10169491525426</v>
      </c>
      <c r="H855" s="77">
        <v>1.6388888888888888</v>
      </c>
      <c r="I855" s="71">
        <f t="shared" si="306"/>
        <v>1.1000000000000001</v>
      </c>
      <c r="J855" s="23">
        <f t="shared" si="307"/>
        <v>3.0046296296296293E-2</v>
      </c>
      <c r="K855" s="65">
        <f t="shared" si="308"/>
        <v>366.10169491525426</v>
      </c>
      <c r="L855" s="21">
        <v>600</v>
      </c>
      <c r="M855" s="21">
        <v>660</v>
      </c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</row>
    <row r="856" spans="1:23" s="26" customFormat="1" ht="30" customHeight="1" x14ac:dyDescent="0.2">
      <c r="A856" s="106" t="s">
        <v>2116</v>
      </c>
      <c r="B856" s="125" t="s">
        <v>871</v>
      </c>
      <c r="C856" s="49" t="s">
        <v>132</v>
      </c>
      <c r="D856" s="50">
        <v>1</v>
      </c>
      <c r="E856" s="51">
        <f t="shared" si="305"/>
        <v>27.97202797202797</v>
      </c>
      <c r="F856" s="23">
        <f t="shared" si="309"/>
        <v>3.5750000000000004E-2</v>
      </c>
      <c r="G856" s="65">
        <f t="shared" si="310"/>
        <v>307.69230769230768</v>
      </c>
      <c r="H856" s="77">
        <v>1.95</v>
      </c>
      <c r="I856" s="71">
        <f t="shared" si="306"/>
        <v>1.1000000000000001</v>
      </c>
      <c r="J856" s="23">
        <f t="shared" si="307"/>
        <v>3.9285714285714285E-2</v>
      </c>
      <c r="K856" s="65">
        <v>280</v>
      </c>
      <c r="L856" s="21">
        <v>600</v>
      </c>
      <c r="M856" s="21">
        <v>660</v>
      </c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</row>
    <row r="857" spans="1:23" s="26" customFormat="1" ht="30" customHeight="1" x14ac:dyDescent="0.2">
      <c r="A857" s="106" t="s">
        <v>2117</v>
      </c>
      <c r="B857" s="125" t="s">
        <v>756</v>
      </c>
      <c r="C857" s="49" t="s">
        <v>132</v>
      </c>
      <c r="D857" s="22">
        <v>1</v>
      </c>
      <c r="E857" s="51">
        <f t="shared" si="305"/>
        <v>27.735917088098518</v>
      </c>
      <c r="F857" s="23">
        <f t="shared" si="309"/>
        <v>3.6054333333333334E-2</v>
      </c>
      <c r="G857" s="65">
        <f t="shared" si="310"/>
        <v>305.09508796908369</v>
      </c>
      <c r="H857" s="77">
        <v>1.9665999999999999</v>
      </c>
      <c r="I857" s="71">
        <f t="shared" si="306"/>
        <v>1.1000000000000001</v>
      </c>
      <c r="J857" s="23">
        <f t="shared" si="307"/>
        <v>3.6054333333333334E-2</v>
      </c>
      <c r="K857" s="65">
        <f t="shared" ref="K857:K864" si="311">M857/(H857*I857)</f>
        <v>305.09508796908369</v>
      </c>
      <c r="L857" s="21">
        <v>600</v>
      </c>
      <c r="M857" s="21">
        <v>660</v>
      </c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</row>
    <row r="858" spans="1:23" s="26" customFormat="1" ht="30" customHeight="1" x14ac:dyDescent="0.2">
      <c r="A858" s="106" t="s">
        <v>2118</v>
      </c>
      <c r="B858" s="125" t="s">
        <v>757</v>
      </c>
      <c r="C858" s="49" t="s">
        <v>132</v>
      </c>
      <c r="D858" s="50">
        <v>1</v>
      </c>
      <c r="E858" s="51">
        <f t="shared" si="305"/>
        <v>4.7704160246533123</v>
      </c>
      <c r="F858" s="23">
        <f t="shared" si="309"/>
        <v>0.20962532299741604</v>
      </c>
      <c r="G858" s="65">
        <f t="shared" si="310"/>
        <v>52.474576271186436</v>
      </c>
      <c r="H858" s="77">
        <v>11.434108527131784</v>
      </c>
      <c r="I858" s="71">
        <f t="shared" si="306"/>
        <v>1.1000000000000001</v>
      </c>
      <c r="J858" s="23">
        <f t="shared" si="307"/>
        <v>0.20962532299741604</v>
      </c>
      <c r="K858" s="65">
        <f t="shared" si="311"/>
        <v>52.474576271186436</v>
      </c>
      <c r="L858" s="21">
        <v>600</v>
      </c>
      <c r="M858" s="21">
        <v>660</v>
      </c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</row>
    <row r="859" spans="1:23" s="26" customFormat="1" ht="30" customHeight="1" x14ac:dyDescent="0.2">
      <c r="A859" s="106" t="s">
        <v>2119</v>
      </c>
      <c r="B859" s="125" t="s">
        <v>791</v>
      </c>
      <c r="C859" s="49" t="s">
        <v>132</v>
      </c>
      <c r="D859" s="22">
        <v>1</v>
      </c>
      <c r="E859" s="51">
        <f t="shared" si="305"/>
        <v>72.110939907550076</v>
      </c>
      <c r="F859" s="23">
        <f t="shared" si="309"/>
        <v>1.3867521367521368E-2</v>
      </c>
      <c r="G859" s="65">
        <f t="shared" si="310"/>
        <v>793.22033898305085</v>
      </c>
      <c r="H859" s="77">
        <v>0.75641025641025639</v>
      </c>
      <c r="I859" s="71">
        <f t="shared" si="306"/>
        <v>1.1000000000000001</v>
      </c>
      <c r="J859" s="23">
        <f t="shared" si="307"/>
        <v>1.3867521367521368E-2</v>
      </c>
      <c r="K859" s="65">
        <f t="shared" si="311"/>
        <v>793.22033898305085</v>
      </c>
      <c r="L859" s="21">
        <v>600</v>
      </c>
      <c r="M859" s="21">
        <v>660</v>
      </c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</row>
    <row r="860" spans="1:23" s="26" customFormat="1" ht="30" customHeight="1" x14ac:dyDescent="0.2">
      <c r="A860" s="106" t="s">
        <v>2120</v>
      </c>
      <c r="B860" s="125" t="s">
        <v>792</v>
      </c>
      <c r="C860" s="49" t="s">
        <v>132</v>
      </c>
      <c r="D860" s="50">
        <v>1</v>
      </c>
      <c r="E860" s="51">
        <f t="shared" si="305"/>
        <v>53.251155624036983</v>
      </c>
      <c r="F860" s="23">
        <f t="shared" si="309"/>
        <v>1.8778935185185183E-2</v>
      </c>
      <c r="G860" s="65">
        <f t="shared" si="310"/>
        <v>585.76271186440681</v>
      </c>
      <c r="H860" s="77">
        <v>1.0243055555555556</v>
      </c>
      <c r="I860" s="71">
        <f t="shared" si="306"/>
        <v>1.1000000000000001</v>
      </c>
      <c r="J860" s="23">
        <f t="shared" si="307"/>
        <v>1.8778935185185183E-2</v>
      </c>
      <c r="K860" s="65">
        <f t="shared" si="311"/>
        <v>585.76271186440681</v>
      </c>
      <c r="L860" s="21">
        <v>600</v>
      </c>
      <c r="M860" s="21">
        <v>660</v>
      </c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</row>
    <row r="861" spans="1:23" s="26" customFormat="1" ht="30" customHeight="1" x14ac:dyDescent="0.2">
      <c r="A861" s="106" t="s">
        <v>2121</v>
      </c>
      <c r="B861" s="125" t="s">
        <v>790</v>
      </c>
      <c r="C861" s="49" t="s">
        <v>132</v>
      </c>
      <c r="D861" s="22">
        <v>1</v>
      </c>
      <c r="E861" s="51">
        <f t="shared" si="305"/>
        <v>41.047765793528505</v>
      </c>
      <c r="F861" s="23">
        <f t="shared" si="309"/>
        <v>2.4361861861861862E-2</v>
      </c>
      <c r="G861" s="65">
        <f t="shared" si="310"/>
        <v>451.52542372881356</v>
      </c>
      <c r="H861" s="77">
        <v>1.3288288288288288</v>
      </c>
      <c r="I861" s="71">
        <f t="shared" si="306"/>
        <v>1.1000000000000001</v>
      </c>
      <c r="J861" s="23">
        <f t="shared" si="307"/>
        <v>2.4361861861861862E-2</v>
      </c>
      <c r="K861" s="65">
        <f t="shared" si="311"/>
        <v>451.52542372881356</v>
      </c>
      <c r="L861" s="21">
        <v>600</v>
      </c>
      <c r="M861" s="21">
        <v>660</v>
      </c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</row>
    <row r="862" spans="1:23" s="26" customFormat="1" ht="30" customHeight="1" x14ac:dyDescent="0.2">
      <c r="A862" s="106" t="s">
        <v>2122</v>
      </c>
      <c r="B862" s="125" t="s">
        <v>789</v>
      </c>
      <c r="C862" s="49" t="s">
        <v>132</v>
      </c>
      <c r="D862" s="50">
        <v>1</v>
      </c>
      <c r="E862" s="51">
        <f t="shared" si="305"/>
        <v>31.063174114021567</v>
      </c>
      <c r="F862" s="23">
        <f t="shared" si="309"/>
        <v>3.2192460317460321E-2</v>
      </c>
      <c r="G862" s="65">
        <f t="shared" si="310"/>
        <v>341.69491525423723</v>
      </c>
      <c r="H862" s="77">
        <v>1.7559523809523812</v>
      </c>
      <c r="I862" s="71">
        <f t="shared" si="306"/>
        <v>1.1000000000000001</v>
      </c>
      <c r="J862" s="23">
        <f t="shared" si="307"/>
        <v>3.2192460317460321E-2</v>
      </c>
      <c r="K862" s="65">
        <f t="shared" si="311"/>
        <v>341.69491525423723</v>
      </c>
      <c r="L862" s="21">
        <v>600</v>
      </c>
      <c r="M862" s="21">
        <v>660</v>
      </c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</row>
    <row r="863" spans="1:23" s="26" customFormat="1" ht="30" customHeight="1" x14ac:dyDescent="0.2">
      <c r="A863" s="106" t="s">
        <v>2123</v>
      </c>
      <c r="B863" s="125" t="s">
        <v>973</v>
      </c>
      <c r="C863" s="49" t="s">
        <v>132</v>
      </c>
      <c r="D863" s="50">
        <v>1</v>
      </c>
      <c r="E863" s="51">
        <f t="shared" si="305"/>
        <v>13.986013986013985</v>
      </c>
      <c r="F863" s="23">
        <f t="shared" si="309"/>
        <v>7.1500000000000008E-2</v>
      </c>
      <c r="G863" s="65">
        <f t="shared" si="310"/>
        <v>153.84615384615384</v>
      </c>
      <c r="H863" s="77">
        <v>3.9</v>
      </c>
      <c r="I863" s="71">
        <f t="shared" si="306"/>
        <v>1.1000000000000001</v>
      </c>
      <c r="J863" s="23">
        <f t="shared" si="307"/>
        <v>7.1500000000000008E-2</v>
      </c>
      <c r="K863" s="65">
        <f t="shared" si="311"/>
        <v>153.84615384615384</v>
      </c>
      <c r="L863" s="21">
        <v>600</v>
      </c>
      <c r="M863" s="21">
        <v>660</v>
      </c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</row>
    <row r="864" spans="1:23" s="26" customFormat="1" ht="30" customHeight="1" x14ac:dyDescent="0.2">
      <c r="A864" s="106" t="s">
        <v>2124</v>
      </c>
      <c r="B864" s="125" t="s">
        <v>974</v>
      </c>
      <c r="C864" s="49" t="s">
        <v>132</v>
      </c>
      <c r="D864" s="50">
        <v>1</v>
      </c>
      <c r="E864" s="51">
        <f t="shared" si="305"/>
        <v>58.904378558806201</v>
      </c>
      <c r="F864" s="23">
        <f t="shared" si="309"/>
        <v>1.6976666666666668E-2</v>
      </c>
      <c r="G864" s="65">
        <f t="shared" si="310"/>
        <v>647.94816414686818</v>
      </c>
      <c r="H864" s="77">
        <v>0.92600000000000005</v>
      </c>
      <c r="I864" s="71">
        <f t="shared" si="306"/>
        <v>1.1000000000000001</v>
      </c>
      <c r="J864" s="23">
        <f t="shared" si="307"/>
        <v>1.6976666666666668E-2</v>
      </c>
      <c r="K864" s="65">
        <f t="shared" si="311"/>
        <v>647.94816414686818</v>
      </c>
      <c r="L864" s="21">
        <v>600</v>
      </c>
      <c r="M864" s="21">
        <v>660</v>
      </c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</row>
    <row r="865" spans="1:23" s="26" customFormat="1" ht="30" customHeight="1" x14ac:dyDescent="0.2">
      <c r="A865" s="106"/>
      <c r="B865" s="172" t="s">
        <v>732</v>
      </c>
      <c r="C865" s="33"/>
      <c r="D865" s="53"/>
      <c r="E865" s="53"/>
      <c r="F865" s="53"/>
      <c r="G865" s="53"/>
      <c r="H865" s="222"/>
      <c r="I865" s="64"/>
      <c r="J865" s="64"/>
      <c r="K865" s="64"/>
      <c r="L865" s="64"/>
      <c r="M865" s="64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</row>
    <row r="866" spans="1:23" s="26" customFormat="1" ht="30" customHeight="1" x14ac:dyDescent="0.2">
      <c r="A866" s="106" t="s">
        <v>2125</v>
      </c>
      <c r="B866" s="125" t="s">
        <v>517</v>
      </c>
      <c r="C866" s="49" t="s">
        <v>132</v>
      </c>
      <c r="D866" s="50">
        <v>1</v>
      </c>
      <c r="E866" s="51">
        <f t="shared" ref="E866" si="312">G866/11</f>
        <v>1.4644067796610167</v>
      </c>
      <c r="F866" s="23">
        <f t="shared" si="309"/>
        <v>0.68287037037037046</v>
      </c>
      <c r="G866" s="65">
        <f t="shared" ref="G866" si="313">L866/H866</f>
        <v>16.108474576271185</v>
      </c>
      <c r="H866" s="77">
        <v>37.247474747474747</v>
      </c>
      <c r="I866" s="71">
        <f t="shared" ref="I866:I877" si="314">M866/L866</f>
        <v>1.1000000000000001</v>
      </c>
      <c r="J866" s="23">
        <f t="shared" ref="J866:J877" si="315">11/K866</f>
        <v>0.68287037037037046</v>
      </c>
      <c r="K866" s="65">
        <f t="shared" ref="K866:K877" si="316">M866/(H866*I866)</f>
        <v>16.108474576271185</v>
      </c>
      <c r="L866" s="21">
        <v>600</v>
      </c>
      <c r="M866" s="21">
        <v>660</v>
      </c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</row>
    <row r="867" spans="1:23" s="26" customFormat="1" ht="30" customHeight="1" x14ac:dyDescent="0.2">
      <c r="A867" s="106" t="s">
        <v>2126</v>
      </c>
      <c r="B867" s="173" t="s">
        <v>704</v>
      </c>
      <c r="C867" s="49" t="s">
        <v>536</v>
      </c>
      <c r="D867" s="22">
        <v>1</v>
      </c>
      <c r="E867" s="51">
        <f t="shared" ref="E867:E877" si="317">G867/11</f>
        <v>38.828967642526962</v>
      </c>
      <c r="F867" s="23">
        <f t="shared" si="309"/>
        <v>2.5753968253968255E-2</v>
      </c>
      <c r="G867" s="65">
        <f t="shared" ref="G867:G877" si="318">L867/H867</f>
        <v>427.11864406779659</v>
      </c>
      <c r="H867" s="77">
        <v>1.4047619047619049</v>
      </c>
      <c r="I867" s="71">
        <f t="shared" si="314"/>
        <v>1.1000000000000001</v>
      </c>
      <c r="J867" s="23">
        <f t="shared" si="315"/>
        <v>2.5753968253968258E-2</v>
      </c>
      <c r="K867" s="65">
        <f t="shared" si="316"/>
        <v>427.11864406779654</v>
      </c>
      <c r="L867" s="21">
        <v>600</v>
      </c>
      <c r="M867" s="21">
        <v>660</v>
      </c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</row>
    <row r="868" spans="1:23" s="26" customFormat="1" ht="30" customHeight="1" x14ac:dyDescent="0.2">
      <c r="A868" s="106" t="s">
        <v>2127</v>
      </c>
      <c r="B868" s="173" t="s">
        <v>537</v>
      </c>
      <c r="C868" s="49" t="s">
        <v>132</v>
      </c>
      <c r="D868" s="50">
        <v>1</v>
      </c>
      <c r="E868" s="51">
        <f t="shared" si="317"/>
        <v>244.06779661016947</v>
      </c>
      <c r="F868" s="23">
        <f t="shared" si="309"/>
        <v>4.0972222222222226E-3</v>
      </c>
      <c r="G868" s="65">
        <f t="shared" si="318"/>
        <v>2684.7457627118642</v>
      </c>
      <c r="H868" s="77">
        <v>0.22348484848484851</v>
      </c>
      <c r="I868" s="71">
        <f t="shared" si="314"/>
        <v>1.1000000000000001</v>
      </c>
      <c r="J868" s="23">
        <f t="shared" si="315"/>
        <v>4.0972222222222235E-3</v>
      </c>
      <c r="K868" s="65">
        <f t="shared" si="316"/>
        <v>2684.7457627118638</v>
      </c>
      <c r="L868" s="21">
        <v>600</v>
      </c>
      <c r="M868" s="21">
        <v>660</v>
      </c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</row>
    <row r="869" spans="1:23" s="26" customFormat="1" ht="30" customHeight="1" x14ac:dyDescent="0.2">
      <c r="A869" s="106" t="s">
        <v>2128</v>
      </c>
      <c r="B869" s="173" t="s">
        <v>538</v>
      </c>
      <c r="C869" s="21" t="s">
        <v>1</v>
      </c>
      <c r="D869" s="22">
        <v>1</v>
      </c>
      <c r="E869" s="51">
        <f t="shared" si="317"/>
        <v>201.9416949152542</v>
      </c>
      <c r="F869" s="23">
        <f t="shared" si="309"/>
        <v>4.9519243681680238E-3</v>
      </c>
      <c r="G869" s="65">
        <f t="shared" si="318"/>
        <v>2221.3586440677964</v>
      </c>
      <c r="H869" s="220">
        <v>0.27010496553643765</v>
      </c>
      <c r="I869" s="71">
        <f t="shared" si="314"/>
        <v>1.1000000000000001</v>
      </c>
      <c r="J869" s="23">
        <f t="shared" si="315"/>
        <v>4.9519243681680238E-3</v>
      </c>
      <c r="K869" s="65">
        <f t="shared" si="316"/>
        <v>2221.3586440677964</v>
      </c>
      <c r="L869" s="21">
        <v>600</v>
      </c>
      <c r="M869" s="21">
        <v>660</v>
      </c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</row>
    <row r="870" spans="1:23" s="26" customFormat="1" ht="30" customHeight="1" x14ac:dyDescent="0.2">
      <c r="A870" s="106" t="s">
        <v>2129</v>
      </c>
      <c r="B870" s="173" t="s">
        <v>539</v>
      </c>
      <c r="C870" s="21" t="s">
        <v>1</v>
      </c>
      <c r="D870" s="50">
        <v>1</v>
      </c>
      <c r="E870" s="51">
        <f t="shared" si="317"/>
        <v>125.57288135593221</v>
      </c>
      <c r="F870" s="23">
        <f t="shared" si="309"/>
        <v>7.9635028614620448E-3</v>
      </c>
      <c r="G870" s="65">
        <f t="shared" si="318"/>
        <v>1381.3016949152543</v>
      </c>
      <c r="H870" s="220">
        <v>0.4343728833524752</v>
      </c>
      <c r="I870" s="71">
        <f t="shared" si="314"/>
        <v>1.1000000000000001</v>
      </c>
      <c r="J870" s="23">
        <f t="shared" si="315"/>
        <v>7.9635028614620466E-3</v>
      </c>
      <c r="K870" s="65">
        <f t="shared" si="316"/>
        <v>1381.3016949152541</v>
      </c>
      <c r="L870" s="21">
        <v>600</v>
      </c>
      <c r="M870" s="21">
        <v>660</v>
      </c>
      <c r="N870" s="285">
        <v>0.27010496553643765</v>
      </c>
      <c r="O870" s="285"/>
      <c r="P870" s="285"/>
      <c r="Q870" s="285"/>
      <c r="R870" s="285"/>
      <c r="S870" s="285"/>
      <c r="T870" s="285"/>
      <c r="U870" s="285"/>
      <c r="V870" s="285"/>
      <c r="W870" s="285"/>
    </row>
    <row r="871" spans="1:23" s="26" customFormat="1" ht="30" customHeight="1" x14ac:dyDescent="0.2">
      <c r="A871" s="106" t="s">
        <v>2130</v>
      </c>
      <c r="B871" s="173" t="s">
        <v>540</v>
      </c>
      <c r="C871" s="21" t="s">
        <v>1</v>
      </c>
      <c r="D871" s="50">
        <v>1</v>
      </c>
      <c r="E871" s="51">
        <f t="shared" si="317"/>
        <v>68.33898305084746</v>
      </c>
      <c r="F871" s="23">
        <f t="shared" si="309"/>
        <v>1.4632936507936508E-2</v>
      </c>
      <c r="G871" s="65">
        <f t="shared" si="318"/>
        <v>751.72881355932202</v>
      </c>
      <c r="H871" s="77">
        <v>0.79816017316017318</v>
      </c>
      <c r="I871" s="71">
        <f t="shared" si="314"/>
        <v>1.1000000000000001</v>
      </c>
      <c r="J871" s="23">
        <f t="shared" si="315"/>
        <v>1.463293650793651E-2</v>
      </c>
      <c r="K871" s="65">
        <f t="shared" si="316"/>
        <v>751.72881355932191</v>
      </c>
      <c r="L871" s="21">
        <v>600</v>
      </c>
      <c r="M871" s="21">
        <v>660</v>
      </c>
      <c r="N871" s="285">
        <v>0.4343728833524752</v>
      </c>
      <c r="O871" s="285"/>
      <c r="P871" s="285"/>
      <c r="Q871" s="285"/>
      <c r="R871" s="285"/>
      <c r="S871" s="285"/>
      <c r="T871" s="285"/>
      <c r="U871" s="285"/>
      <c r="V871" s="285"/>
      <c r="W871" s="285"/>
    </row>
    <row r="872" spans="1:23" s="26" customFormat="1" ht="30" customHeight="1" x14ac:dyDescent="0.2">
      <c r="A872" s="106" t="s">
        <v>2131</v>
      </c>
      <c r="B872" s="173" t="s">
        <v>548</v>
      </c>
      <c r="C872" s="21" t="s">
        <v>19</v>
      </c>
      <c r="D872" s="22">
        <v>1</v>
      </c>
      <c r="E872" s="51">
        <f t="shared" si="317"/>
        <v>114.10169491525421</v>
      </c>
      <c r="F872" s="23">
        <f t="shared" si="309"/>
        <v>8.7641117052881783E-3</v>
      </c>
      <c r="G872" s="65">
        <f t="shared" si="318"/>
        <v>1255.1186440677964</v>
      </c>
      <c r="H872" s="77">
        <v>0.47804245665208239</v>
      </c>
      <c r="I872" s="71">
        <f t="shared" si="314"/>
        <v>1.1000000000000001</v>
      </c>
      <c r="J872" s="23">
        <f t="shared" si="315"/>
        <v>8.7641117052881783E-3</v>
      </c>
      <c r="K872" s="65">
        <f t="shared" si="316"/>
        <v>1255.1186440677964</v>
      </c>
      <c r="L872" s="21">
        <v>600</v>
      </c>
      <c r="M872" s="21">
        <v>660</v>
      </c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</row>
    <row r="873" spans="1:23" s="26" customFormat="1" ht="30" customHeight="1" x14ac:dyDescent="0.2">
      <c r="A873" s="106" t="s">
        <v>2132</v>
      </c>
      <c r="B873" s="173" t="s">
        <v>549</v>
      </c>
      <c r="C873" s="21" t="s">
        <v>19</v>
      </c>
      <c r="D873" s="50">
        <v>1</v>
      </c>
      <c r="E873" s="51">
        <f t="shared" si="317"/>
        <v>103.72881355932203</v>
      </c>
      <c r="F873" s="23">
        <f t="shared" si="309"/>
        <v>9.6405228758169939E-3</v>
      </c>
      <c r="G873" s="65">
        <f t="shared" si="318"/>
        <v>1141.0169491525423</v>
      </c>
      <c r="H873" s="77">
        <v>0.52584670231729058</v>
      </c>
      <c r="I873" s="71">
        <f t="shared" si="314"/>
        <v>1.1000000000000001</v>
      </c>
      <c r="J873" s="23">
        <f t="shared" si="315"/>
        <v>9.6405228758169939E-3</v>
      </c>
      <c r="K873" s="65">
        <f t="shared" si="316"/>
        <v>1141.0169491525423</v>
      </c>
      <c r="L873" s="21">
        <v>600</v>
      </c>
      <c r="M873" s="21">
        <v>660</v>
      </c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</row>
    <row r="874" spans="1:23" s="26" customFormat="1" ht="30" customHeight="1" x14ac:dyDescent="0.2">
      <c r="A874" s="106" t="s">
        <v>2133</v>
      </c>
      <c r="B874" s="173" t="s">
        <v>576</v>
      </c>
      <c r="C874" s="21" t="s">
        <v>575</v>
      </c>
      <c r="D874" s="22">
        <v>1</v>
      </c>
      <c r="E874" s="51">
        <f t="shared" si="317"/>
        <v>73.464406779661019</v>
      </c>
      <c r="F874" s="23">
        <f t="shared" si="309"/>
        <v>1.361203396087117E-2</v>
      </c>
      <c r="G874" s="65">
        <f t="shared" si="318"/>
        <v>808.10847457627119</v>
      </c>
      <c r="H874" s="77">
        <v>0.74247457968388197</v>
      </c>
      <c r="I874" s="71">
        <f t="shared" si="314"/>
        <v>1.1000000000000001</v>
      </c>
      <c r="J874" s="23">
        <f t="shared" si="315"/>
        <v>1.361203396087117E-2</v>
      </c>
      <c r="K874" s="65">
        <f t="shared" si="316"/>
        <v>808.10847457627119</v>
      </c>
      <c r="L874" s="21">
        <v>600</v>
      </c>
      <c r="M874" s="21">
        <v>660</v>
      </c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</row>
    <row r="875" spans="1:23" s="26" customFormat="1" ht="30" customHeight="1" x14ac:dyDescent="0.2">
      <c r="A875" s="106" t="s">
        <v>2134</v>
      </c>
      <c r="B875" s="173" t="s">
        <v>577</v>
      </c>
      <c r="C875" s="21" t="s">
        <v>575</v>
      </c>
      <c r="D875" s="50">
        <v>1</v>
      </c>
      <c r="E875" s="51">
        <f t="shared" si="317"/>
        <v>59.552542372881362</v>
      </c>
      <c r="F875" s="23">
        <f t="shared" si="309"/>
        <v>1.6791894353369762E-2</v>
      </c>
      <c r="G875" s="65">
        <f t="shared" si="318"/>
        <v>655.07796610169498</v>
      </c>
      <c r="H875" s="77">
        <v>0.91592151018380519</v>
      </c>
      <c r="I875" s="71">
        <f t="shared" si="314"/>
        <v>1.1000000000000001</v>
      </c>
      <c r="J875" s="23">
        <f t="shared" si="315"/>
        <v>1.6791894353369762E-2</v>
      </c>
      <c r="K875" s="65">
        <f t="shared" si="316"/>
        <v>655.07796610169498</v>
      </c>
      <c r="L875" s="21">
        <v>600</v>
      </c>
      <c r="M875" s="21">
        <v>660</v>
      </c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</row>
    <row r="876" spans="1:23" s="26" customFormat="1" ht="30" customHeight="1" x14ac:dyDescent="0.2">
      <c r="A876" s="106" t="s">
        <v>2135</v>
      </c>
      <c r="B876" s="173" t="s">
        <v>578</v>
      </c>
      <c r="C876" s="21" t="s">
        <v>575</v>
      </c>
      <c r="D876" s="22">
        <v>1</v>
      </c>
      <c r="E876" s="51">
        <f t="shared" si="317"/>
        <v>44.908474576271182</v>
      </c>
      <c r="F876" s="23">
        <f t="shared" si="309"/>
        <v>2.2267512077294688E-2</v>
      </c>
      <c r="G876" s="65">
        <f t="shared" si="318"/>
        <v>493.99322033898301</v>
      </c>
      <c r="H876" s="77">
        <v>1.2145915678524375</v>
      </c>
      <c r="I876" s="71">
        <f t="shared" si="314"/>
        <v>1.1000000000000001</v>
      </c>
      <c r="J876" s="23">
        <f t="shared" si="315"/>
        <v>2.2267512077294691E-2</v>
      </c>
      <c r="K876" s="65">
        <f t="shared" si="316"/>
        <v>493.99322033898295</v>
      </c>
      <c r="L876" s="21">
        <v>600</v>
      </c>
      <c r="M876" s="21">
        <v>660</v>
      </c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</row>
    <row r="877" spans="1:23" s="26" customFormat="1" ht="30" customHeight="1" x14ac:dyDescent="0.2">
      <c r="A877" s="106" t="s">
        <v>2136</v>
      </c>
      <c r="B877" s="173" t="s">
        <v>579</v>
      </c>
      <c r="C877" s="21" t="s">
        <v>575</v>
      </c>
      <c r="D877" s="50">
        <v>1</v>
      </c>
      <c r="E877" s="51">
        <f t="shared" si="317"/>
        <v>38.562711864406779</v>
      </c>
      <c r="F877" s="23">
        <f t="shared" si="309"/>
        <v>2.5931786216596343E-2</v>
      </c>
      <c r="G877" s="65">
        <f t="shared" si="318"/>
        <v>424.18983050847459</v>
      </c>
      <c r="H877" s="77">
        <v>1.4144610663598005</v>
      </c>
      <c r="I877" s="71">
        <f t="shared" si="314"/>
        <v>1.1000000000000001</v>
      </c>
      <c r="J877" s="23">
        <f t="shared" si="315"/>
        <v>2.5931786216596347E-2</v>
      </c>
      <c r="K877" s="65">
        <f t="shared" si="316"/>
        <v>424.18983050847453</v>
      </c>
      <c r="L877" s="21">
        <v>600</v>
      </c>
      <c r="M877" s="21">
        <v>660</v>
      </c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</row>
    <row r="878" spans="1:23" s="26" customFormat="1" ht="30" customHeight="1" x14ac:dyDescent="0.2">
      <c r="A878" s="106"/>
      <c r="B878" s="172" t="s">
        <v>733</v>
      </c>
      <c r="C878" s="33"/>
      <c r="D878" s="53"/>
      <c r="E878" s="53"/>
      <c r="F878" s="53"/>
      <c r="G878" s="53"/>
      <c r="H878" s="222"/>
      <c r="I878" s="64"/>
      <c r="J878" s="64"/>
      <c r="K878" s="64"/>
      <c r="L878" s="64"/>
      <c r="M878" s="64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</row>
    <row r="879" spans="1:23" s="26" customFormat="1" ht="30" customHeight="1" x14ac:dyDescent="0.2">
      <c r="A879" s="106" t="s">
        <v>2137</v>
      </c>
      <c r="B879" s="173" t="s">
        <v>962</v>
      </c>
      <c r="C879" s="49" t="s">
        <v>536</v>
      </c>
      <c r="D879" s="50">
        <v>1</v>
      </c>
      <c r="E879" s="51">
        <f t="shared" ref="E879" si="319">G879/11</f>
        <v>49.095818672776367</v>
      </c>
      <c r="F879" s="23">
        <f t="shared" si="309"/>
        <v>2.0368333333333332E-2</v>
      </c>
      <c r="G879" s="65">
        <f>L879/H879</f>
        <v>540.05400540054006</v>
      </c>
      <c r="H879" s="77">
        <v>1.111</v>
      </c>
      <c r="I879" s="71">
        <f>M879/L879</f>
        <v>1.1000000000000001</v>
      </c>
      <c r="J879" s="23">
        <f>11/K879</f>
        <v>2.0715630885122412E-2</v>
      </c>
      <c r="K879" s="65">
        <v>531</v>
      </c>
      <c r="L879" s="21">
        <v>600</v>
      </c>
      <c r="M879" s="21">
        <v>660</v>
      </c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</row>
    <row r="880" spans="1:23" s="26" customFormat="1" ht="30" customHeight="1" x14ac:dyDescent="0.2">
      <c r="A880" s="106" t="s">
        <v>2138</v>
      </c>
      <c r="B880" s="173" t="s">
        <v>963</v>
      </c>
      <c r="C880" s="49" t="s">
        <v>536</v>
      </c>
      <c r="D880" s="50">
        <v>1</v>
      </c>
      <c r="E880" s="51">
        <f t="shared" ref="E880:E881" si="320">G880/11</f>
        <v>6.0606060606060614</v>
      </c>
      <c r="F880" s="23">
        <f t="shared" si="309"/>
        <v>0.16499999999999998</v>
      </c>
      <c r="G880" s="65">
        <f>L880/H880</f>
        <v>66.666666666666671</v>
      </c>
      <c r="H880" s="77">
        <v>9</v>
      </c>
      <c r="I880" s="71">
        <f>M880/L880</f>
        <v>1.1000000000000001</v>
      </c>
      <c r="J880" s="23">
        <f>11/K880</f>
        <v>0.16500000000000004</v>
      </c>
      <c r="K880" s="65">
        <f>M880/(H880*I880)</f>
        <v>66.666666666666657</v>
      </c>
      <c r="L880" s="21">
        <v>600</v>
      </c>
      <c r="M880" s="21">
        <v>660</v>
      </c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</row>
    <row r="881" spans="1:23" s="26" customFormat="1" ht="30" customHeight="1" x14ac:dyDescent="0.2">
      <c r="A881" s="106" t="s">
        <v>2139</v>
      </c>
      <c r="B881" s="173" t="s">
        <v>964</v>
      </c>
      <c r="C881" s="49" t="s">
        <v>536</v>
      </c>
      <c r="D881" s="50">
        <v>1</v>
      </c>
      <c r="E881" s="51">
        <f t="shared" si="320"/>
        <v>0.90909090909090906</v>
      </c>
      <c r="F881" s="23">
        <f t="shared" si="309"/>
        <v>1.1000000000000001</v>
      </c>
      <c r="G881" s="65">
        <f>L881/H881</f>
        <v>10</v>
      </c>
      <c r="H881" s="77">
        <v>60</v>
      </c>
      <c r="I881" s="71">
        <f>M881/L881</f>
        <v>1.1000000000000001</v>
      </c>
      <c r="J881" s="23">
        <f>11/K881</f>
        <v>1.1000000000000001</v>
      </c>
      <c r="K881" s="65">
        <f>M881/(H881*I881)</f>
        <v>10</v>
      </c>
      <c r="L881" s="21">
        <v>600</v>
      </c>
      <c r="M881" s="21">
        <v>660</v>
      </c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</row>
    <row r="882" spans="1:23" s="26" customFormat="1" ht="30" customHeight="1" x14ac:dyDescent="0.2">
      <c r="A882" s="106"/>
      <c r="B882" s="75" t="s">
        <v>975</v>
      </c>
      <c r="C882" s="75"/>
      <c r="D882" s="53"/>
      <c r="E882" s="53"/>
      <c r="F882" s="53"/>
      <c r="G882" s="53"/>
      <c r="H882" s="222"/>
      <c r="I882" s="64"/>
      <c r="J882" s="64"/>
      <c r="K882" s="64"/>
      <c r="L882" s="64"/>
      <c r="M882" s="64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</row>
    <row r="883" spans="1:23" s="26" customFormat="1" ht="30" customHeight="1" x14ac:dyDescent="0.2">
      <c r="A883" s="106" t="s">
        <v>2140</v>
      </c>
      <c r="B883" s="173" t="s">
        <v>965</v>
      </c>
      <c r="C883" s="49" t="s">
        <v>132</v>
      </c>
      <c r="D883" s="50">
        <v>1</v>
      </c>
      <c r="E883" s="51">
        <f t="shared" ref="E883" si="321">G883/11</f>
        <v>1.3636363636363635</v>
      </c>
      <c r="F883" s="23">
        <f t="shared" si="309"/>
        <v>0.73333333333333328</v>
      </c>
      <c r="G883" s="65">
        <f>L883/H883</f>
        <v>15</v>
      </c>
      <c r="H883" s="77">
        <v>40</v>
      </c>
      <c r="I883" s="71">
        <f t="shared" ref="I883:I893" si="322">M883/L883</f>
        <v>1.1000000000000001</v>
      </c>
      <c r="J883" s="23">
        <f t="shared" ref="J883:J893" si="323">11/K883</f>
        <v>0.73333333333333328</v>
      </c>
      <c r="K883" s="65">
        <f t="shared" ref="K883:K893" si="324">M883/(H883*I883)</f>
        <v>15</v>
      </c>
      <c r="L883" s="21">
        <v>600</v>
      </c>
      <c r="M883" s="21">
        <v>660</v>
      </c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</row>
    <row r="884" spans="1:23" s="26" customFormat="1" ht="30" customHeight="1" x14ac:dyDescent="0.2">
      <c r="A884" s="106" t="s">
        <v>2141</v>
      </c>
      <c r="B884" s="125" t="s">
        <v>908</v>
      </c>
      <c r="C884" s="49" t="s">
        <v>132</v>
      </c>
      <c r="D884" s="50">
        <v>1</v>
      </c>
      <c r="E884" s="51">
        <f t="shared" ref="E884:E893" si="325">G884/11</f>
        <v>18.305084745762713</v>
      </c>
      <c r="F884" s="23">
        <f t="shared" si="309"/>
        <v>5.4629629629629625E-2</v>
      </c>
      <c r="G884" s="65">
        <f t="shared" ref="G884:G893" si="326">L884/H884</f>
        <v>201.35593220338984</v>
      </c>
      <c r="H884" s="77">
        <v>2.9797979797979797</v>
      </c>
      <c r="I884" s="71">
        <f t="shared" si="322"/>
        <v>1.1000000000000001</v>
      </c>
      <c r="J884" s="23">
        <f t="shared" si="323"/>
        <v>5.4629629629629625E-2</v>
      </c>
      <c r="K884" s="65">
        <f t="shared" si="324"/>
        <v>201.35593220338984</v>
      </c>
      <c r="L884" s="21">
        <v>600</v>
      </c>
      <c r="M884" s="21">
        <v>660</v>
      </c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</row>
    <row r="885" spans="1:23" s="26" customFormat="1" ht="30" customHeight="1" x14ac:dyDescent="0.2">
      <c r="A885" s="106" t="s">
        <v>2142</v>
      </c>
      <c r="B885" s="125" t="s">
        <v>909</v>
      </c>
      <c r="C885" s="49" t="s">
        <v>132</v>
      </c>
      <c r="D885" s="22">
        <v>1</v>
      </c>
      <c r="E885" s="51">
        <f t="shared" si="325"/>
        <v>14.64406779661017</v>
      </c>
      <c r="F885" s="23">
        <f t="shared" si="309"/>
        <v>6.8287037037037035E-2</v>
      </c>
      <c r="G885" s="65">
        <f t="shared" si="326"/>
        <v>161.08474576271186</v>
      </c>
      <c r="H885" s="77">
        <v>3.7247474747474749</v>
      </c>
      <c r="I885" s="71">
        <f t="shared" si="322"/>
        <v>1.1000000000000001</v>
      </c>
      <c r="J885" s="23">
        <f t="shared" si="323"/>
        <v>6.8287037037037035E-2</v>
      </c>
      <c r="K885" s="65">
        <f t="shared" si="324"/>
        <v>161.08474576271186</v>
      </c>
      <c r="L885" s="21">
        <v>600</v>
      </c>
      <c r="M885" s="21">
        <v>660</v>
      </c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</row>
    <row r="886" spans="1:23" s="26" customFormat="1" ht="30" customHeight="1" x14ac:dyDescent="0.2">
      <c r="A886" s="106" t="s">
        <v>2143</v>
      </c>
      <c r="B886" s="125" t="s">
        <v>910</v>
      </c>
      <c r="C886" s="49" t="s">
        <v>132</v>
      </c>
      <c r="D886" s="50">
        <v>1</v>
      </c>
      <c r="E886" s="51">
        <f t="shared" si="325"/>
        <v>11.959322033898308</v>
      </c>
      <c r="F886" s="23">
        <f t="shared" si="309"/>
        <v>8.3616780045351446E-2</v>
      </c>
      <c r="G886" s="65">
        <f t="shared" si="326"/>
        <v>131.55254237288139</v>
      </c>
      <c r="H886" s="77">
        <v>4.5609152752009887</v>
      </c>
      <c r="I886" s="71">
        <f t="shared" si="322"/>
        <v>1.1000000000000001</v>
      </c>
      <c r="J886" s="23">
        <f t="shared" si="323"/>
        <v>8.3616780045351474E-2</v>
      </c>
      <c r="K886" s="65">
        <f t="shared" si="324"/>
        <v>131.55254237288136</v>
      </c>
      <c r="L886" s="21">
        <v>600</v>
      </c>
      <c r="M886" s="21">
        <v>660</v>
      </c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</row>
    <row r="887" spans="1:23" s="26" customFormat="1" ht="30" customHeight="1" x14ac:dyDescent="0.2">
      <c r="A887" s="106" t="s">
        <v>2144</v>
      </c>
      <c r="B887" s="125" t="s">
        <v>911</v>
      </c>
      <c r="C887" s="49" t="s">
        <v>132</v>
      </c>
      <c r="D887" s="22">
        <v>1</v>
      </c>
      <c r="E887" s="51">
        <f t="shared" si="325"/>
        <v>10.250847457627119</v>
      </c>
      <c r="F887" s="23">
        <f t="shared" si="309"/>
        <v>9.7552910052910058E-2</v>
      </c>
      <c r="G887" s="65">
        <f t="shared" si="326"/>
        <v>112.7593220338983</v>
      </c>
      <c r="H887" s="77">
        <v>5.3210678210678211</v>
      </c>
      <c r="I887" s="71">
        <f t="shared" si="322"/>
        <v>1.1000000000000001</v>
      </c>
      <c r="J887" s="23">
        <f t="shared" si="323"/>
        <v>9.7552910052910058E-2</v>
      </c>
      <c r="K887" s="65">
        <f t="shared" si="324"/>
        <v>112.7593220338983</v>
      </c>
      <c r="L887" s="21">
        <v>600</v>
      </c>
      <c r="M887" s="21">
        <v>660</v>
      </c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</row>
    <row r="888" spans="1:23" s="26" customFormat="1" ht="30" customHeight="1" x14ac:dyDescent="0.2">
      <c r="A888" s="106" t="s">
        <v>2145</v>
      </c>
      <c r="B888" s="125" t="s">
        <v>912</v>
      </c>
      <c r="C888" s="49" t="s">
        <v>132</v>
      </c>
      <c r="D888" s="50">
        <v>1</v>
      </c>
      <c r="E888" s="51">
        <f t="shared" si="325"/>
        <v>8.9084745762711872</v>
      </c>
      <c r="F888" s="23">
        <f t="shared" si="309"/>
        <v>0.11225266362252662</v>
      </c>
      <c r="G888" s="65">
        <f t="shared" si="326"/>
        <v>97.993220338983065</v>
      </c>
      <c r="H888" s="77">
        <v>6.1228725612287249</v>
      </c>
      <c r="I888" s="71">
        <f t="shared" si="322"/>
        <v>1.1000000000000001</v>
      </c>
      <c r="J888" s="23">
        <f t="shared" si="323"/>
        <v>0.11225266362252663</v>
      </c>
      <c r="K888" s="65">
        <f t="shared" si="324"/>
        <v>97.993220338983051</v>
      </c>
      <c r="L888" s="21">
        <v>600</v>
      </c>
      <c r="M888" s="21">
        <v>660</v>
      </c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</row>
    <row r="889" spans="1:23" s="26" customFormat="1" ht="30" customHeight="1" x14ac:dyDescent="0.2">
      <c r="A889" s="106" t="s">
        <v>2146</v>
      </c>
      <c r="B889" s="125" t="s">
        <v>694</v>
      </c>
      <c r="C889" s="49" t="s">
        <v>693</v>
      </c>
      <c r="D889" s="22">
        <v>1</v>
      </c>
      <c r="E889" s="51">
        <f t="shared" si="325"/>
        <v>19.525423728813561</v>
      </c>
      <c r="F889" s="23">
        <f t="shared" si="309"/>
        <v>5.1215277777777776E-2</v>
      </c>
      <c r="G889" s="65">
        <f t="shared" si="326"/>
        <v>214.77966101694915</v>
      </c>
      <c r="H889" s="77">
        <v>2.793560606060606</v>
      </c>
      <c r="I889" s="71">
        <f t="shared" si="322"/>
        <v>1.1000000000000001</v>
      </c>
      <c r="J889" s="23">
        <f t="shared" si="323"/>
        <v>5.1215277777777783E-2</v>
      </c>
      <c r="K889" s="65">
        <f t="shared" si="324"/>
        <v>214.77966101694912</v>
      </c>
      <c r="L889" s="21">
        <v>600</v>
      </c>
      <c r="M889" s="21">
        <v>660</v>
      </c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</row>
    <row r="890" spans="1:23" s="26" customFormat="1" ht="30" customHeight="1" x14ac:dyDescent="0.2">
      <c r="A890" s="106" t="s">
        <v>2147</v>
      </c>
      <c r="B890" s="125" t="s">
        <v>675</v>
      </c>
      <c r="C890" s="49" t="s">
        <v>132</v>
      </c>
      <c r="D890" s="50">
        <v>1</v>
      </c>
      <c r="E890" s="51">
        <f t="shared" si="325"/>
        <v>20.583050847457631</v>
      </c>
      <c r="F890" s="23">
        <f t="shared" si="309"/>
        <v>4.8583662714097489E-2</v>
      </c>
      <c r="G890" s="65">
        <f t="shared" si="326"/>
        <v>226.41355932203393</v>
      </c>
      <c r="H890" s="77">
        <v>2.6500179662234995</v>
      </c>
      <c r="I890" s="71">
        <f t="shared" si="322"/>
        <v>1.1000000000000001</v>
      </c>
      <c r="J890" s="23">
        <f t="shared" si="323"/>
        <v>4.8583662714097496E-2</v>
      </c>
      <c r="K890" s="65">
        <f t="shared" si="324"/>
        <v>226.4135593220339</v>
      </c>
      <c r="L890" s="21">
        <v>600</v>
      </c>
      <c r="M890" s="21">
        <v>660</v>
      </c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</row>
    <row r="891" spans="1:23" s="26" customFormat="1" ht="30" customHeight="1" x14ac:dyDescent="0.2">
      <c r="A891" s="106" t="s">
        <v>2148</v>
      </c>
      <c r="B891" s="125" t="s">
        <v>676</v>
      </c>
      <c r="C891" s="49" t="s">
        <v>132</v>
      </c>
      <c r="D891" s="22">
        <v>1</v>
      </c>
      <c r="E891" s="51">
        <f t="shared" si="325"/>
        <v>19.220338983050851</v>
      </c>
      <c r="F891" s="23">
        <f t="shared" si="309"/>
        <v>5.2028218694885352E-2</v>
      </c>
      <c r="G891" s="65">
        <f t="shared" si="326"/>
        <v>211.42372881355936</v>
      </c>
      <c r="H891" s="220">
        <v>2.8379028379028375</v>
      </c>
      <c r="I891" s="71">
        <f t="shared" si="322"/>
        <v>1.1000000000000001</v>
      </c>
      <c r="J891" s="23">
        <f t="shared" si="323"/>
        <v>5.2028218694885359E-2</v>
      </c>
      <c r="K891" s="65">
        <f t="shared" si="324"/>
        <v>211.42372881355934</v>
      </c>
      <c r="L891" s="21">
        <v>600</v>
      </c>
      <c r="M891" s="21">
        <v>660</v>
      </c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</row>
    <row r="892" spans="1:23" s="26" customFormat="1" ht="30" customHeight="1" x14ac:dyDescent="0.2">
      <c r="A892" s="106" t="s">
        <v>2149</v>
      </c>
      <c r="B892" s="125" t="s">
        <v>677</v>
      </c>
      <c r="C892" s="49" t="s">
        <v>132</v>
      </c>
      <c r="D892" s="50">
        <v>1</v>
      </c>
      <c r="E892" s="51">
        <f t="shared" si="325"/>
        <v>14.542372881355933</v>
      </c>
      <c r="F892" s="23">
        <f t="shared" si="309"/>
        <v>6.8764568764568754E-2</v>
      </c>
      <c r="G892" s="65">
        <f t="shared" si="326"/>
        <v>159.96610169491527</v>
      </c>
      <c r="H892" s="77">
        <v>3.7507946598855688</v>
      </c>
      <c r="I892" s="71">
        <f t="shared" si="322"/>
        <v>1.1000000000000001</v>
      </c>
      <c r="J892" s="23">
        <f t="shared" si="323"/>
        <v>6.8764568764568754E-2</v>
      </c>
      <c r="K892" s="65">
        <f t="shared" si="324"/>
        <v>159.96610169491527</v>
      </c>
      <c r="L892" s="21">
        <v>600</v>
      </c>
      <c r="M892" s="21">
        <v>660</v>
      </c>
      <c r="N892" s="285">
        <v>2.8379028379028375</v>
      </c>
      <c r="O892" s="285"/>
      <c r="P892" s="285"/>
      <c r="Q892" s="285"/>
      <c r="R892" s="285"/>
      <c r="S892" s="285"/>
      <c r="T892" s="285"/>
      <c r="U892" s="285"/>
      <c r="V892" s="285"/>
      <c r="W892" s="285"/>
    </row>
    <row r="893" spans="1:23" s="26" customFormat="1" ht="30" customHeight="1" x14ac:dyDescent="0.2">
      <c r="A893" s="106" t="s">
        <v>2150</v>
      </c>
      <c r="B893" s="125" t="s">
        <v>701</v>
      </c>
      <c r="C893" s="49" t="s">
        <v>8</v>
      </c>
      <c r="D893" s="22">
        <v>1</v>
      </c>
      <c r="E893" s="51">
        <f t="shared" si="325"/>
        <v>19.969183359013869</v>
      </c>
      <c r="F893" s="23">
        <f t="shared" si="309"/>
        <v>5.0077160493827155E-2</v>
      </c>
      <c r="G893" s="65">
        <f t="shared" si="326"/>
        <v>219.66101694915255</v>
      </c>
      <c r="H893" s="77">
        <v>2.7314814814814814</v>
      </c>
      <c r="I893" s="71">
        <f t="shared" si="322"/>
        <v>1.1000000000000001</v>
      </c>
      <c r="J893" s="23">
        <f t="shared" si="323"/>
        <v>5.0077160493827162E-2</v>
      </c>
      <c r="K893" s="65">
        <f t="shared" si="324"/>
        <v>219.66101694915253</v>
      </c>
      <c r="L893" s="21">
        <v>600</v>
      </c>
      <c r="M893" s="21">
        <v>660</v>
      </c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</row>
    <row r="894" spans="1:23" s="26" customFormat="1" ht="30" customHeight="1" x14ac:dyDescent="0.2">
      <c r="A894" s="106"/>
      <c r="B894" s="174" t="s">
        <v>913</v>
      </c>
      <c r="C894" s="72"/>
      <c r="D894" s="72"/>
      <c r="E894" s="73"/>
      <c r="F894" s="73"/>
      <c r="G894" s="73"/>
      <c r="H894" s="236"/>
      <c r="I894" s="63"/>
      <c r="J894" s="63"/>
      <c r="K894" s="63"/>
      <c r="L894" s="63"/>
      <c r="M894" s="63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</row>
    <row r="895" spans="1:23" s="26" customFormat="1" ht="30" customHeight="1" x14ac:dyDescent="0.2">
      <c r="A895" s="106" t="s">
        <v>2151</v>
      </c>
      <c r="B895" s="126" t="s">
        <v>3632</v>
      </c>
      <c r="C895" s="49" t="s">
        <v>968</v>
      </c>
      <c r="D895" s="22">
        <v>1</v>
      </c>
      <c r="E895" s="51">
        <f t="shared" ref="E895" si="327">G895/11</f>
        <v>109.09090909090909</v>
      </c>
      <c r="F895" s="23">
        <f t="shared" si="309"/>
        <v>9.1666666666666667E-3</v>
      </c>
      <c r="G895" s="65">
        <f t="shared" ref="G895" si="328">L895/H895</f>
        <v>1200</v>
      </c>
      <c r="H895" s="79">
        <v>0.5</v>
      </c>
      <c r="I895" s="71">
        <f t="shared" ref="I895:I916" si="329">M895/L895</f>
        <v>1.1000000000000001</v>
      </c>
      <c r="J895" s="23">
        <f t="shared" ref="J895:J916" si="330">11/K895</f>
        <v>9.1666666666666667E-3</v>
      </c>
      <c r="K895" s="65">
        <f t="shared" ref="K895:K916" si="331">M895/(H895*I895)</f>
        <v>1200</v>
      </c>
      <c r="L895" s="21">
        <v>600</v>
      </c>
      <c r="M895" s="21">
        <v>660</v>
      </c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</row>
    <row r="896" spans="1:23" s="26" customFormat="1" ht="30" customHeight="1" x14ac:dyDescent="0.2">
      <c r="A896" s="106" t="s">
        <v>2152</v>
      </c>
      <c r="B896" s="126" t="s">
        <v>563</v>
      </c>
      <c r="C896" s="49" t="s">
        <v>132</v>
      </c>
      <c r="D896" s="22">
        <v>1</v>
      </c>
      <c r="E896" s="51">
        <f t="shared" ref="E896:E916" si="332">G896/11</f>
        <v>22.873878364905281</v>
      </c>
      <c r="F896" s="23">
        <f t="shared" si="309"/>
        <v>4.3717990628745783E-2</v>
      </c>
      <c r="G896" s="65">
        <f t="shared" ref="G896:G916" si="333">L896/H896</f>
        <v>251.6126620139581</v>
      </c>
      <c r="H896" s="79">
        <v>2.3846176706588609</v>
      </c>
      <c r="I896" s="71">
        <f t="shared" si="329"/>
        <v>1.1000000000000001</v>
      </c>
      <c r="J896" s="23">
        <f t="shared" si="330"/>
        <v>4.371799062874579E-2</v>
      </c>
      <c r="K896" s="65">
        <f t="shared" si="331"/>
        <v>251.61266201395807</v>
      </c>
      <c r="L896" s="21">
        <v>600</v>
      </c>
      <c r="M896" s="21">
        <v>660</v>
      </c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</row>
    <row r="897" spans="1:23" s="26" customFormat="1" ht="30" customHeight="1" x14ac:dyDescent="0.2">
      <c r="A897" s="106" t="s">
        <v>2153</v>
      </c>
      <c r="B897" s="126" t="s">
        <v>559</v>
      </c>
      <c r="C897" s="49" t="s">
        <v>132</v>
      </c>
      <c r="D897" s="50">
        <v>1</v>
      </c>
      <c r="E897" s="51">
        <f t="shared" si="332"/>
        <v>18.918245264207375</v>
      </c>
      <c r="F897" s="23">
        <f t="shared" si="309"/>
        <v>5.285902503293808E-2</v>
      </c>
      <c r="G897" s="65">
        <f t="shared" si="333"/>
        <v>208.10069790628114</v>
      </c>
      <c r="H897" s="79">
        <v>2.8832195472511679</v>
      </c>
      <c r="I897" s="71">
        <f t="shared" si="329"/>
        <v>1.1000000000000001</v>
      </c>
      <c r="J897" s="23">
        <f t="shared" si="330"/>
        <v>5.285902503293808E-2</v>
      </c>
      <c r="K897" s="65">
        <f t="shared" si="331"/>
        <v>208.10069790628114</v>
      </c>
      <c r="L897" s="21">
        <v>600</v>
      </c>
      <c r="M897" s="21">
        <v>660</v>
      </c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</row>
    <row r="898" spans="1:23" s="26" customFormat="1" ht="30" customHeight="1" x14ac:dyDescent="0.2">
      <c r="A898" s="106" t="s">
        <v>2154</v>
      </c>
      <c r="B898" s="126" t="s">
        <v>560</v>
      </c>
      <c r="C898" s="49" t="s">
        <v>132</v>
      </c>
      <c r="D898" s="22">
        <v>1</v>
      </c>
      <c r="E898" s="51">
        <f t="shared" si="332"/>
        <v>15.822532402791625</v>
      </c>
      <c r="F898" s="23">
        <f t="shared" ref="F898:F967" si="334">11/G898</f>
        <v>6.3201008191556399E-2</v>
      </c>
      <c r="G898" s="65">
        <f t="shared" si="333"/>
        <v>174.04785643070787</v>
      </c>
      <c r="H898" s="79">
        <v>3.4473277195394401</v>
      </c>
      <c r="I898" s="71">
        <f t="shared" si="329"/>
        <v>1.1000000000000001</v>
      </c>
      <c r="J898" s="23">
        <f t="shared" si="330"/>
        <v>6.3201008191556413E-2</v>
      </c>
      <c r="K898" s="65">
        <f t="shared" si="331"/>
        <v>174.04785643070784</v>
      </c>
      <c r="L898" s="21">
        <v>600</v>
      </c>
      <c r="M898" s="21">
        <v>660</v>
      </c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</row>
    <row r="899" spans="1:23" s="26" customFormat="1" ht="30" customHeight="1" x14ac:dyDescent="0.2">
      <c r="A899" s="106" t="s">
        <v>2155</v>
      </c>
      <c r="B899" s="126" t="s">
        <v>561</v>
      </c>
      <c r="C899" s="49" t="s">
        <v>132</v>
      </c>
      <c r="D899" s="50">
        <v>1</v>
      </c>
      <c r="E899" s="51">
        <f t="shared" si="332"/>
        <v>13.070787637088733</v>
      </c>
      <c r="F899" s="23">
        <f t="shared" si="334"/>
        <v>7.6506483600305111E-2</v>
      </c>
      <c r="G899" s="65">
        <f t="shared" si="333"/>
        <v>143.77866400797606</v>
      </c>
      <c r="H899" s="79">
        <v>4.1730809236530062</v>
      </c>
      <c r="I899" s="71">
        <f t="shared" si="329"/>
        <v>1.1000000000000001</v>
      </c>
      <c r="J899" s="23">
        <f t="shared" si="330"/>
        <v>7.6506483600305125E-2</v>
      </c>
      <c r="K899" s="65">
        <f t="shared" si="331"/>
        <v>143.77866400797603</v>
      </c>
      <c r="L899" s="21">
        <v>600</v>
      </c>
      <c r="M899" s="21">
        <v>660</v>
      </c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</row>
    <row r="900" spans="1:23" s="26" customFormat="1" ht="30" customHeight="1" x14ac:dyDescent="0.2">
      <c r="A900" s="106" t="s">
        <v>2156</v>
      </c>
      <c r="B900" s="126" t="s">
        <v>562</v>
      </c>
      <c r="C900" s="49" t="s">
        <v>132</v>
      </c>
      <c r="D900" s="22">
        <v>1</v>
      </c>
      <c r="E900" s="51">
        <f t="shared" si="332"/>
        <v>11.694915254237289</v>
      </c>
      <c r="F900" s="23">
        <f t="shared" si="334"/>
        <v>8.5507246376811577E-2</v>
      </c>
      <c r="G900" s="65">
        <f t="shared" si="333"/>
        <v>128.64406779661019</v>
      </c>
      <c r="H900" s="79">
        <v>4.6640316205533594</v>
      </c>
      <c r="I900" s="71">
        <f t="shared" si="329"/>
        <v>1.1000000000000001</v>
      </c>
      <c r="J900" s="23">
        <f t="shared" si="330"/>
        <v>8.5507246376811577E-2</v>
      </c>
      <c r="K900" s="65">
        <f t="shared" si="331"/>
        <v>128.64406779661019</v>
      </c>
      <c r="L900" s="21">
        <v>600</v>
      </c>
      <c r="M900" s="21">
        <v>660</v>
      </c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</row>
    <row r="901" spans="1:23" s="26" customFormat="1" ht="30" customHeight="1" x14ac:dyDescent="0.2">
      <c r="A901" s="106" t="s">
        <v>2157</v>
      </c>
      <c r="B901" s="126" t="s">
        <v>568</v>
      </c>
      <c r="C901" s="49" t="s">
        <v>132</v>
      </c>
      <c r="D901" s="50">
        <v>1</v>
      </c>
      <c r="E901" s="51">
        <f t="shared" si="332"/>
        <v>41.964107676969093</v>
      </c>
      <c r="F901" s="23">
        <f t="shared" si="334"/>
        <v>2.3829888334521265E-2</v>
      </c>
      <c r="G901" s="65">
        <f t="shared" si="333"/>
        <v>461.60518444666002</v>
      </c>
      <c r="H901" s="79">
        <v>1.2998120909738871</v>
      </c>
      <c r="I901" s="71">
        <f t="shared" si="329"/>
        <v>1.1000000000000001</v>
      </c>
      <c r="J901" s="23">
        <f t="shared" si="330"/>
        <v>2.3829888334521265E-2</v>
      </c>
      <c r="K901" s="65">
        <f t="shared" si="331"/>
        <v>461.60518444666002</v>
      </c>
      <c r="L901" s="21">
        <v>600</v>
      </c>
      <c r="M901" s="21">
        <v>660</v>
      </c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</row>
    <row r="902" spans="1:23" s="26" customFormat="1" ht="30" customHeight="1" x14ac:dyDescent="0.2">
      <c r="A902" s="106" t="s">
        <v>2158</v>
      </c>
      <c r="B902" s="126" t="s">
        <v>567</v>
      </c>
      <c r="C902" s="49" t="s">
        <v>132</v>
      </c>
      <c r="D902" s="22">
        <v>1</v>
      </c>
      <c r="E902" s="51">
        <f t="shared" si="332"/>
        <v>35.084745762711862</v>
      </c>
      <c r="F902" s="23">
        <f t="shared" si="334"/>
        <v>2.85024154589372E-2</v>
      </c>
      <c r="G902" s="65">
        <f t="shared" si="333"/>
        <v>385.93220338983048</v>
      </c>
      <c r="H902" s="79">
        <v>1.5546772068511201</v>
      </c>
      <c r="I902" s="71">
        <f t="shared" si="329"/>
        <v>1.1000000000000001</v>
      </c>
      <c r="J902" s="23">
        <f t="shared" si="330"/>
        <v>2.8502415458937204E-2</v>
      </c>
      <c r="K902" s="65">
        <f t="shared" si="331"/>
        <v>385.93220338983042</v>
      </c>
      <c r="L902" s="21">
        <v>600</v>
      </c>
      <c r="M902" s="21">
        <v>660</v>
      </c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</row>
    <row r="903" spans="1:23" s="26" customFormat="1" ht="30" customHeight="1" x14ac:dyDescent="0.2">
      <c r="A903" s="106" t="s">
        <v>2159</v>
      </c>
      <c r="B903" s="126" t="s">
        <v>566</v>
      </c>
      <c r="C903" s="49" t="s">
        <v>132</v>
      </c>
      <c r="D903" s="50">
        <v>1</v>
      </c>
      <c r="E903" s="51">
        <f t="shared" si="332"/>
        <v>30.269192422731805</v>
      </c>
      <c r="F903" s="23">
        <f t="shared" si="334"/>
        <v>3.3036890645586299E-2</v>
      </c>
      <c r="G903" s="65">
        <f t="shared" si="333"/>
        <v>332.96111665004986</v>
      </c>
      <c r="H903" s="79">
        <v>1.8020122170319799</v>
      </c>
      <c r="I903" s="71">
        <f t="shared" si="329"/>
        <v>1.1000000000000001</v>
      </c>
      <c r="J903" s="23">
        <f t="shared" si="330"/>
        <v>3.3036890645586299E-2</v>
      </c>
      <c r="K903" s="65">
        <f t="shared" si="331"/>
        <v>332.96111665004986</v>
      </c>
      <c r="L903" s="21">
        <v>600</v>
      </c>
      <c r="M903" s="21">
        <v>660</v>
      </c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</row>
    <row r="904" spans="1:23" s="26" customFormat="1" ht="30" customHeight="1" x14ac:dyDescent="0.2">
      <c r="A904" s="106" t="s">
        <v>2160</v>
      </c>
      <c r="B904" s="126" t="s">
        <v>565</v>
      </c>
      <c r="C904" s="49" t="s">
        <v>132</v>
      </c>
      <c r="D904" s="22">
        <v>1</v>
      </c>
      <c r="E904" s="51">
        <f t="shared" si="332"/>
        <v>23.905782652043865</v>
      </c>
      <c r="F904" s="23">
        <f t="shared" si="334"/>
        <v>4.1830883119591288E-2</v>
      </c>
      <c r="G904" s="65">
        <f t="shared" si="333"/>
        <v>262.96360917248251</v>
      </c>
      <c r="H904" s="79">
        <v>2.2816845337958886</v>
      </c>
      <c r="I904" s="71">
        <f t="shared" si="329"/>
        <v>1.1000000000000001</v>
      </c>
      <c r="J904" s="23">
        <f t="shared" si="330"/>
        <v>4.1830883119591301E-2</v>
      </c>
      <c r="K904" s="65">
        <f t="shared" si="331"/>
        <v>262.96360917248245</v>
      </c>
      <c r="L904" s="21">
        <v>600</v>
      </c>
      <c r="M904" s="21">
        <v>660</v>
      </c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</row>
    <row r="905" spans="1:23" s="26" customFormat="1" ht="30" customHeight="1" x14ac:dyDescent="0.2">
      <c r="A905" s="106" t="s">
        <v>2161</v>
      </c>
      <c r="B905" s="126" t="s">
        <v>564</v>
      </c>
      <c r="C905" s="49" t="s">
        <v>132</v>
      </c>
      <c r="D905" s="50">
        <v>1</v>
      </c>
      <c r="E905" s="51">
        <f t="shared" si="332"/>
        <v>21.66999002991027</v>
      </c>
      <c r="F905" s="23">
        <f t="shared" si="334"/>
        <v>4.6146767885898318E-2</v>
      </c>
      <c r="G905" s="65">
        <f t="shared" si="333"/>
        <v>238.36989032901297</v>
      </c>
      <c r="H905" s="79">
        <v>2.5170964301399081</v>
      </c>
      <c r="I905" s="71">
        <f t="shared" si="329"/>
        <v>1.1000000000000001</v>
      </c>
      <c r="J905" s="23">
        <f t="shared" si="330"/>
        <v>4.6146767885898318E-2</v>
      </c>
      <c r="K905" s="65">
        <f t="shared" si="331"/>
        <v>238.36989032901297</v>
      </c>
      <c r="L905" s="21">
        <v>600</v>
      </c>
      <c r="M905" s="21">
        <v>660</v>
      </c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</row>
    <row r="906" spans="1:23" s="26" customFormat="1" ht="30" customHeight="1" x14ac:dyDescent="0.2">
      <c r="A906" s="106" t="s">
        <v>2162</v>
      </c>
      <c r="B906" s="125" t="s">
        <v>3610</v>
      </c>
      <c r="C906" s="49" t="s">
        <v>132</v>
      </c>
      <c r="D906" s="22">
        <v>1</v>
      </c>
      <c r="E906" s="51">
        <f t="shared" si="332"/>
        <v>17.074576271186441</v>
      </c>
      <c r="F906" s="23">
        <f t="shared" si="334"/>
        <v>5.8566607107405202E-2</v>
      </c>
      <c r="G906" s="65">
        <f t="shared" si="333"/>
        <v>187.82033898305085</v>
      </c>
      <c r="H906" s="77">
        <v>3.1945422058584656</v>
      </c>
      <c r="I906" s="71">
        <f t="shared" si="329"/>
        <v>1.1000000000000001</v>
      </c>
      <c r="J906" s="23">
        <f t="shared" si="330"/>
        <v>5.8566607107405209E-2</v>
      </c>
      <c r="K906" s="65">
        <f t="shared" si="331"/>
        <v>187.82033898305082</v>
      </c>
      <c r="L906" s="21">
        <v>600</v>
      </c>
      <c r="M906" s="21">
        <v>660</v>
      </c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</row>
    <row r="907" spans="1:23" s="26" customFormat="1" ht="30" customHeight="1" x14ac:dyDescent="0.2">
      <c r="A907" s="106" t="s">
        <v>2163</v>
      </c>
      <c r="B907" s="125" t="s">
        <v>3611</v>
      </c>
      <c r="C907" s="49" t="s">
        <v>132</v>
      </c>
      <c r="D907" s="50">
        <v>1</v>
      </c>
      <c r="E907" s="51">
        <f t="shared" si="332"/>
        <v>14.969491525423727</v>
      </c>
      <c r="F907" s="23">
        <f t="shared" si="334"/>
        <v>6.6802536231884063E-2</v>
      </c>
      <c r="G907" s="65">
        <f t="shared" si="333"/>
        <v>164.66440677966099</v>
      </c>
      <c r="H907" s="77">
        <v>3.6437747035573125</v>
      </c>
      <c r="I907" s="71">
        <f t="shared" si="329"/>
        <v>1.1000000000000001</v>
      </c>
      <c r="J907" s="23">
        <f t="shared" si="330"/>
        <v>6.6802536231884063E-2</v>
      </c>
      <c r="K907" s="65">
        <f t="shared" si="331"/>
        <v>164.66440677966099</v>
      </c>
      <c r="L907" s="21">
        <v>600</v>
      </c>
      <c r="M907" s="21">
        <v>660</v>
      </c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</row>
    <row r="908" spans="1:23" s="26" customFormat="1" ht="30" customHeight="1" x14ac:dyDescent="0.2">
      <c r="A908" s="106" t="s">
        <v>2164</v>
      </c>
      <c r="B908" s="125" t="s">
        <v>3612</v>
      </c>
      <c r="C908" s="49" t="s">
        <v>132</v>
      </c>
      <c r="D908" s="22">
        <v>1</v>
      </c>
      <c r="E908" s="51">
        <f t="shared" si="332"/>
        <v>11.694915254237289</v>
      </c>
      <c r="F908" s="23">
        <f t="shared" si="334"/>
        <v>8.5507246376811577E-2</v>
      </c>
      <c r="G908" s="65">
        <f t="shared" si="333"/>
        <v>128.64406779661019</v>
      </c>
      <c r="H908" s="77">
        <v>4.6640316205533594</v>
      </c>
      <c r="I908" s="71">
        <f t="shared" si="329"/>
        <v>1.1000000000000001</v>
      </c>
      <c r="J908" s="23">
        <f t="shared" si="330"/>
        <v>8.5507246376811577E-2</v>
      </c>
      <c r="K908" s="65">
        <f t="shared" si="331"/>
        <v>128.64406779661019</v>
      </c>
      <c r="L908" s="21">
        <v>600</v>
      </c>
      <c r="M908" s="21">
        <v>660</v>
      </c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</row>
    <row r="909" spans="1:23" s="26" customFormat="1" ht="30" customHeight="1" x14ac:dyDescent="0.2">
      <c r="A909" s="106" t="s">
        <v>2165</v>
      </c>
      <c r="B909" s="125" t="s">
        <v>3613</v>
      </c>
      <c r="C909" s="49" t="s">
        <v>132</v>
      </c>
      <c r="D909" s="50">
        <v>1</v>
      </c>
      <c r="E909" s="51">
        <f t="shared" si="332"/>
        <v>9.3559322033898287</v>
      </c>
      <c r="F909" s="23">
        <f t="shared" si="334"/>
        <v>0.10688405797101451</v>
      </c>
      <c r="G909" s="65">
        <f t="shared" si="333"/>
        <v>102.91525423728812</v>
      </c>
      <c r="H909" s="77">
        <v>5.8300395256917001</v>
      </c>
      <c r="I909" s="71">
        <f t="shared" si="329"/>
        <v>1.1000000000000001</v>
      </c>
      <c r="J909" s="23">
        <f t="shared" si="330"/>
        <v>0.10688405797101452</v>
      </c>
      <c r="K909" s="65">
        <f t="shared" si="331"/>
        <v>102.91525423728811</v>
      </c>
      <c r="L909" s="21">
        <v>600</v>
      </c>
      <c r="M909" s="21">
        <v>660</v>
      </c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</row>
    <row r="910" spans="1:23" s="26" customFormat="1" ht="30" customHeight="1" x14ac:dyDescent="0.2">
      <c r="A910" s="106" t="s">
        <v>2166</v>
      </c>
      <c r="B910" s="125" t="s">
        <v>3614</v>
      </c>
      <c r="C910" s="49" t="s">
        <v>132</v>
      </c>
      <c r="D910" s="22">
        <v>1</v>
      </c>
      <c r="E910" s="51">
        <f t="shared" si="332"/>
        <v>8.1864406779661021</v>
      </c>
      <c r="F910" s="23">
        <f t="shared" si="334"/>
        <v>0.12215320910973086</v>
      </c>
      <c r="G910" s="65">
        <f t="shared" si="333"/>
        <v>90.050847457627114</v>
      </c>
      <c r="H910" s="77">
        <v>6.6629023150762281</v>
      </c>
      <c r="I910" s="71">
        <f t="shared" si="329"/>
        <v>1.1000000000000001</v>
      </c>
      <c r="J910" s="23">
        <f t="shared" si="330"/>
        <v>0.12215320910973088</v>
      </c>
      <c r="K910" s="65">
        <f t="shared" si="331"/>
        <v>90.0508474576271</v>
      </c>
      <c r="L910" s="21">
        <v>600</v>
      </c>
      <c r="M910" s="21">
        <v>660</v>
      </c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</row>
    <row r="911" spans="1:23" s="26" customFormat="1" ht="30" customHeight="1" x14ac:dyDescent="0.2">
      <c r="A911" s="106" t="s">
        <v>2167</v>
      </c>
      <c r="B911" s="125" t="s">
        <v>3615</v>
      </c>
      <c r="C911" s="49" t="s">
        <v>132</v>
      </c>
      <c r="D911" s="50">
        <v>1</v>
      </c>
      <c r="E911" s="51">
        <f t="shared" si="332"/>
        <v>13.332203389830509</v>
      </c>
      <c r="F911" s="23">
        <f t="shared" si="334"/>
        <v>7.5006356470887367E-2</v>
      </c>
      <c r="G911" s="65">
        <f t="shared" si="333"/>
        <v>146.65423728813559</v>
      </c>
      <c r="H911" s="77">
        <v>4.0912558075029475</v>
      </c>
      <c r="I911" s="71">
        <f t="shared" si="329"/>
        <v>1.1000000000000001</v>
      </c>
      <c r="J911" s="23">
        <f t="shared" si="330"/>
        <v>7.5006356470887381E-2</v>
      </c>
      <c r="K911" s="65">
        <f t="shared" si="331"/>
        <v>146.65423728813556</v>
      </c>
      <c r="L911" s="21">
        <v>600</v>
      </c>
      <c r="M911" s="21">
        <v>660</v>
      </c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</row>
    <row r="912" spans="1:23" s="26" customFormat="1" ht="30" customHeight="1" x14ac:dyDescent="0.2">
      <c r="A912" s="106" t="s">
        <v>2168</v>
      </c>
      <c r="B912" s="125" t="s">
        <v>3616</v>
      </c>
      <c r="C912" s="49" t="s">
        <v>132</v>
      </c>
      <c r="D912" s="22">
        <v>1</v>
      </c>
      <c r="E912" s="51">
        <f t="shared" si="332"/>
        <v>11.110169491525426</v>
      </c>
      <c r="F912" s="23">
        <f t="shared" si="334"/>
        <v>9.0007627765064824E-2</v>
      </c>
      <c r="G912" s="65">
        <f t="shared" si="333"/>
        <v>122.21186440677968</v>
      </c>
      <c r="H912" s="77">
        <v>4.9095069690035356</v>
      </c>
      <c r="I912" s="71">
        <f t="shared" si="329"/>
        <v>1.1000000000000001</v>
      </c>
      <c r="J912" s="23">
        <f t="shared" si="330"/>
        <v>9.0007627765064838E-2</v>
      </c>
      <c r="K912" s="65">
        <f t="shared" si="331"/>
        <v>122.21186440677967</v>
      </c>
      <c r="L912" s="21">
        <v>600</v>
      </c>
      <c r="M912" s="21">
        <v>660</v>
      </c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</row>
    <row r="913" spans="1:23" s="26" customFormat="1" ht="30" customHeight="1" x14ac:dyDescent="0.2">
      <c r="A913" s="106" t="s">
        <v>2169</v>
      </c>
      <c r="B913" s="125" t="s">
        <v>3617</v>
      </c>
      <c r="C913" s="49" t="s">
        <v>132</v>
      </c>
      <c r="D913" s="50">
        <v>1</v>
      </c>
      <c r="E913" s="51">
        <f t="shared" si="332"/>
        <v>9.3559322033898287</v>
      </c>
      <c r="F913" s="23">
        <f t="shared" si="334"/>
        <v>0.10688405797101451</v>
      </c>
      <c r="G913" s="65">
        <f t="shared" si="333"/>
        <v>102.91525423728812</v>
      </c>
      <c r="H913" s="77">
        <v>5.8300395256917001</v>
      </c>
      <c r="I913" s="71">
        <f t="shared" si="329"/>
        <v>1.1000000000000001</v>
      </c>
      <c r="J913" s="23">
        <f t="shared" si="330"/>
        <v>0.10688405797101452</v>
      </c>
      <c r="K913" s="65">
        <f t="shared" si="331"/>
        <v>102.91525423728811</v>
      </c>
      <c r="L913" s="21">
        <v>600</v>
      </c>
      <c r="M913" s="21">
        <v>660</v>
      </c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</row>
    <row r="914" spans="1:23" s="26" customFormat="1" ht="30" customHeight="1" x14ac:dyDescent="0.2">
      <c r="A914" s="106" t="s">
        <v>2170</v>
      </c>
      <c r="B914" s="125" t="s">
        <v>3618</v>
      </c>
      <c r="C914" s="49" t="s">
        <v>132</v>
      </c>
      <c r="D914" s="22">
        <v>1</v>
      </c>
      <c r="E914" s="51">
        <f t="shared" si="332"/>
        <v>7.9525423728813562</v>
      </c>
      <c r="F914" s="23">
        <f t="shared" si="334"/>
        <v>0.12574595055413471</v>
      </c>
      <c r="G914" s="65">
        <f t="shared" si="333"/>
        <v>87.477966101694918</v>
      </c>
      <c r="H914" s="77">
        <v>6.8588700302255283</v>
      </c>
      <c r="I914" s="71">
        <f t="shared" si="329"/>
        <v>1.1000000000000001</v>
      </c>
      <c r="J914" s="23">
        <f t="shared" si="330"/>
        <v>0.12574595055413471</v>
      </c>
      <c r="K914" s="65">
        <f t="shared" si="331"/>
        <v>87.477966101694918</v>
      </c>
      <c r="L914" s="21">
        <v>600</v>
      </c>
      <c r="M914" s="21">
        <v>660</v>
      </c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</row>
    <row r="915" spans="1:23" s="26" customFormat="1" ht="30" customHeight="1" x14ac:dyDescent="0.2">
      <c r="A915" s="106" t="s">
        <v>2171</v>
      </c>
      <c r="B915" s="125" t="s">
        <v>3619</v>
      </c>
      <c r="C915" s="49" t="s">
        <v>132</v>
      </c>
      <c r="D915" s="50">
        <v>1</v>
      </c>
      <c r="E915" s="51">
        <f t="shared" si="332"/>
        <v>7.0169491525423719</v>
      </c>
      <c r="F915" s="23">
        <f t="shared" si="334"/>
        <v>0.14251207729468601</v>
      </c>
      <c r="G915" s="65">
        <f t="shared" si="333"/>
        <v>77.18644067796609</v>
      </c>
      <c r="H915" s="77">
        <v>7.7733860342556005</v>
      </c>
      <c r="I915" s="71">
        <f t="shared" si="329"/>
        <v>1.1000000000000001</v>
      </c>
      <c r="J915" s="23">
        <f t="shared" si="330"/>
        <v>0.14251207729468604</v>
      </c>
      <c r="K915" s="65">
        <f t="shared" si="331"/>
        <v>77.186440677966075</v>
      </c>
      <c r="L915" s="21">
        <v>600</v>
      </c>
      <c r="M915" s="21">
        <v>660</v>
      </c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</row>
    <row r="916" spans="1:23" s="26" customFormat="1" ht="30" customHeight="1" x14ac:dyDescent="0.2">
      <c r="A916" s="106" t="s">
        <v>2172</v>
      </c>
      <c r="B916" s="125" t="s">
        <v>3620</v>
      </c>
      <c r="C916" s="49" t="s">
        <v>132</v>
      </c>
      <c r="D916" s="22">
        <v>1</v>
      </c>
      <c r="E916" s="51">
        <f t="shared" si="332"/>
        <v>2.7762711864406784</v>
      </c>
      <c r="F916" s="23">
        <f t="shared" si="334"/>
        <v>0.36019536019536014</v>
      </c>
      <c r="G916" s="65">
        <f t="shared" si="333"/>
        <v>30.538983050847463</v>
      </c>
      <c r="H916" s="77">
        <v>19.647019647019643</v>
      </c>
      <c r="I916" s="71">
        <f t="shared" si="329"/>
        <v>1.1000000000000001</v>
      </c>
      <c r="J916" s="23">
        <f t="shared" si="330"/>
        <v>0.36019536019536019</v>
      </c>
      <c r="K916" s="65">
        <f t="shared" si="331"/>
        <v>30.53898305084746</v>
      </c>
      <c r="L916" s="21">
        <v>600</v>
      </c>
      <c r="M916" s="21">
        <v>660</v>
      </c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</row>
    <row r="917" spans="1:23" s="26" customFormat="1" ht="30" customHeight="1" x14ac:dyDescent="0.2">
      <c r="A917" s="106"/>
      <c r="B917" s="174" t="s">
        <v>914</v>
      </c>
      <c r="C917" s="72"/>
      <c r="D917" s="72"/>
      <c r="E917" s="73"/>
      <c r="F917" s="73"/>
      <c r="G917" s="73"/>
      <c r="H917" s="236"/>
      <c r="I917" s="63"/>
      <c r="J917" s="63"/>
      <c r="K917" s="63"/>
      <c r="L917" s="63"/>
      <c r="M917" s="63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</row>
    <row r="918" spans="1:23" s="26" customFormat="1" ht="30" customHeight="1" x14ac:dyDescent="0.2">
      <c r="A918" s="106" t="s">
        <v>2173</v>
      </c>
      <c r="B918" s="126" t="s">
        <v>915</v>
      </c>
      <c r="C918" s="49" t="s">
        <v>132</v>
      </c>
      <c r="D918" s="22">
        <v>1</v>
      </c>
      <c r="E918" s="51">
        <f t="shared" ref="E918" si="335">G918/11</f>
        <v>12.309701729448301</v>
      </c>
      <c r="F918" s="23">
        <f t="shared" si="334"/>
        <v>8.1236736842105292E-2</v>
      </c>
      <c r="G918" s="65">
        <f t="shared" ref="G918" si="336">L918/H918</f>
        <v>135.40671902393132</v>
      </c>
      <c r="H918" s="79">
        <v>4.4310947368421063</v>
      </c>
      <c r="I918" s="71">
        <f t="shared" ref="I918:I938" si="337">M918/L918</f>
        <v>1.1000000000000001</v>
      </c>
      <c r="J918" s="23">
        <f t="shared" ref="J918:J938" si="338">11/K918</f>
        <v>8.1236736842105292E-2</v>
      </c>
      <c r="K918" s="65">
        <f t="shared" ref="K918:K938" si="339">M918/(H918*I918)</f>
        <v>135.40671902393132</v>
      </c>
      <c r="L918" s="21">
        <v>600</v>
      </c>
      <c r="M918" s="21">
        <v>660</v>
      </c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</row>
    <row r="919" spans="1:23" s="26" customFormat="1" ht="30" customHeight="1" x14ac:dyDescent="0.2">
      <c r="A919" s="106" t="s">
        <v>2174</v>
      </c>
      <c r="B919" s="126" t="s">
        <v>916</v>
      </c>
      <c r="C919" s="49" t="s">
        <v>132</v>
      </c>
      <c r="D919" s="50">
        <v>1</v>
      </c>
      <c r="E919" s="51">
        <f t="shared" ref="E919:E938" si="340">G919/11</f>
        <v>10.180956317588825</v>
      </c>
      <c r="F919" s="23">
        <f t="shared" si="334"/>
        <v>9.8222599999999993E-2</v>
      </c>
      <c r="G919" s="65">
        <f t="shared" ref="G919:G938" si="341">L919/H919</f>
        <v>111.99051949347707</v>
      </c>
      <c r="H919" s="79">
        <v>5.3575963636363637</v>
      </c>
      <c r="I919" s="71">
        <f t="shared" si="337"/>
        <v>1.1000000000000001</v>
      </c>
      <c r="J919" s="23">
        <f t="shared" si="338"/>
        <v>9.8222600000000007E-2</v>
      </c>
      <c r="K919" s="65">
        <f t="shared" si="339"/>
        <v>111.99051949347705</v>
      </c>
      <c r="L919" s="21">
        <v>600</v>
      </c>
      <c r="M919" s="21">
        <v>660</v>
      </c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</row>
    <row r="920" spans="1:23" s="26" customFormat="1" ht="30" customHeight="1" x14ac:dyDescent="0.2">
      <c r="A920" s="106" t="s">
        <v>2175</v>
      </c>
      <c r="B920" s="126" t="s">
        <v>917</v>
      </c>
      <c r="C920" s="49" t="s">
        <v>132</v>
      </c>
      <c r="D920" s="50">
        <v>1</v>
      </c>
      <c r="E920" s="51">
        <f t="shared" si="340"/>
        <v>8.5149816474379243</v>
      </c>
      <c r="F920" s="23">
        <f t="shared" si="334"/>
        <v>0.11744006521739131</v>
      </c>
      <c r="G920" s="65">
        <f t="shared" si="341"/>
        <v>93.664798121817171</v>
      </c>
      <c r="H920" s="79">
        <v>6.4058217391304355</v>
      </c>
      <c r="I920" s="71">
        <f t="shared" si="337"/>
        <v>1.1000000000000001</v>
      </c>
      <c r="J920" s="23">
        <f t="shared" si="338"/>
        <v>0.11744006521739134</v>
      </c>
      <c r="K920" s="65">
        <f t="shared" si="339"/>
        <v>93.664798121817157</v>
      </c>
      <c r="L920" s="21">
        <v>600</v>
      </c>
      <c r="M920" s="21">
        <v>660</v>
      </c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</row>
    <row r="921" spans="1:23" s="26" customFormat="1" ht="30" customHeight="1" x14ac:dyDescent="0.2">
      <c r="A921" s="106" t="s">
        <v>2176</v>
      </c>
      <c r="B921" s="126" t="s">
        <v>918</v>
      </c>
      <c r="C921" s="49" t="s">
        <v>132</v>
      </c>
      <c r="D921" s="50">
        <v>1</v>
      </c>
      <c r="E921" s="51">
        <f t="shared" si="340"/>
        <v>7.0341152739704595</v>
      </c>
      <c r="F921" s="23">
        <f t="shared" si="334"/>
        <v>0.14216428947368423</v>
      </c>
      <c r="G921" s="65">
        <f t="shared" si="341"/>
        <v>77.375268013675054</v>
      </c>
      <c r="H921" s="79">
        <v>7.7544157894736854</v>
      </c>
      <c r="I921" s="71">
        <f t="shared" si="337"/>
        <v>1.1000000000000001</v>
      </c>
      <c r="J921" s="23">
        <f t="shared" si="338"/>
        <v>0.14216428947368426</v>
      </c>
      <c r="K921" s="65">
        <f t="shared" si="339"/>
        <v>77.37526801367504</v>
      </c>
      <c r="L921" s="21">
        <v>600</v>
      </c>
      <c r="M921" s="21">
        <v>660</v>
      </c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</row>
    <row r="922" spans="1:23" s="26" customFormat="1" ht="30" customHeight="1" x14ac:dyDescent="0.2">
      <c r="A922" s="106" t="s">
        <v>2177</v>
      </c>
      <c r="B922" s="126" t="s">
        <v>919</v>
      </c>
      <c r="C922" s="49" t="s">
        <v>132</v>
      </c>
      <c r="D922" s="50">
        <v>1</v>
      </c>
      <c r="E922" s="51">
        <f t="shared" si="340"/>
        <v>6.2936820872367267</v>
      </c>
      <c r="F922" s="23">
        <f t="shared" si="334"/>
        <v>0.15888950000000002</v>
      </c>
      <c r="G922" s="65">
        <f t="shared" si="341"/>
        <v>69.230502959603996</v>
      </c>
      <c r="H922" s="79">
        <v>8.6667000000000005</v>
      </c>
      <c r="I922" s="71">
        <f t="shared" si="337"/>
        <v>1.1000000000000001</v>
      </c>
      <c r="J922" s="23">
        <f t="shared" si="338"/>
        <v>0.15888950000000002</v>
      </c>
      <c r="K922" s="65">
        <f t="shared" si="339"/>
        <v>69.230502959603996</v>
      </c>
      <c r="L922" s="21">
        <v>600</v>
      </c>
      <c r="M922" s="21">
        <v>660</v>
      </c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</row>
    <row r="923" spans="1:23" s="26" customFormat="1" ht="30" customHeight="1" x14ac:dyDescent="0.2">
      <c r="A923" s="106" t="s">
        <v>2178</v>
      </c>
      <c r="B923" s="126" t="s">
        <v>920</v>
      </c>
      <c r="C923" s="49" t="s">
        <v>132</v>
      </c>
      <c r="D923" s="50">
        <v>1</v>
      </c>
      <c r="E923" s="51">
        <f t="shared" si="340"/>
        <v>24.813559322033903</v>
      </c>
      <c r="F923" s="23">
        <f t="shared" si="334"/>
        <v>4.0300546448087428E-2</v>
      </c>
      <c r="G923" s="65">
        <f t="shared" si="341"/>
        <v>272.94915254237293</v>
      </c>
      <c r="H923" s="77">
        <v>2.1982116244411323</v>
      </c>
      <c r="I923" s="71">
        <f t="shared" si="337"/>
        <v>1.1000000000000001</v>
      </c>
      <c r="J923" s="23">
        <f t="shared" si="338"/>
        <v>4.0300546448087428E-2</v>
      </c>
      <c r="K923" s="65">
        <f t="shared" si="339"/>
        <v>272.94915254237293</v>
      </c>
      <c r="L923" s="21">
        <v>600</v>
      </c>
      <c r="M923" s="21">
        <v>660</v>
      </c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</row>
    <row r="924" spans="1:23" s="26" customFormat="1" ht="30" customHeight="1" x14ac:dyDescent="0.2">
      <c r="A924" s="106" t="s">
        <v>2179</v>
      </c>
      <c r="B924" s="126" t="s">
        <v>921</v>
      </c>
      <c r="C924" s="49" t="s">
        <v>132</v>
      </c>
      <c r="D924" s="50">
        <v>1</v>
      </c>
      <c r="E924" s="51">
        <f t="shared" si="340"/>
        <v>20.745762711864405</v>
      </c>
      <c r="F924" s="23">
        <f t="shared" si="334"/>
        <v>4.820261437908497E-2</v>
      </c>
      <c r="G924" s="65">
        <f t="shared" si="341"/>
        <v>228.20338983050846</v>
      </c>
      <c r="H924" s="77">
        <v>2.6292335115864529</v>
      </c>
      <c r="I924" s="71">
        <f t="shared" si="337"/>
        <v>1.1000000000000001</v>
      </c>
      <c r="J924" s="23">
        <f t="shared" si="338"/>
        <v>4.820261437908497E-2</v>
      </c>
      <c r="K924" s="65">
        <f t="shared" si="339"/>
        <v>228.20338983050846</v>
      </c>
      <c r="L924" s="21">
        <v>600</v>
      </c>
      <c r="M924" s="21">
        <v>660</v>
      </c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</row>
    <row r="925" spans="1:23" s="26" customFormat="1" ht="30" customHeight="1" x14ac:dyDescent="0.2">
      <c r="A925" s="106" t="s">
        <v>2180</v>
      </c>
      <c r="B925" s="126" t="s">
        <v>922</v>
      </c>
      <c r="C925" s="49" t="s">
        <v>132</v>
      </c>
      <c r="D925" s="50">
        <v>1</v>
      </c>
      <c r="E925" s="51">
        <f t="shared" si="340"/>
        <v>17.898305084745768</v>
      </c>
      <c r="F925" s="23">
        <f t="shared" si="334"/>
        <v>5.5871212121212106E-2</v>
      </c>
      <c r="G925" s="65">
        <f t="shared" si="341"/>
        <v>196.88135593220343</v>
      </c>
      <c r="H925" s="77">
        <v>3.0475206611570242</v>
      </c>
      <c r="I925" s="71">
        <f t="shared" si="337"/>
        <v>1.1000000000000001</v>
      </c>
      <c r="J925" s="23">
        <f t="shared" si="338"/>
        <v>5.587121212121212E-2</v>
      </c>
      <c r="K925" s="65">
        <f t="shared" si="339"/>
        <v>196.88135593220341</v>
      </c>
      <c r="L925" s="21">
        <v>600</v>
      </c>
      <c r="M925" s="21">
        <v>660</v>
      </c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</row>
    <row r="926" spans="1:23" s="26" customFormat="1" ht="30" customHeight="1" x14ac:dyDescent="0.2">
      <c r="A926" s="106" t="s">
        <v>2181</v>
      </c>
      <c r="B926" s="126" t="s">
        <v>923</v>
      </c>
      <c r="C926" s="49" t="s">
        <v>132</v>
      </c>
      <c r="D926" s="50">
        <v>1</v>
      </c>
      <c r="E926" s="51">
        <f t="shared" si="340"/>
        <v>14.135593220338983</v>
      </c>
      <c r="F926" s="23">
        <f t="shared" si="334"/>
        <v>7.0743405275779381E-2</v>
      </c>
      <c r="G926" s="65">
        <f t="shared" si="341"/>
        <v>155.4915254237288</v>
      </c>
      <c r="H926" s="77">
        <v>3.8587311968606932</v>
      </c>
      <c r="I926" s="71">
        <f t="shared" si="337"/>
        <v>1.1000000000000001</v>
      </c>
      <c r="J926" s="23">
        <f t="shared" si="338"/>
        <v>7.0743405275779381E-2</v>
      </c>
      <c r="K926" s="65">
        <f t="shared" si="339"/>
        <v>155.4915254237288</v>
      </c>
      <c r="L926" s="21">
        <v>600</v>
      </c>
      <c r="M926" s="21">
        <v>660</v>
      </c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</row>
    <row r="927" spans="1:23" s="26" customFormat="1" ht="30" customHeight="1" x14ac:dyDescent="0.2">
      <c r="A927" s="106" t="s">
        <v>2182</v>
      </c>
      <c r="B927" s="126" t="s">
        <v>924</v>
      </c>
      <c r="C927" s="49" t="s">
        <v>132</v>
      </c>
      <c r="D927" s="50">
        <v>1</v>
      </c>
      <c r="E927" s="51">
        <f t="shared" si="340"/>
        <v>12.813559322033903</v>
      </c>
      <c r="F927" s="23">
        <f t="shared" si="334"/>
        <v>7.804232804232801E-2</v>
      </c>
      <c r="G927" s="65">
        <f t="shared" si="341"/>
        <v>140.94915254237293</v>
      </c>
      <c r="H927" s="77">
        <v>4.2568542568542558</v>
      </c>
      <c r="I927" s="71">
        <f t="shared" si="337"/>
        <v>1.1000000000000001</v>
      </c>
      <c r="J927" s="23">
        <f t="shared" si="338"/>
        <v>7.8042328042328038E-2</v>
      </c>
      <c r="K927" s="65">
        <f t="shared" si="339"/>
        <v>140.9491525423729</v>
      </c>
      <c r="L927" s="21">
        <v>600</v>
      </c>
      <c r="M927" s="21">
        <v>660</v>
      </c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</row>
    <row r="928" spans="1:23" s="26" customFormat="1" ht="30" customHeight="1" x14ac:dyDescent="0.2">
      <c r="A928" s="106" t="s">
        <v>2183</v>
      </c>
      <c r="B928" s="125" t="s">
        <v>3621</v>
      </c>
      <c r="C928" s="49" t="s">
        <v>132</v>
      </c>
      <c r="D928" s="50">
        <v>1</v>
      </c>
      <c r="E928" s="51">
        <f t="shared" si="340"/>
        <v>16.332203389830514</v>
      </c>
      <c r="F928" s="23">
        <f t="shared" si="334"/>
        <v>6.1228725612287239E-2</v>
      </c>
      <c r="G928" s="65">
        <f t="shared" si="341"/>
        <v>179.65423728813565</v>
      </c>
      <c r="H928" s="77">
        <v>3.3397486697611223</v>
      </c>
      <c r="I928" s="71">
        <f t="shared" si="337"/>
        <v>1.1000000000000001</v>
      </c>
      <c r="J928" s="23">
        <f t="shared" si="338"/>
        <v>6.1228725612287246E-2</v>
      </c>
      <c r="K928" s="65">
        <f t="shared" si="339"/>
        <v>179.65423728813562</v>
      </c>
      <c r="L928" s="21">
        <v>600</v>
      </c>
      <c r="M928" s="21">
        <v>660</v>
      </c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</row>
    <row r="929" spans="1:23" s="26" customFormat="1" ht="30" customHeight="1" x14ac:dyDescent="0.2">
      <c r="A929" s="106" t="s">
        <v>2184</v>
      </c>
      <c r="B929" s="125" t="s">
        <v>3622</v>
      </c>
      <c r="C929" s="49" t="s">
        <v>132</v>
      </c>
      <c r="D929" s="50">
        <v>1</v>
      </c>
      <c r="E929" s="51">
        <f>G929/11</f>
        <v>14.318644067796612</v>
      </c>
      <c r="F929" s="23">
        <f>11/G929</f>
        <v>6.9839015151515138E-2</v>
      </c>
      <c r="G929" s="65">
        <f>L929/H929</f>
        <v>157.50508474576273</v>
      </c>
      <c r="H929" s="77">
        <v>3.8094008264462809</v>
      </c>
      <c r="I929" s="71">
        <f t="shared" si="337"/>
        <v>1.1000000000000001</v>
      </c>
      <c r="J929" s="23">
        <f t="shared" si="338"/>
        <v>6.9839015151515152E-2</v>
      </c>
      <c r="K929" s="65">
        <f t="shared" si="339"/>
        <v>157.5050847457627</v>
      </c>
      <c r="L929" s="21">
        <v>600</v>
      </c>
      <c r="M929" s="21">
        <v>660</v>
      </c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</row>
    <row r="930" spans="1:23" s="26" customFormat="1" ht="30" customHeight="1" x14ac:dyDescent="0.2">
      <c r="A930" s="106" t="s">
        <v>2185</v>
      </c>
      <c r="B930" s="125" t="s">
        <v>3623</v>
      </c>
      <c r="C930" s="49" t="s">
        <v>132</v>
      </c>
      <c r="D930" s="50">
        <v>1</v>
      </c>
      <c r="E930" s="51">
        <f t="shared" si="340"/>
        <v>11.186440677966104</v>
      </c>
      <c r="F930" s="23">
        <f t="shared" si="334"/>
        <v>8.9393939393939373E-2</v>
      </c>
      <c r="G930" s="65">
        <f t="shared" si="341"/>
        <v>123.05084745762714</v>
      </c>
      <c r="H930" s="77">
        <v>4.876033057851239</v>
      </c>
      <c r="I930" s="71">
        <f t="shared" si="337"/>
        <v>1.1000000000000001</v>
      </c>
      <c r="J930" s="23">
        <f t="shared" si="338"/>
        <v>8.9393939393939387E-2</v>
      </c>
      <c r="K930" s="65">
        <f t="shared" si="339"/>
        <v>123.05084745762713</v>
      </c>
      <c r="L930" s="21">
        <v>600</v>
      </c>
      <c r="M930" s="21">
        <v>660</v>
      </c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</row>
    <row r="931" spans="1:23" s="26" customFormat="1" ht="30" customHeight="1" x14ac:dyDescent="0.2">
      <c r="A931" s="106" t="s">
        <v>2186</v>
      </c>
      <c r="B931" s="125" t="s">
        <v>3624</v>
      </c>
      <c r="C931" s="49" t="s">
        <v>132</v>
      </c>
      <c r="D931" s="50">
        <v>1</v>
      </c>
      <c r="E931" s="51">
        <f t="shared" si="340"/>
        <v>8.9491525423728842</v>
      </c>
      <c r="F931" s="23">
        <f t="shared" si="334"/>
        <v>0.11174242424242421</v>
      </c>
      <c r="G931" s="65">
        <f t="shared" si="341"/>
        <v>98.440677966101717</v>
      </c>
      <c r="H931" s="77">
        <v>6.0950413223140485</v>
      </c>
      <c r="I931" s="71">
        <f t="shared" si="337"/>
        <v>1.1000000000000001</v>
      </c>
      <c r="J931" s="23">
        <f t="shared" si="338"/>
        <v>0.11174242424242424</v>
      </c>
      <c r="K931" s="65">
        <f t="shared" si="339"/>
        <v>98.440677966101703</v>
      </c>
      <c r="L931" s="21">
        <v>600</v>
      </c>
      <c r="M931" s="21">
        <v>660</v>
      </c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</row>
    <row r="932" spans="1:23" s="26" customFormat="1" ht="30" customHeight="1" x14ac:dyDescent="0.2">
      <c r="A932" s="106" t="s">
        <v>2187</v>
      </c>
      <c r="B932" s="125" t="s">
        <v>3625</v>
      </c>
      <c r="C932" s="49" t="s">
        <v>132</v>
      </c>
      <c r="D932" s="50">
        <v>1</v>
      </c>
      <c r="E932" s="51">
        <f t="shared" si="340"/>
        <v>7.8305084745762716</v>
      </c>
      <c r="F932" s="23">
        <f t="shared" si="334"/>
        <v>0.12770562770562768</v>
      </c>
      <c r="G932" s="65">
        <f t="shared" si="341"/>
        <v>86.13559322033899</v>
      </c>
      <c r="H932" s="77">
        <v>6.9657615112160558</v>
      </c>
      <c r="I932" s="71">
        <f t="shared" si="337"/>
        <v>1.1000000000000001</v>
      </c>
      <c r="J932" s="23">
        <f t="shared" si="338"/>
        <v>0.12770562770562768</v>
      </c>
      <c r="K932" s="65">
        <f t="shared" si="339"/>
        <v>86.13559322033899</v>
      </c>
      <c r="L932" s="21">
        <v>600</v>
      </c>
      <c r="M932" s="21">
        <v>660</v>
      </c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</row>
    <row r="933" spans="1:23" s="26" customFormat="1" ht="30" customHeight="1" x14ac:dyDescent="0.2">
      <c r="A933" s="106" t="s">
        <v>2188</v>
      </c>
      <c r="B933" s="125" t="s">
        <v>3626</v>
      </c>
      <c r="C933" s="49" t="s">
        <v>132</v>
      </c>
      <c r="D933" s="50">
        <v>1</v>
      </c>
      <c r="E933" s="51">
        <f t="shared" si="340"/>
        <v>12.752542372881358</v>
      </c>
      <c r="F933" s="23">
        <f t="shared" si="334"/>
        <v>7.8415736310473133E-2</v>
      </c>
      <c r="G933" s="65">
        <f t="shared" si="341"/>
        <v>140.27796610169494</v>
      </c>
      <c r="H933" s="77">
        <v>4.2772219805712623</v>
      </c>
      <c r="I933" s="71">
        <f t="shared" si="337"/>
        <v>1.1000000000000001</v>
      </c>
      <c r="J933" s="23">
        <f t="shared" si="338"/>
        <v>7.8415736310473147E-2</v>
      </c>
      <c r="K933" s="65">
        <f t="shared" si="339"/>
        <v>140.27796610169491</v>
      </c>
      <c r="L933" s="21">
        <v>600</v>
      </c>
      <c r="M933" s="21">
        <v>660</v>
      </c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</row>
    <row r="934" spans="1:23" s="26" customFormat="1" ht="30" customHeight="1" x14ac:dyDescent="0.2">
      <c r="A934" s="106" t="s">
        <v>2189</v>
      </c>
      <c r="B934" s="125" t="s">
        <v>3627</v>
      </c>
      <c r="C934" s="49" t="s">
        <v>132</v>
      </c>
      <c r="D934" s="50">
        <v>1</v>
      </c>
      <c r="E934" s="51">
        <f t="shared" si="340"/>
        <v>10.357815442561206</v>
      </c>
      <c r="F934" s="23">
        <f t="shared" si="334"/>
        <v>9.6545454545454532E-2</v>
      </c>
      <c r="G934" s="65">
        <f t="shared" si="341"/>
        <v>113.93596986817327</v>
      </c>
      <c r="H934" s="79">
        <v>5.2661157024793379</v>
      </c>
      <c r="I934" s="71">
        <f t="shared" si="337"/>
        <v>1.1000000000000001</v>
      </c>
      <c r="J934" s="23">
        <f t="shared" si="338"/>
        <v>9.6545454545454532E-2</v>
      </c>
      <c r="K934" s="65">
        <f t="shared" si="339"/>
        <v>113.93596986817327</v>
      </c>
      <c r="L934" s="21">
        <v>600</v>
      </c>
      <c r="M934" s="21">
        <v>660</v>
      </c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</row>
    <row r="935" spans="1:23" s="26" customFormat="1" ht="30" customHeight="1" x14ac:dyDescent="0.2">
      <c r="A935" s="106" t="s">
        <v>2190</v>
      </c>
      <c r="B935" s="125" t="s">
        <v>3628</v>
      </c>
      <c r="C935" s="49" t="s">
        <v>132</v>
      </c>
      <c r="D935" s="50">
        <v>1</v>
      </c>
      <c r="E935" s="51">
        <f t="shared" si="340"/>
        <v>8.7223708989989106</v>
      </c>
      <c r="F935" s="23">
        <f t="shared" si="334"/>
        <v>0.11464772727272725</v>
      </c>
      <c r="G935" s="65">
        <f t="shared" si="341"/>
        <v>95.946079888988024</v>
      </c>
      <c r="H935" s="79">
        <v>6.2535123966942141</v>
      </c>
      <c r="I935" s="71">
        <f t="shared" si="337"/>
        <v>1.1000000000000001</v>
      </c>
      <c r="J935" s="23">
        <f t="shared" si="338"/>
        <v>0.11464772727272728</v>
      </c>
      <c r="K935" s="65">
        <f t="shared" si="339"/>
        <v>95.94607988898801</v>
      </c>
      <c r="L935" s="21">
        <v>600</v>
      </c>
      <c r="M935" s="21">
        <v>660</v>
      </c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</row>
    <row r="936" spans="1:23" s="26" customFormat="1" ht="30" customHeight="1" x14ac:dyDescent="0.2">
      <c r="A936" s="106" t="s">
        <v>2191</v>
      </c>
      <c r="B936" s="125" t="s">
        <v>3629</v>
      </c>
      <c r="C936" s="49" t="s">
        <v>132</v>
      </c>
      <c r="D936" s="50">
        <v>1</v>
      </c>
      <c r="E936" s="51">
        <f t="shared" si="340"/>
        <v>7.4140152641490742</v>
      </c>
      <c r="F936" s="23">
        <f t="shared" si="334"/>
        <v>0.13487967914438501</v>
      </c>
      <c r="G936" s="65">
        <f t="shared" si="341"/>
        <v>81.554167905639815</v>
      </c>
      <c r="H936" s="79">
        <v>7.3570734078755464</v>
      </c>
      <c r="I936" s="71">
        <f t="shared" si="337"/>
        <v>1.1000000000000001</v>
      </c>
      <c r="J936" s="23">
        <f t="shared" si="338"/>
        <v>0.13487967914438503</v>
      </c>
      <c r="K936" s="65">
        <f t="shared" si="339"/>
        <v>81.554167905639801</v>
      </c>
      <c r="L936" s="21">
        <v>600</v>
      </c>
      <c r="M936" s="21">
        <v>660</v>
      </c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</row>
    <row r="937" spans="1:23" s="26" customFormat="1" ht="30" customHeight="1" x14ac:dyDescent="0.2">
      <c r="A937" s="106" t="s">
        <v>2192</v>
      </c>
      <c r="B937" s="125" t="s">
        <v>3630</v>
      </c>
      <c r="C937" s="49" t="s">
        <v>132</v>
      </c>
      <c r="D937" s="50">
        <v>1</v>
      </c>
      <c r="E937" s="51">
        <f t="shared" si="340"/>
        <v>6.541778174249183</v>
      </c>
      <c r="F937" s="23">
        <f t="shared" si="334"/>
        <v>0.15286363636363634</v>
      </c>
      <c r="G937" s="65">
        <f t="shared" si="341"/>
        <v>71.959559916741014</v>
      </c>
      <c r="H937" s="79">
        <v>8.3380165289256194</v>
      </c>
      <c r="I937" s="71">
        <f t="shared" si="337"/>
        <v>1.1000000000000001</v>
      </c>
      <c r="J937" s="23">
        <f t="shared" si="338"/>
        <v>0.15286363636363637</v>
      </c>
      <c r="K937" s="65">
        <f t="shared" si="339"/>
        <v>71.959559916741</v>
      </c>
      <c r="L937" s="21">
        <v>600</v>
      </c>
      <c r="M937" s="21">
        <v>660</v>
      </c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</row>
    <row r="938" spans="1:23" s="26" customFormat="1" ht="30" customHeight="1" x14ac:dyDescent="0.2">
      <c r="A938" s="106" t="s">
        <v>2193</v>
      </c>
      <c r="B938" s="125" t="s">
        <v>3631</v>
      </c>
      <c r="C938" s="49" t="s">
        <v>132</v>
      </c>
      <c r="D938" s="50">
        <v>1</v>
      </c>
      <c r="E938" s="51">
        <f t="shared" si="340"/>
        <v>2.4952174997920653</v>
      </c>
      <c r="F938" s="23">
        <f t="shared" si="334"/>
        <v>0.4007666666666666</v>
      </c>
      <c r="G938" s="65">
        <f t="shared" si="341"/>
        <v>27.44739249771272</v>
      </c>
      <c r="H938" s="77">
        <v>21.86</v>
      </c>
      <c r="I938" s="71">
        <f t="shared" si="337"/>
        <v>1.1000000000000001</v>
      </c>
      <c r="J938" s="23">
        <f t="shared" si="338"/>
        <v>0.40076666666666672</v>
      </c>
      <c r="K938" s="65">
        <f t="shared" si="339"/>
        <v>27.447392497712713</v>
      </c>
      <c r="L938" s="21">
        <v>600</v>
      </c>
      <c r="M938" s="21">
        <v>660</v>
      </c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</row>
    <row r="939" spans="1:23" s="26" customFormat="1" ht="30" customHeight="1" x14ac:dyDescent="0.2">
      <c r="A939" s="106"/>
      <c r="B939" s="174" t="s">
        <v>3609</v>
      </c>
      <c r="C939" s="72"/>
      <c r="D939" s="72"/>
      <c r="E939" s="73"/>
      <c r="F939" s="73"/>
      <c r="G939" s="73"/>
      <c r="H939" s="236"/>
      <c r="I939" s="71"/>
      <c r="J939" s="298"/>
      <c r="K939" s="302"/>
      <c r="L939" s="297"/>
      <c r="M939" s="297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</row>
    <row r="940" spans="1:23" s="26" customFormat="1" ht="30" customHeight="1" x14ac:dyDescent="0.2">
      <c r="A940" s="254" t="s">
        <v>3604</v>
      </c>
      <c r="B940" s="126" t="s">
        <v>3637</v>
      </c>
      <c r="C940" s="299" t="s">
        <v>968</v>
      </c>
      <c r="D940" s="22">
        <v>1</v>
      </c>
      <c r="E940" s="301">
        <f t="shared" ref="E940:E942" si="342">G940/11</f>
        <v>109.09090909090909</v>
      </c>
      <c r="F940" s="298">
        <f>11/G940</f>
        <v>9.1666666666666667E-3</v>
      </c>
      <c r="G940" s="302">
        <f>L940/H940</f>
        <v>1200</v>
      </c>
      <c r="H940" s="303">
        <v>0.5</v>
      </c>
      <c r="I940" s="64"/>
      <c r="J940" s="64"/>
      <c r="K940" s="64"/>
      <c r="L940" s="297">
        <v>600</v>
      </c>
      <c r="M940" s="297">
        <v>660</v>
      </c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</row>
    <row r="941" spans="1:23" s="26" customFormat="1" ht="30" customHeight="1" x14ac:dyDescent="0.2">
      <c r="A941" s="254" t="s">
        <v>3607</v>
      </c>
      <c r="B941" s="125" t="s">
        <v>3633</v>
      </c>
      <c r="C941" s="299" t="s">
        <v>132</v>
      </c>
      <c r="D941" s="300">
        <v>1</v>
      </c>
      <c r="E941" s="301">
        <f t="shared" si="342"/>
        <v>24.793388429752063</v>
      </c>
      <c r="F941" s="298">
        <f t="shared" ref="F941:F942" si="343">11/G941</f>
        <v>4.0333333333333339E-2</v>
      </c>
      <c r="G941" s="302">
        <f t="shared" ref="G941:G942" si="344">L941/H941</f>
        <v>272.72727272727269</v>
      </c>
      <c r="H941" s="317">
        <v>2.2000000000000002</v>
      </c>
      <c r="I941" s="64"/>
      <c r="J941" s="64"/>
      <c r="K941" s="64"/>
      <c r="L941" s="297">
        <v>600</v>
      </c>
      <c r="M941" s="297">
        <v>660</v>
      </c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</row>
    <row r="942" spans="1:23" s="26" customFormat="1" ht="30" customHeight="1" x14ac:dyDescent="0.2">
      <c r="A942" s="254" t="s">
        <v>3608</v>
      </c>
      <c r="B942" s="125" t="s">
        <v>3634</v>
      </c>
      <c r="C942" s="299" t="s">
        <v>132</v>
      </c>
      <c r="D942" s="300">
        <v>1</v>
      </c>
      <c r="E942" s="301">
        <f t="shared" si="342"/>
        <v>21.818181818181817</v>
      </c>
      <c r="F942" s="298">
        <f t="shared" si="343"/>
        <v>4.583333333333333E-2</v>
      </c>
      <c r="G942" s="302">
        <f t="shared" si="344"/>
        <v>240</v>
      </c>
      <c r="H942" s="317">
        <v>2.5</v>
      </c>
      <c r="I942" s="64"/>
      <c r="J942" s="64"/>
      <c r="K942" s="64"/>
      <c r="L942" s="297">
        <v>600</v>
      </c>
      <c r="M942" s="297">
        <v>660</v>
      </c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</row>
    <row r="943" spans="1:23" s="26" customFormat="1" ht="30" customHeight="1" x14ac:dyDescent="0.2">
      <c r="A943" s="254" t="s">
        <v>3605</v>
      </c>
      <c r="B943" s="125" t="s">
        <v>3635</v>
      </c>
      <c r="C943" s="299" t="s">
        <v>132</v>
      </c>
      <c r="D943" s="300">
        <v>1</v>
      </c>
      <c r="E943" s="301">
        <f t="shared" ref="E943" si="345">G943/11</f>
        <v>20.524328170324555</v>
      </c>
      <c r="F943" s="298">
        <f t="shared" ref="F943" si="346">11/G943</f>
        <v>4.8722666666666671E-2</v>
      </c>
      <c r="G943" s="302">
        <f t="shared" ref="G943:G944" si="347">L943/H943</f>
        <v>225.76760987357011</v>
      </c>
      <c r="H943" s="317">
        <v>2.6576000000000004</v>
      </c>
      <c r="I943" s="64"/>
      <c r="J943" s="64"/>
      <c r="K943" s="64"/>
      <c r="L943" s="297">
        <v>600</v>
      </c>
      <c r="M943" s="297">
        <v>660</v>
      </c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</row>
    <row r="944" spans="1:23" s="26" customFormat="1" ht="30" customHeight="1" x14ac:dyDescent="0.2">
      <c r="A944" s="254" t="s">
        <v>3606</v>
      </c>
      <c r="B944" s="125" t="s">
        <v>3636</v>
      </c>
      <c r="C944" s="299" t="s">
        <v>132</v>
      </c>
      <c r="D944" s="300">
        <v>1</v>
      </c>
      <c r="E944" s="301">
        <f t="shared" ref="E944" si="348">G944/11</f>
        <v>18.061408789885611</v>
      </c>
      <c r="F944" s="298">
        <f t="shared" ref="F944" si="349">11/G944</f>
        <v>5.5366666666666661E-2</v>
      </c>
      <c r="G944" s="302">
        <f t="shared" si="347"/>
        <v>198.67549668874173</v>
      </c>
      <c r="H944" s="317">
        <v>3.02</v>
      </c>
      <c r="I944" s="64"/>
      <c r="J944" s="64"/>
      <c r="K944" s="64"/>
      <c r="L944" s="297">
        <v>600</v>
      </c>
      <c r="M944" s="297">
        <v>660</v>
      </c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</row>
    <row r="945" spans="1:23" s="26" customFormat="1" ht="30" customHeight="1" x14ac:dyDescent="0.2">
      <c r="A945" s="106"/>
      <c r="B945" s="171" t="s">
        <v>3129</v>
      </c>
      <c r="C945" s="33"/>
      <c r="D945" s="33"/>
      <c r="E945" s="33"/>
      <c r="F945" s="33"/>
      <c r="G945" s="33"/>
      <c r="H945" s="226"/>
      <c r="I945" s="64"/>
      <c r="J945" s="64"/>
      <c r="K945" s="64"/>
      <c r="L945" s="64"/>
      <c r="M945" s="64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</row>
    <row r="946" spans="1:23" s="26" customFormat="1" ht="30" customHeight="1" x14ac:dyDescent="0.2">
      <c r="A946" s="106" t="s">
        <v>2194</v>
      </c>
      <c r="B946" s="175" t="s">
        <v>960</v>
      </c>
      <c r="C946" s="49" t="s">
        <v>132</v>
      </c>
      <c r="D946" s="50">
        <v>1</v>
      </c>
      <c r="E946" s="51">
        <f t="shared" ref="E946" si="350">G946/11</f>
        <v>18.181818181818183</v>
      </c>
      <c r="F946" s="23">
        <f t="shared" si="334"/>
        <v>5.5E-2</v>
      </c>
      <c r="G946" s="65">
        <f t="shared" ref="G946" si="351">L946/H946</f>
        <v>200</v>
      </c>
      <c r="H946" s="77">
        <v>3</v>
      </c>
      <c r="I946" s="71">
        <f t="shared" ref="I946:I973" si="352">M946/L946</f>
        <v>1.1000000000000001</v>
      </c>
      <c r="J946" s="23">
        <f t="shared" ref="J946:J973" si="353">11/K946</f>
        <v>5.5000000000000007E-2</v>
      </c>
      <c r="K946" s="65">
        <f>M946/(H946*I946)</f>
        <v>199.99999999999997</v>
      </c>
      <c r="L946" s="21">
        <v>600</v>
      </c>
      <c r="M946" s="21">
        <v>660</v>
      </c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</row>
    <row r="947" spans="1:23" s="26" customFormat="1" ht="30" customHeight="1" x14ac:dyDescent="0.2">
      <c r="A947" s="106" t="s">
        <v>2195</v>
      </c>
      <c r="B947" s="110" t="s">
        <v>1442</v>
      </c>
      <c r="C947" s="49" t="s">
        <v>132</v>
      </c>
      <c r="D947" s="50">
        <v>1</v>
      </c>
      <c r="E947" s="51">
        <f t="shared" ref="E947:E973" si="354">G947/11</f>
        <v>86.683153649519355</v>
      </c>
      <c r="F947" s="23">
        <f t="shared" si="334"/>
        <v>1.153626694343907E-2</v>
      </c>
      <c r="G947" s="65">
        <f t="shared" ref="G947:G973" si="355">L947/H947</f>
        <v>953.51469014471297</v>
      </c>
      <c r="H947" s="79">
        <v>0.62925092418758566</v>
      </c>
      <c r="I947" s="71">
        <f t="shared" si="352"/>
        <v>1.1000000000000001</v>
      </c>
      <c r="J947" s="23">
        <f t="shared" si="353"/>
        <v>1.0999999999999999E-2</v>
      </c>
      <c r="K947" s="103">
        <v>1000</v>
      </c>
      <c r="L947" s="21">
        <v>600</v>
      </c>
      <c r="M947" s="21">
        <v>660</v>
      </c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</row>
    <row r="948" spans="1:23" s="26" customFormat="1" ht="30" customHeight="1" x14ac:dyDescent="0.2">
      <c r="A948" s="106" t="s">
        <v>2196</v>
      </c>
      <c r="B948" s="132" t="s">
        <v>1443</v>
      </c>
      <c r="C948" s="49" t="s">
        <v>132</v>
      </c>
      <c r="D948" s="50">
        <v>1</v>
      </c>
      <c r="E948" s="51">
        <f t="shared" si="354"/>
        <v>84.482792790527256</v>
      </c>
      <c r="F948" s="23">
        <f t="shared" si="334"/>
        <v>1.1836729906402034E-2</v>
      </c>
      <c r="G948" s="65">
        <f t="shared" si="355"/>
        <v>929.31072069579977</v>
      </c>
      <c r="H948" s="79">
        <v>0.64563981307647456</v>
      </c>
      <c r="I948" s="71">
        <f t="shared" si="352"/>
        <v>1.1000000000000001</v>
      </c>
      <c r="J948" s="23">
        <f t="shared" si="353"/>
        <v>1.1578947368421053E-2</v>
      </c>
      <c r="K948" s="103">
        <v>950</v>
      </c>
      <c r="L948" s="21">
        <v>600</v>
      </c>
      <c r="M948" s="21">
        <v>660</v>
      </c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</row>
    <row r="949" spans="1:23" s="26" customFormat="1" ht="30" customHeight="1" x14ac:dyDescent="0.2">
      <c r="A949" s="106" t="s">
        <v>2197</v>
      </c>
      <c r="B949" s="132" t="s">
        <v>1444</v>
      </c>
      <c r="C949" s="49" t="s">
        <v>132</v>
      </c>
      <c r="D949" s="50">
        <v>1</v>
      </c>
      <c r="E949" s="51">
        <f t="shared" si="354"/>
        <v>80.401002687403491</v>
      </c>
      <c r="F949" s="23">
        <f t="shared" si="334"/>
        <v>1.2437655832327959E-2</v>
      </c>
      <c r="G949" s="65">
        <f t="shared" si="355"/>
        <v>884.41102956143845</v>
      </c>
      <c r="H949" s="79">
        <v>0.67841759085425235</v>
      </c>
      <c r="I949" s="71">
        <f t="shared" si="352"/>
        <v>1.1000000000000001</v>
      </c>
      <c r="J949" s="23">
        <f t="shared" si="353"/>
        <v>1.264846355829962E-2</v>
      </c>
      <c r="K949" s="103">
        <v>869.67084573541445</v>
      </c>
      <c r="L949" s="21">
        <v>600</v>
      </c>
      <c r="M949" s="21">
        <v>660</v>
      </c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</row>
    <row r="950" spans="1:23" s="26" customFormat="1" ht="30" customHeight="1" x14ac:dyDescent="0.2">
      <c r="A950" s="106" t="s">
        <v>2198</v>
      </c>
      <c r="B950" s="132" t="s">
        <v>1445</v>
      </c>
      <c r="C950" s="49" t="s">
        <v>132</v>
      </c>
      <c r="D950" s="50">
        <v>1</v>
      </c>
      <c r="E950" s="51">
        <f t="shared" si="354"/>
        <v>76.968330233603453</v>
      </c>
      <c r="F950" s="23">
        <f t="shared" si="334"/>
        <v>1.2992356687028816E-2</v>
      </c>
      <c r="G950" s="65">
        <f t="shared" si="355"/>
        <v>846.65163256963797</v>
      </c>
      <c r="H950" s="79">
        <v>0.7086740011106627</v>
      </c>
      <c r="I950" s="71">
        <f t="shared" si="352"/>
        <v>1.1000000000000001</v>
      </c>
      <c r="J950" s="23">
        <f t="shared" si="353"/>
        <v>1.3212566122402186E-2</v>
      </c>
      <c r="K950" s="103">
        <v>832.54077202681071</v>
      </c>
      <c r="L950" s="21">
        <v>600</v>
      </c>
      <c r="M950" s="21">
        <v>660</v>
      </c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</row>
    <row r="951" spans="1:23" s="26" customFormat="1" ht="30" customHeight="1" x14ac:dyDescent="0.2">
      <c r="A951" s="106" t="s">
        <v>2199</v>
      </c>
      <c r="B951" s="110" t="s">
        <v>1446</v>
      </c>
      <c r="C951" s="49" t="s">
        <v>132</v>
      </c>
      <c r="D951" s="50">
        <v>1</v>
      </c>
      <c r="E951" s="51">
        <f t="shared" si="354"/>
        <v>65.210338164780893</v>
      </c>
      <c r="F951" s="23">
        <f t="shared" si="334"/>
        <v>1.533499178417211E-2</v>
      </c>
      <c r="G951" s="65">
        <f t="shared" si="355"/>
        <v>717.31371981258985</v>
      </c>
      <c r="H951" s="79">
        <v>0.83645409731847875</v>
      </c>
      <c r="I951" s="71">
        <f t="shared" si="352"/>
        <v>1.1000000000000001</v>
      </c>
      <c r="J951" s="23">
        <f t="shared" si="353"/>
        <v>1.5594906899158077E-2</v>
      </c>
      <c r="K951" s="103">
        <v>705.3584911490467</v>
      </c>
      <c r="L951" s="21">
        <v>600</v>
      </c>
      <c r="M951" s="21">
        <v>660</v>
      </c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</row>
    <row r="952" spans="1:23" s="26" customFormat="1" ht="30" customHeight="1" x14ac:dyDescent="0.2">
      <c r="A952" s="106" t="s">
        <v>2200</v>
      </c>
      <c r="B952" s="110" t="s">
        <v>1447</v>
      </c>
      <c r="C952" s="49" t="s">
        <v>132</v>
      </c>
      <c r="D952" s="50">
        <v>1</v>
      </c>
      <c r="E952" s="51">
        <f t="shared" si="354"/>
        <v>63.563844198505791</v>
      </c>
      <c r="F952" s="23">
        <f t="shared" si="334"/>
        <v>1.5732214006394334E-2</v>
      </c>
      <c r="G952" s="65">
        <f t="shared" si="355"/>
        <v>699.20228618356373</v>
      </c>
      <c r="H952" s="79">
        <v>0.85812076398514536</v>
      </c>
      <c r="I952" s="71">
        <f t="shared" si="352"/>
        <v>1.1000000000000001</v>
      </c>
      <c r="J952" s="23">
        <f t="shared" si="353"/>
        <v>1.5998861701417965E-2</v>
      </c>
      <c r="K952" s="103">
        <v>687.54891474717101</v>
      </c>
      <c r="L952" s="21">
        <v>600</v>
      </c>
      <c r="M952" s="21">
        <v>660</v>
      </c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</row>
    <row r="953" spans="1:23" s="26" customFormat="1" ht="30" customHeight="1" x14ac:dyDescent="0.2">
      <c r="A953" s="106" t="s">
        <v>2201</v>
      </c>
      <c r="B953" s="132" t="s">
        <v>1448</v>
      </c>
      <c r="C953" s="49" t="s">
        <v>132</v>
      </c>
      <c r="D953" s="50">
        <v>1</v>
      </c>
      <c r="E953" s="51">
        <f t="shared" si="354"/>
        <v>61.998447176090259</v>
      </c>
      <c r="F953" s="23">
        <f t="shared" si="334"/>
        <v>1.6129436228616557E-2</v>
      </c>
      <c r="G953" s="65">
        <f t="shared" si="355"/>
        <v>681.98291893699286</v>
      </c>
      <c r="H953" s="79">
        <v>0.87978743065181209</v>
      </c>
      <c r="I953" s="71">
        <f t="shared" si="352"/>
        <v>1.1000000000000001</v>
      </c>
      <c r="J953" s="23">
        <f t="shared" si="353"/>
        <v>1.6402816503677854E-2</v>
      </c>
      <c r="K953" s="103">
        <v>670.61653695470966</v>
      </c>
      <c r="L953" s="21">
        <v>600</v>
      </c>
      <c r="M953" s="21">
        <v>660</v>
      </c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</row>
    <row r="954" spans="1:23" s="26" customFormat="1" ht="30" customHeight="1" x14ac:dyDescent="0.2">
      <c r="A954" s="106" t="s">
        <v>2202</v>
      </c>
      <c r="B954" s="132" t="s">
        <v>1449</v>
      </c>
      <c r="C954" s="49" t="s">
        <v>132</v>
      </c>
      <c r="D954" s="50">
        <v>1</v>
      </c>
      <c r="E954" s="51">
        <f t="shared" si="354"/>
        <v>59.789768786447986</v>
      </c>
      <c r="F954" s="23">
        <f t="shared" si="334"/>
        <v>1.6725269561949887E-2</v>
      </c>
      <c r="G954" s="65">
        <f t="shared" si="355"/>
        <v>657.68745665092786</v>
      </c>
      <c r="H954" s="79">
        <v>0.91228743065181206</v>
      </c>
      <c r="I954" s="71">
        <f t="shared" si="352"/>
        <v>1.1000000000000001</v>
      </c>
      <c r="J954" s="23">
        <f t="shared" si="353"/>
        <v>1.7008748707067683E-2</v>
      </c>
      <c r="K954" s="103">
        <v>646.72599904007905</v>
      </c>
      <c r="L954" s="21">
        <v>600</v>
      </c>
      <c r="M954" s="21">
        <v>660</v>
      </c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</row>
    <row r="955" spans="1:23" s="26" customFormat="1" ht="30" customHeight="1" x14ac:dyDescent="0.2">
      <c r="A955" s="106" t="s">
        <v>2203</v>
      </c>
      <c r="B955" s="132" t="s">
        <v>1450</v>
      </c>
      <c r="C955" s="49" t="s">
        <v>132</v>
      </c>
      <c r="D955" s="50">
        <v>1</v>
      </c>
      <c r="E955" s="51">
        <f t="shared" si="354"/>
        <v>59.088102741812307</v>
      </c>
      <c r="F955" s="23">
        <f t="shared" si="334"/>
        <v>1.6923880673061002E-2</v>
      </c>
      <c r="G955" s="65">
        <f t="shared" si="355"/>
        <v>649.96913015993539</v>
      </c>
      <c r="H955" s="79">
        <v>0.92312076398514542</v>
      </c>
      <c r="I955" s="71">
        <f t="shared" si="352"/>
        <v>1.1000000000000001</v>
      </c>
      <c r="J955" s="23">
        <f t="shared" si="353"/>
        <v>1.7210726108197627E-2</v>
      </c>
      <c r="K955" s="103">
        <v>639.13631132393652</v>
      </c>
      <c r="L955" s="21">
        <v>600</v>
      </c>
      <c r="M955" s="21">
        <v>660</v>
      </c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</row>
    <row r="956" spans="1:23" s="26" customFormat="1" ht="30" customHeight="1" x14ac:dyDescent="0.2">
      <c r="A956" s="106" t="s">
        <v>2204</v>
      </c>
      <c r="B956" s="132" t="s">
        <v>1451</v>
      </c>
      <c r="C956" s="49" t="s">
        <v>132</v>
      </c>
      <c r="D956" s="50">
        <v>1</v>
      </c>
      <c r="E956" s="51">
        <f t="shared" si="354"/>
        <v>55.20120266015838</v>
      </c>
      <c r="F956" s="23">
        <f t="shared" si="334"/>
        <v>1.8115547339727669E-2</v>
      </c>
      <c r="G956" s="65">
        <f t="shared" si="355"/>
        <v>607.21322926174219</v>
      </c>
      <c r="H956" s="79">
        <v>0.98812076398514548</v>
      </c>
      <c r="I956" s="71">
        <f t="shared" si="352"/>
        <v>1.1000000000000001</v>
      </c>
      <c r="J956" s="23">
        <f t="shared" si="353"/>
        <v>1.8422590514977286E-2</v>
      </c>
      <c r="K956" s="103">
        <v>597.09300877404655</v>
      </c>
      <c r="L956" s="21">
        <v>600</v>
      </c>
      <c r="M956" s="21">
        <v>660</v>
      </c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</row>
    <row r="957" spans="1:23" s="26" customFormat="1" ht="30" customHeight="1" x14ac:dyDescent="0.3">
      <c r="A957" s="106" t="s">
        <v>2205</v>
      </c>
      <c r="B957" s="132" t="s">
        <v>1452</v>
      </c>
      <c r="C957" s="49" t="s">
        <v>132</v>
      </c>
      <c r="D957" s="50">
        <v>1</v>
      </c>
      <c r="E957" s="51">
        <f t="shared" si="354"/>
        <v>53.968542889776494</v>
      </c>
      <c r="F957" s="23">
        <f t="shared" si="334"/>
        <v>1.8529312567181325E-2</v>
      </c>
      <c r="G957" s="65">
        <f t="shared" si="355"/>
        <v>593.65397178754142</v>
      </c>
      <c r="H957" s="267">
        <v>1.0106897763917086</v>
      </c>
      <c r="I957" s="71">
        <f t="shared" si="352"/>
        <v>1.1000000000000001</v>
      </c>
      <c r="J957" s="23">
        <f t="shared" si="353"/>
        <v>1.9785537148007178E-2</v>
      </c>
      <c r="K957" s="103">
        <v>555.96165611849119</v>
      </c>
      <c r="L957" s="21">
        <v>600</v>
      </c>
      <c r="M957" s="21">
        <v>660</v>
      </c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</row>
    <row r="958" spans="1:23" s="26" customFormat="1" ht="30" customHeight="1" x14ac:dyDescent="0.2">
      <c r="A958" s="106" t="s">
        <v>2206</v>
      </c>
      <c r="B958" s="132" t="s">
        <v>1453</v>
      </c>
      <c r="C958" s="49" t="s">
        <v>132</v>
      </c>
      <c r="D958" s="50">
        <v>1</v>
      </c>
      <c r="E958" s="51">
        <f t="shared" si="354"/>
        <v>54.121861873412563</v>
      </c>
      <c r="F958" s="23">
        <f t="shared" si="334"/>
        <v>1.8476821849531592E-2</v>
      </c>
      <c r="G958" s="65">
        <f t="shared" si="355"/>
        <v>595.34048060753821</v>
      </c>
      <c r="H958" s="79">
        <v>1.0078266463380867</v>
      </c>
      <c r="I958" s="71">
        <f t="shared" si="352"/>
        <v>1.1000000000000001</v>
      </c>
      <c r="J958" s="23">
        <f t="shared" si="353"/>
        <v>1.8789988321557548E-2</v>
      </c>
      <c r="K958" s="103">
        <v>585.41813926407929</v>
      </c>
      <c r="L958" s="21">
        <v>600</v>
      </c>
      <c r="M958" s="21">
        <v>660</v>
      </c>
      <c r="N958" s="285">
        <v>1.0106897763917086</v>
      </c>
      <c r="O958" s="285"/>
      <c r="P958" s="285"/>
      <c r="Q958" s="285"/>
      <c r="R958" s="285"/>
      <c r="S958" s="285"/>
      <c r="T958" s="285"/>
      <c r="U958" s="285"/>
      <c r="V958" s="285"/>
      <c r="W958" s="285"/>
    </row>
    <row r="959" spans="1:23" s="26" customFormat="1" ht="30" customHeight="1" x14ac:dyDescent="0.2">
      <c r="A959" s="106" t="s">
        <v>2207</v>
      </c>
      <c r="B959" s="132" t="s">
        <v>1454</v>
      </c>
      <c r="C959" s="49" t="s">
        <v>132</v>
      </c>
      <c r="D959" s="50">
        <v>1</v>
      </c>
      <c r="E959" s="51">
        <f t="shared" si="354"/>
        <v>48.270665226684521</v>
      </c>
      <c r="F959" s="23">
        <f t="shared" si="334"/>
        <v>2.0716515823925079E-2</v>
      </c>
      <c r="G959" s="65">
        <f t="shared" si="355"/>
        <v>530.97731749352977</v>
      </c>
      <c r="H959" s="79">
        <v>1.1299917722140953</v>
      </c>
      <c r="I959" s="71">
        <f t="shared" si="352"/>
        <v>1.1000000000000001</v>
      </c>
      <c r="J959" s="23">
        <f t="shared" si="353"/>
        <v>2.1067643210771266E-2</v>
      </c>
      <c r="K959" s="103">
        <v>522.12769553530427</v>
      </c>
      <c r="L959" s="21">
        <v>600</v>
      </c>
      <c r="M959" s="21">
        <v>660</v>
      </c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</row>
    <row r="960" spans="1:23" s="26" customFormat="1" ht="30" customHeight="1" x14ac:dyDescent="0.2">
      <c r="A960" s="106" t="s">
        <v>2208</v>
      </c>
      <c r="B960" s="132" t="s">
        <v>1455</v>
      </c>
      <c r="C960" s="49" t="s">
        <v>132</v>
      </c>
      <c r="D960" s="50">
        <v>1</v>
      </c>
      <c r="E960" s="51">
        <f t="shared" si="354"/>
        <v>44.455270187220883</v>
      </c>
      <c r="F960" s="23">
        <f t="shared" si="334"/>
        <v>2.2494520802338082E-2</v>
      </c>
      <c r="G960" s="65">
        <f t="shared" si="355"/>
        <v>489.00797205942968</v>
      </c>
      <c r="H960" s="79">
        <v>1.2269738619457136</v>
      </c>
      <c r="I960" s="71">
        <f t="shared" si="352"/>
        <v>1.1000000000000001</v>
      </c>
      <c r="J960" s="23">
        <f t="shared" si="353"/>
        <v>2.2875783866784492E-2</v>
      </c>
      <c r="K960" s="103">
        <v>480.85783919177248</v>
      </c>
      <c r="L960" s="21">
        <v>600</v>
      </c>
      <c r="M960" s="21">
        <v>660</v>
      </c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</row>
    <row r="961" spans="1:23" s="26" customFormat="1" ht="30" customHeight="1" x14ac:dyDescent="0.2">
      <c r="A961" s="106" t="s">
        <v>2209</v>
      </c>
      <c r="B961" s="132" t="s">
        <v>1456</v>
      </c>
      <c r="C961" s="49" t="s">
        <v>132</v>
      </c>
      <c r="D961" s="50">
        <v>1</v>
      </c>
      <c r="E961" s="51">
        <f t="shared" si="354"/>
        <v>43.279491499989049</v>
      </c>
      <c r="F961" s="23">
        <f t="shared" si="334"/>
        <v>2.3105631913449189E-2</v>
      </c>
      <c r="G961" s="65">
        <f t="shared" si="355"/>
        <v>476.07440649987956</v>
      </c>
      <c r="H961" s="79">
        <v>1.2603071952790468</v>
      </c>
      <c r="I961" s="71">
        <f t="shared" si="352"/>
        <v>1.1000000000000001</v>
      </c>
      <c r="J961" s="23">
        <f t="shared" si="353"/>
        <v>2.3497252793338162E-2</v>
      </c>
      <c r="K961" s="103">
        <v>468.13983305821489</v>
      </c>
      <c r="L961" s="21">
        <v>600</v>
      </c>
      <c r="M961" s="21">
        <v>660</v>
      </c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</row>
    <row r="962" spans="1:23" s="26" customFormat="1" ht="30" customHeight="1" x14ac:dyDescent="0.2">
      <c r="A962" s="106" t="s">
        <v>2210</v>
      </c>
      <c r="B962" s="132" t="s">
        <v>1457</v>
      </c>
      <c r="C962" s="49" t="s">
        <v>132</v>
      </c>
      <c r="D962" s="50">
        <v>1</v>
      </c>
      <c r="E962" s="51">
        <f t="shared" si="354"/>
        <v>40.097894604067982</v>
      </c>
      <c r="F962" s="23">
        <f t="shared" si="334"/>
        <v>2.4938965246782529E-2</v>
      </c>
      <c r="G962" s="65">
        <f t="shared" si="355"/>
        <v>441.07684064474779</v>
      </c>
      <c r="H962" s="79">
        <v>1.3603071952790469</v>
      </c>
      <c r="I962" s="71">
        <f t="shared" si="352"/>
        <v>1.1000000000000001</v>
      </c>
      <c r="J962" s="23">
        <f t="shared" si="353"/>
        <v>2.5361659572999178E-2</v>
      </c>
      <c r="K962" s="103">
        <v>433.72555996733536</v>
      </c>
      <c r="L962" s="21">
        <v>600</v>
      </c>
      <c r="M962" s="21">
        <v>660</v>
      </c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</row>
    <row r="963" spans="1:23" s="26" customFormat="1" ht="30" customHeight="1" x14ac:dyDescent="0.2">
      <c r="A963" s="106" t="s">
        <v>2211</v>
      </c>
      <c r="B963" s="132" t="s">
        <v>1458</v>
      </c>
      <c r="C963" s="49" t="s">
        <v>132</v>
      </c>
      <c r="D963" s="50">
        <v>1</v>
      </c>
      <c r="E963" s="51">
        <f t="shared" si="354"/>
        <v>35.710664243036824</v>
      </c>
      <c r="F963" s="23">
        <f t="shared" si="334"/>
        <v>2.8002839521389992E-2</v>
      </c>
      <c r="G963" s="65">
        <f t="shared" si="355"/>
        <v>392.81730667340508</v>
      </c>
      <c r="H963" s="79">
        <v>1.5274276102576358</v>
      </c>
      <c r="I963" s="71">
        <f t="shared" si="352"/>
        <v>1.1000000000000001</v>
      </c>
      <c r="J963" s="23">
        <f t="shared" si="353"/>
        <v>2.8477463920057618E-2</v>
      </c>
      <c r="K963" s="103">
        <v>386.27035156218165</v>
      </c>
      <c r="L963" s="21">
        <v>600</v>
      </c>
      <c r="M963" s="21">
        <v>660</v>
      </c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</row>
    <row r="964" spans="1:23" s="26" customFormat="1" ht="30" customHeight="1" x14ac:dyDescent="0.3">
      <c r="A964" s="106" t="s">
        <v>2212</v>
      </c>
      <c r="B964" s="132" t="s">
        <v>1459</v>
      </c>
      <c r="C964" s="49" t="s">
        <v>132</v>
      </c>
      <c r="D964" s="50">
        <v>1</v>
      </c>
      <c r="E964" s="51">
        <f t="shared" si="354"/>
        <v>32.58472039144339</v>
      </c>
      <c r="F964" s="23">
        <f t="shared" si="334"/>
        <v>3.0689230657403335E-2</v>
      </c>
      <c r="G964" s="65">
        <f t="shared" si="355"/>
        <v>358.43192430587726</v>
      </c>
      <c r="H964" s="267">
        <v>1.6739580358583637</v>
      </c>
      <c r="I964" s="71">
        <f t="shared" si="352"/>
        <v>1.1000000000000001</v>
      </c>
      <c r="J964" s="23">
        <f t="shared" si="353"/>
        <v>3.2769856464684916E-2</v>
      </c>
      <c r="K964" s="103">
        <v>335.67434181026601</v>
      </c>
      <c r="L964" s="21">
        <v>600</v>
      </c>
      <c r="M964" s="21">
        <v>660</v>
      </c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</row>
    <row r="965" spans="1:23" s="26" customFormat="1" ht="30" customHeight="1" x14ac:dyDescent="0.2">
      <c r="A965" s="106" t="s">
        <v>2213</v>
      </c>
      <c r="B965" s="132" t="s">
        <v>1460</v>
      </c>
      <c r="C965" s="49" t="s">
        <v>132</v>
      </c>
      <c r="D965" s="50">
        <v>1</v>
      </c>
      <c r="E965" s="51">
        <f t="shared" si="354"/>
        <v>33.46332584507951</v>
      </c>
      <c r="F965" s="23">
        <f t="shared" si="334"/>
        <v>2.9883461214511686E-2</v>
      </c>
      <c r="G965" s="65">
        <f t="shared" si="355"/>
        <v>368.09658429587461</v>
      </c>
      <c r="H965" s="79">
        <v>1.630006975337001</v>
      </c>
      <c r="I965" s="71">
        <f t="shared" si="352"/>
        <v>1.1000000000000001</v>
      </c>
      <c r="J965" s="23">
        <f t="shared" si="353"/>
        <v>3.0389960557130526E-2</v>
      </c>
      <c r="K965" s="103">
        <v>361.96164122427672</v>
      </c>
      <c r="L965" s="21">
        <v>600</v>
      </c>
      <c r="M965" s="21">
        <v>660</v>
      </c>
      <c r="N965" s="285">
        <v>1.6739580358583637</v>
      </c>
      <c r="O965" s="285"/>
      <c r="P965" s="285"/>
      <c r="Q965" s="285"/>
      <c r="R965" s="285"/>
      <c r="S965" s="285"/>
      <c r="T965" s="285"/>
      <c r="U965" s="285"/>
      <c r="V965" s="285"/>
      <c r="W965" s="285"/>
    </row>
    <row r="966" spans="1:23" s="26" customFormat="1" ht="30" customHeight="1" x14ac:dyDescent="0.2">
      <c r="A966" s="106" t="s">
        <v>2214</v>
      </c>
      <c r="B966" s="132" t="s">
        <v>1461</v>
      </c>
      <c r="C966" s="49" t="s">
        <v>132</v>
      </c>
      <c r="D966" s="50">
        <v>1</v>
      </c>
      <c r="E966" s="51">
        <f t="shared" si="354"/>
        <v>25.803484834425749</v>
      </c>
      <c r="F966" s="23">
        <f t="shared" si="334"/>
        <v>3.8754455315502534E-2</v>
      </c>
      <c r="G966" s="65">
        <f t="shared" si="355"/>
        <v>283.83833317868323</v>
      </c>
      <c r="H966" s="79">
        <v>2.1138793808455927</v>
      </c>
      <c r="I966" s="71">
        <f t="shared" si="352"/>
        <v>1.1000000000000001</v>
      </c>
      <c r="J966" s="23">
        <f t="shared" si="353"/>
        <v>3.9411310490341557E-2</v>
      </c>
      <c r="K966" s="103">
        <v>279.10769429237189</v>
      </c>
      <c r="L966" s="21">
        <v>600</v>
      </c>
      <c r="M966" s="21">
        <v>660</v>
      </c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</row>
    <row r="967" spans="1:23" s="26" customFormat="1" ht="30" customHeight="1" x14ac:dyDescent="0.2">
      <c r="A967" s="106" t="s">
        <v>2215</v>
      </c>
      <c r="B967" s="132" t="s">
        <v>1462</v>
      </c>
      <c r="C967" s="49" t="s">
        <v>132</v>
      </c>
      <c r="D967" s="50">
        <v>1</v>
      </c>
      <c r="E967" s="51">
        <f t="shared" si="354"/>
        <v>20.60121191022726</v>
      </c>
      <c r="F967" s="23">
        <f t="shared" si="334"/>
        <v>4.8540833634333924E-2</v>
      </c>
      <c r="G967" s="65">
        <f t="shared" si="355"/>
        <v>226.61333101249986</v>
      </c>
      <c r="H967" s="79">
        <v>2.6476818346000321</v>
      </c>
      <c r="I967" s="71">
        <f t="shared" si="352"/>
        <v>1.1000000000000001</v>
      </c>
      <c r="J967" s="23">
        <f t="shared" si="353"/>
        <v>4.3469403254627392E-2</v>
      </c>
      <c r="K967" s="103">
        <v>253.05155296395819</v>
      </c>
      <c r="L967" s="21">
        <v>600</v>
      </c>
      <c r="M967" s="21">
        <v>660</v>
      </c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</row>
    <row r="968" spans="1:23" s="26" customFormat="1" ht="30" customHeight="1" x14ac:dyDescent="0.2">
      <c r="A968" s="106" t="s">
        <v>2216</v>
      </c>
      <c r="B968" s="132" t="s">
        <v>1463</v>
      </c>
      <c r="C968" s="49" t="s">
        <v>132</v>
      </c>
      <c r="D968" s="50">
        <v>1</v>
      </c>
      <c r="E968" s="51">
        <f t="shared" si="354"/>
        <v>19.208244373143767</v>
      </c>
      <c r="F968" s="23">
        <f t="shared" ref="F968:F973" si="356">11/G968</f>
        <v>5.2060978638847483E-2</v>
      </c>
      <c r="G968" s="65">
        <f t="shared" si="355"/>
        <v>211.29068810458145</v>
      </c>
      <c r="H968" s="79">
        <v>2.8396897439371354</v>
      </c>
      <c r="I968" s="71">
        <f t="shared" si="352"/>
        <v>1.1000000000000001</v>
      </c>
      <c r="J968" s="23">
        <f t="shared" si="353"/>
        <v>5.2943368107302526E-2</v>
      </c>
      <c r="K968" s="103">
        <v>207.76917663617175</v>
      </c>
      <c r="L968" s="21">
        <v>600</v>
      </c>
      <c r="M968" s="21">
        <v>660</v>
      </c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</row>
    <row r="969" spans="1:23" s="26" customFormat="1" ht="30" customHeight="1" x14ac:dyDescent="0.2">
      <c r="A969" s="106" t="s">
        <v>2217</v>
      </c>
      <c r="B969" s="132" t="s">
        <v>1464</v>
      </c>
      <c r="C969" s="49" t="s">
        <v>132</v>
      </c>
      <c r="D969" s="50">
        <v>1</v>
      </c>
      <c r="E969" s="51">
        <f t="shared" si="354"/>
        <v>19.537947052301703</v>
      </c>
      <c r="F969" s="23">
        <f t="shared" si="356"/>
        <v>5.1182450096884317E-2</v>
      </c>
      <c r="G969" s="65">
        <f t="shared" si="355"/>
        <v>214.91741757531875</v>
      </c>
      <c r="H969" s="79">
        <v>2.7917700052845991</v>
      </c>
      <c r="I969" s="71">
        <f t="shared" si="352"/>
        <v>1.1000000000000001</v>
      </c>
      <c r="J969" s="23">
        <f t="shared" si="353"/>
        <v>5.2049949251068796E-2</v>
      </c>
      <c r="K969" s="103">
        <v>211.33546061573011</v>
      </c>
      <c r="L969" s="21">
        <v>600</v>
      </c>
      <c r="M969" s="21">
        <v>660</v>
      </c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</row>
    <row r="970" spans="1:23" s="26" customFormat="1" ht="30" customHeight="1" x14ac:dyDescent="0.2">
      <c r="A970" s="106" t="s">
        <v>2218</v>
      </c>
      <c r="B970" s="132" t="s">
        <v>1465</v>
      </c>
      <c r="C970" s="49" t="s">
        <v>132</v>
      </c>
      <c r="D970" s="50">
        <v>1</v>
      </c>
      <c r="E970" s="51">
        <f t="shared" si="354"/>
        <v>16.318610121358518</v>
      </c>
      <c r="F970" s="23">
        <f t="shared" si="356"/>
        <v>6.1279728638847487E-2</v>
      </c>
      <c r="G970" s="65">
        <f t="shared" si="355"/>
        <v>179.50471133494369</v>
      </c>
      <c r="H970" s="79">
        <v>3.3425306530280445</v>
      </c>
      <c r="I970" s="71">
        <f t="shared" si="352"/>
        <v>1.1000000000000001</v>
      </c>
      <c r="J970" s="23">
        <f t="shared" si="353"/>
        <v>6.2318368107302527E-2</v>
      </c>
      <c r="K970" s="103">
        <v>176.51296614602796</v>
      </c>
      <c r="L970" s="21">
        <v>600</v>
      </c>
      <c r="M970" s="21">
        <v>660</v>
      </c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</row>
    <row r="971" spans="1:23" s="26" customFormat="1" ht="30" customHeight="1" x14ac:dyDescent="0.2">
      <c r="A971" s="106" t="s">
        <v>2219</v>
      </c>
      <c r="B971" s="132" t="s">
        <v>550</v>
      </c>
      <c r="C971" s="49" t="s">
        <v>132</v>
      </c>
      <c r="D971" s="50">
        <v>1</v>
      </c>
      <c r="E971" s="51">
        <f t="shared" si="354"/>
        <v>20.974576271186443</v>
      </c>
      <c r="F971" s="23">
        <f t="shared" si="356"/>
        <v>4.7676767676767672E-2</v>
      </c>
      <c r="G971" s="65">
        <f t="shared" si="355"/>
        <v>230.72033898305088</v>
      </c>
      <c r="H971" s="77">
        <v>2.6005509641873275</v>
      </c>
      <c r="I971" s="71">
        <f t="shared" si="352"/>
        <v>1.1000000000000001</v>
      </c>
      <c r="J971" s="23">
        <f t="shared" si="353"/>
        <v>4.7676767676767672E-2</v>
      </c>
      <c r="K971" s="65">
        <f>M971/(H971*I971)</f>
        <v>230.72033898305088</v>
      </c>
      <c r="L971" s="21">
        <v>600</v>
      </c>
      <c r="M971" s="21">
        <v>660</v>
      </c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</row>
    <row r="972" spans="1:23" s="26" customFormat="1" ht="30" customHeight="1" x14ac:dyDescent="0.2">
      <c r="A972" s="106" t="s">
        <v>2220</v>
      </c>
      <c r="B972" s="132" t="s">
        <v>1260</v>
      </c>
      <c r="C972" s="49" t="s">
        <v>132</v>
      </c>
      <c r="D972" s="50">
        <v>1</v>
      </c>
      <c r="E972" s="51">
        <f t="shared" si="354"/>
        <v>27.272727272727273</v>
      </c>
      <c r="F972" s="23">
        <f t="shared" si="356"/>
        <v>3.6666666666666667E-2</v>
      </c>
      <c r="G972" s="65">
        <f t="shared" si="355"/>
        <v>300</v>
      </c>
      <c r="H972" s="77">
        <v>2</v>
      </c>
      <c r="I972" s="71">
        <f t="shared" si="352"/>
        <v>1.1000000000000001</v>
      </c>
      <c r="J972" s="23">
        <f t="shared" si="353"/>
        <v>3.6666666666666667E-2</v>
      </c>
      <c r="K972" s="65">
        <f>M972/(H972*I972)</f>
        <v>300</v>
      </c>
      <c r="L972" s="21">
        <v>600</v>
      </c>
      <c r="M972" s="21">
        <v>660</v>
      </c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</row>
    <row r="973" spans="1:23" s="26" customFormat="1" ht="30" customHeight="1" x14ac:dyDescent="0.2">
      <c r="A973" s="106" t="s">
        <v>2221</v>
      </c>
      <c r="B973" s="132" t="s">
        <v>1429</v>
      </c>
      <c r="C973" s="49" t="s">
        <v>132</v>
      </c>
      <c r="D973" s="50">
        <v>1</v>
      </c>
      <c r="E973" s="51">
        <f t="shared" si="354"/>
        <v>17.096336499321577</v>
      </c>
      <c r="F973" s="23">
        <f t="shared" si="356"/>
        <v>5.8492063492063484E-2</v>
      </c>
      <c r="G973" s="65">
        <f t="shared" si="355"/>
        <v>188.05970149253733</v>
      </c>
      <c r="H973" s="220">
        <v>3.1904761904761902</v>
      </c>
      <c r="I973" s="71">
        <f t="shared" si="352"/>
        <v>1.1000000000000001</v>
      </c>
      <c r="J973" s="23">
        <f t="shared" si="353"/>
        <v>5.8492063492063484E-2</v>
      </c>
      <c r="K973" s="65">
        <f>M973/(H973*I973)</f>
        <v>188.05970149253733</v>
      </c>
      <c r="L973" s="21">
        <v>600</v>
      </c>
      <c r="M973" s="21">
        <v>660</v>
      </c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</row>
    <row r="974" spans="1:23" s="26" customFormat="1" ht="30" customHeight="1" x14ac:dyDescent="0.2">
      <c r="A974" s="106"/>
      <c r="B974" s="121" t="s">
        <v>224</v>
      </c>
      <c r="C974" s="36"/>
      <c r="D974" s="36"/>
      <c r="E974" s="33"/>
      <c r="F974" s="36"/>
      <c r="G974" s="33"/>
      <c r="H974" s="223"/>
      <c r="I974" s="64"/>
      <c r="J974" s="64"/>
      <c r="K974" s="64"/>
      <c r="L974" s="64"/>
      <c r="M974" s="64"/>
      <c r="N974" s="285">
        <v>3.1904761904761902</v>
      </c>
      <c r="O974" s="285"/>
      <c r="P974" s="285"/>
      <c r="Q974" s="285"/>
      <c r="R974" s="285"/>
      <c r="S974" s="285"/>
      <c r="T974" s="285"/>
      <c r="U974" s="285"/>
      <c r="V974" s="285"/>
      <c r="W974" s="285"/>
    </row>
    <row r="975" spans="1:23" s="26" customFormat="1" ht="47.25" customHeight="1" x14ac:dyDescent="0.2">
      <c r="A975" s="106" t="s">
        <v>2222</v>
      </c>
      <c r="B975" s="120" t="s">
        <v>1559</v>
      </c>
      <c r="C975" s="21" t="s">
        <v>1</v>
      </c>
      <c r="D975" s="50">
        <v>1</v>
      </c>
      <c r="E975" s="51">
        <f>G975/11</f>
        <v>58.651026392961874</v>
      </c>
      <c r="F975" s="23">
        <f>J975</f>
        <v>1.7049999999999999E-2</v>
      </c>
      <c r="G975" s="65">
        <f>K975</f>
        <v>645.16129032258061</v>
      </c>
      <c r="H975" s="79">
        <v>0.93</v>
      </c>
      <c r="I975" s="71">
        <f>M975/L975</f>
        <v>1.1000000000000001</v>
      </c>
      <c r="J975" s="23">
        <f>11/K975</f>
        <v>1.7049999999999999E-2</v>
      </c>
      <c r="K975" s="65">
        <f>L975/H975</f>
        <v>645.16129032258061</v>
      </c>
      <c r="L975" s="21">
        <v>600</v>
      </c>
      <c r="M975" s="21">
        <v>660</v>
      </c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</row>
    <row r="976" spans="1:23" s="26" customFormat="1" ht="41.25" customHeight="1" x14ac:dyDescent="0.2">
      <c r="A976" s="106"/>
      <c r="B976" s="176" t="s">
        <v>1570</v>
      </c>
      <c r="C976" s="94"/>
      <c r="D976" s="94"/>
      <c r="E976" s="95"/>
      <c r="F976" s="95"/>
      <c r="G976" s="95"/>
      <c r="H976" s="233"/>
      <c r="I976" s="63"/>
      <c r="J976" s="63"/>
      <c r="K976" s="63"/>
      <c r="L976" s="63"/>
      <c r="M976" s="63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</row>
    <row r="977" spans="1:23" s="26" customFormat="1" ht="30" customHeight="1" x14ac:dyDescent="0.2">
      <c r="A977" s="106" t="s">
        <v>2223</v>
      </c>
      <c r="B977" s="120" t="s">
        <v>1230</v>
      </c>
      <c r="C977" s="21" t="s">
        <v>1</v>
      </c>
      <c r="D977" s="50">
        <v>1</v>
      </c>
      <c r="E977" s="51">
        <f t="shared" ref="E977:E986" si="357">G977/11</f>
        <v>30.303030303030301</v>
      </c>
      <c r="F977" s="23">
        <f>11/G977</f>
        <v>3.3000000000000002E-2</v>
      </c>
      <c r="G977" s="65">
        <f>L977/H977</f>
        <v>333.33333333333331</v>
      </c>
      <c r="H977" s="79">
        <v>1.8</v>
      </c>
      <c r="I977" s="71">
        <f t="shared" ref="I977:I986" si="358">M977/L977</f>
        <v>1.1000000000000001</v>
      </c>
      <c r="J977" s="23">
        <f t="shared" ref="J977:J986" si="359">11/K977</f>
        <v>3.3000000000000002E-2</v>
      </c>
      <c r="K977" s="65">
        <f t="shared" ref="K977:K982" si="360">L977/H977</f>
        <v>333.33333333333331</v>
      </c>
      <c r="L977" s="21">
        <v>600</v>
      </c>
      <c r="M977" s="21">
        <v>660</v>
      </c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</row>
    <row r="978" spans="1:23" s="26" customFormat="1" ht="30" customHeight="1" x14ac:dyDescent="0.2">
      <c r="A978" s="106" t="s">
        <v>2224</v>
      </c>
      <c r="B978" s="120" t="s">
        <v>1251</v>
      </c>
      <c r="C978" s="21" t="s">
        <v>1</v>
      </c>
      <c r="D978" s="50">
        <v>1</v>
      </c>
      <c r="E978" s="51">
        <f t="shared" si="357"/>
        <v>22.027972027972027</v>
      </c>
      <c r="F978" s="23">
        <f t="shared" ref="F978:F986" si="361">11/G978</f>
        <v>4.5396825396825401E-2</v>
      </c>
      <c r="G978" s="65">
        <f t="shared" ref="G978:G986" si="362">L978/H978</f>
        <v>242.30769230769229</v>
      </c>
      <c r="H978" s="79">
        <v>2.4761904761904763</v>
      </c>
      <c r="I978" s="71">
        <f t="shared" si="358"/>
        <v>1.1000000000000001</v>
      </c>
      <c r="J978" s="23">
        <f t="shared" si="359"/>
        <v>4.5396825396825401E-2</v>
      </c>
      <c r="K978" s="65">
        <f t="shared" si="360"/>
        <v>242.30769230769229</v>
      </c>
      <c r="L978" s="21">
        <v>600</v>
      </c>
      <c r="M978" s="21">
        <v>660</v>
      </c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</row>
    <row r="979" spans="1:23" s="26" customFormat="1" ht="37.5" customHeight="1" x14ac:dyDescent="0.2">
      <c r="A979" s="106" t="s">
        <v>2225</v>
      </c>
      <c r="B979" s="120" t="s">
        <v>1252</v>
      </c>
      <c r="C979" s="21" t="s">
        <v>1</v>
      </c>
      <c r="D979" s="50">
        <v>1</v>
      </c>
      <c r="E979" s="51">
        <f t="shared" si="357"/>
        <v>20.826446280991735</v>
      </c>
      <c r="F979" s="23">
        <f t="shared" si="361"/>
        <v>4.8015873015873019E-2</v>
      </c>
      <c r="G979" s="65">
        <f t="shared" si="362"/>
        <v>229.09090909090909</v>
      </c>
      <c r="H979" s="79">
        <v>2.6190476190476191</v>
      </c>
      <c r="I979" s="71">
        <f t="shared" si="358"/>
        <v>1.1000000000000001</v>
      </c>
      <c r="J979" s="23">
        <f t="shared" si="359"/>
        <v>4.8015873015873019E-2</v>
      </c>
      <c r="K979" s="65">
        <f t="shared" si="360"/>
        <v>229.09090909090909</v>
      </c>
      <c r="L979" s="21">
        <v>600</v>
      </c>
      <c r="M979" s="21">
        <v>660</v>
      </c>
      <c r="N979" s="285">
        <v>2.4761904761904763</v>
      </c>
      <c r="O979" s="285"/>
      <c r="P979" s="285"/>
      <c r="Q979" s="285"/>
      <c r="R979" s="285"/>
      <c r="S979" s="285"/>
      <c r="T979" s="285"/>
      <c r="U979" s="285"/>
      <c r="V979" s="285"/>
      <c r="W979" s="285"/>
    </row>
    <row r="980" spans="1:23" s="26" customFormat="1" ht="35.25" customHeight="1" x14ac:dyDescent="0.2">
      <c r="A980" s="106" t="s">
        <v>2226</v>
      </c>
      <c r="B980" s="120" t="s">
        <v>1231</v>
      </c>
      <c r="C980" s="21" t="s">
        <v>1</v>
      </c>
      <c r="D980" s="50">
        <v>1</v>
      </c>
      <c r="E980" s="51">
        <f t="shared" si="357"/>
        <v>19.411193788417986</v>
      </c>
      <c r="F980" s="23">
        <f t="shared" si="361"/>
        <v>5.1516666666666669E-2</v>
      </c>
      <c r="G980" s="65">
        <f t="shared" si="362"/>
        <v>213.52313167259786</v>
      </c>
      <c r="H980" s="77">
        <v>2.81</v>
      </c>
      <c r="I980" s="71">
        <f t="shared" si="358"/>
        <v>1.1000000000000001</v>
      </c>
      <c r="J980" s="23">
        <f t="shared" si="359"/>
        <v>5.1516666666666669E-2</v>
      </c>
      <c r="K980" s="65">
        <f t="shared" si="360"/>
        <v>213.52313167259786</v>
      </c>
      <c r="L980" s="21">
        <v>600</v>
      </c>
      <c r="M980" s="21">
        <v>660</v>
      </c>
      <c r="N980" s="285">
        <v>2.6190476190476191</v>
      </c>
      <c r="O980" s="285"/>
      <c r="P980" s="285"/>
      <c r="Q980" s="285"/>
      <c r="R980" s="285"/>
      <c r="S980" s="285"/>
      <c r="T980" s="285"/>
      <c r="U980" s="285"/>
      <c r="V980" s="285"/>
      <c r="W980" s="285"/>
    </row>
    <row r="981" spans="1:23" s="26" customFormat="1" ht="30" customHeight="1" x14ac:dyDescent="0.2">
      <c r="A981" s="106" t="s">
        <v>2227</v>
      </c>
      <c r="B981" s="120" t="s">
        <v>1253</v>
      </c>
      <c r="C981" s="21" t="s">
        <v>1</v>
      </c>
      <c r="D981" s="50">
        <v>1</v>
      </c>
      <c r="E981" s="51">
        <f t="shared" si="357"/>
        <v>17.045454545454547</v>
      </c>
      <c r="F981" s="23">
        <f t="shared" si="361"/>
        <v>5.8666666666666666E-2</v>
      </c>
      <c r="G981" s="65">
        <f t="shared" si="362"/>
        <v>187.5</v>
      </c>
      <c r="H981" s="77">
        <v>3.2</v>
      </c>
      <c r="I981" s="71">
        <f t="shared" si="358"/>
        <v>1.1000000000000001</v>
      </c>
      <c r="J981" s="23">
        <f t="shared" si="359"/>
        <v>5.8666666666666666E-2</v>
      </c>
      <c r="K981" s="65">
        <f t="shared" si="360"/>
        <v>187.5</v>
      </c>
      <c r="L981" s="21">
        <v>600</v>
      </c>
      <c r="M981" s="21">
        <v>660</v>
      </c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</row>
    <row r="982" spans="1:23" s="26" customFormat="1" ht="24" customHeight="1" x14ac:dyDescent="0.2">
      <c r="A982" s="106" t="s">
        <v>2228</v>
      </c>
      <c r="B982" s="120" t="s">
        <v>1257</v>
      </c>
      <c r="C982" s="21" t="s">
        <v>1</v>
      </c>
      <c r="D982" s="50">
        <v>1</v>
      </c>
      <c r="E982" s="51">
        <f t="shared" si="357"/>
        <v>12.987012987012987</v>
      </c>
      <c r="F982" s="23">
        <f t="shared" si="361"/>
        <v>7.6999999999999999E-2</v>
      </c>
      <c r="G982" s="65">
        <f t="shared" si="362"/>
        <v>142.85714285714286</v>
      </c>
      <c r="H982" s="77">
        <v>4.2</v>
      </c>
      <c r="I982" s="71">
        <f t="shared" si="358"/>
        <v>1.1000000000000001</v>
      </c>
      <c r="J982" s="23">
        <f t="shared" si="359"/>
        <v>7.6999999999999999E-2</v>
      </c>
      <c r="K982" s="65">
        <f t="shared" si="360"/>
        <v>142.85714285714286</v>
      </c>
      <c r="L982" s="21">
        <v>600</v>
      </c>
      <c r="M982" s="21">
        <v>660</v>
      </c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</row>
    <row r="983" spans="1:23" s="26" customFormat="1" ht="30.75" customHeight="1" x14ac:dyDescent="0.2">
      <c r="A983" s="106" t="s">
        <v>2229</v>
      </c>
      <c r="B983" s="120" t="s">
        <v>1256</v>
      </c>
      <c r="C983" s="21" t="s">
        <v>1</v>
      </c>
      <c r="D983" s="50">
        <v>1</v>
      </c>
      <c r="E983" s="51">
        <f t="shared" si="357"/>
        <v>18</v>
      </c>
      <c r="F983" s="23">
        <f t="shared" si="361"/>
        <v>5.5555555555555552E-2</v>
      </c>
      <c r="G983" s="65">
        <f t="shared" si="362"/>
        <v>198</v>
      </c>
      <c r="H983" s="77">
        <f>L983/K983</f>
        <v>3.0303030303030303</v>
      </c>
      <c r="I983" s="71">
        <f t="shared" si="358"/>
        <v>1.1000000000000001</v>
      </c>
      <c r="J983" s="23">
        <f t="shared" si="359"/>
        <v>5.5555555555555552E-2</v>
      </c>
      <c r="K983" s="65">
        <v>198</v>
      </c>
      <c r="L983" s="21">
        <v>600</v>
      </c>
      <c r="M983" s="21">
        <v>660</v>
      </c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</row>
    <row r="984" spans="1:23" s="26" customFormat="1" ht="30" customHeight="1" x14ac:dyDescent="0.2">
      <c r="A984" s="106" t="s">
        <v>2230</v>
      </c>
      <c r="B984" s="120" t="s">
        <v>1255</v>
      </c>
      <c r="C984" s="21" t="s">
        <v>1</v>
      </c>
      <c r="D984" s="50">
        <v>1</v>
      </c>
      <c r="E984" s="51">
        <f t="shared" si="357"/>
        <v>15</v>
      </c>
      <c r="F984" s="23">
        <f t="shared" si="361"/>
        <v>6.6666666666666666E-2</v>
      </c>
      <c r="G984" s="65">
        <f t="shared" si="362"/>
        <v>165</v>
      </c>
      <c r="H984" s="77">
        <f>L984/K984</f>
        <v>3.6363636363636362</v>
      </c>
      <c r="I984" s="71">
        <f t="shared" si="358"/>
        <v>1.1000000000000001</v>
      </c>
      <c r="J984" s="23">
        <f t="shared" si="359"/>
        <v>6.6666666666666666E-2</v>
      </c>
      <c r="K984" s="65">
        <v>165</v>
      </c>
      <c r="L984" s="21">
        <v>600</v>
      </c>
      <c r="M984" s="21">
        <v>660</v>
      </c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</row>
    <row r="985" spans="1:23" s="26" customFormat="1" ht="30" customHeight="1" x14ac:dyDescent="0.2">
      <c r="A985" s="106" t="s">
        <v>2231</v>
      </c>
      <c r="B985" s="120" t="s">
        <v>1254</v>
      </c>
      <c r="C985" s="21" t="s">
        <v>1</v>
      </c>
      <c r="D985" s="50">
        <v>1</v>
      </c>
      <c r="E985" s="51">
        <f t="shared" si="357"/>
        <v>11.263636363636364</v>
      </c>
      <c r="F985" s="23">
        <f t="shared" si="361"/>
        <v>8.8781275221953185E-2</v>
      </c>
      <c r="G985" s="65">
        <f t="shared" si="362"/>
        <v>123.9</v>
      </c>
      <c r="H985" s="79">
        <v>4.8426150121065374</v>
      </c>
      <c r="I985" s="71">
        <f t="shared" si="358"/>
        <v>1.1000000000000001</v>
      </c>
      <c r="J985" s="23">
        <f t="shared" si="359"/>
        <v>9.3220338983050849E-2</v>
      </c>
      <c r="K985" s="65">
        <v>118</v>
      </c>
      <c r="L985" s="21">
        <v>600</v>
      </c>
      <c r="M985" s="21">
        <v>660</v>
      </c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</row>
    <row r="986" spans="1:23" s="26" customFormat="1" ht="30" customHeight="1" x14ac:dyDescent="0.2">
      <c r="A986" s="106" t="s">
        <v>2232</v>
      </c>
      <c r="B986" s="120" t="s">
        <v>1220</v>
      </c>
      <c r="C986" s="21" t="s">
        <v>1</v>
      </c>
      <c r="D986" s="50">
        <v>1</v>
      </c>
      <c r="E986" s="51">
        <f t="shared" si="357"/>
        <v>4.5909090909090908</v>
      </c>
      <c r="F986" s="23">
        <f t="shared" si="361"/>
        <v>0.21782178217821782</v>
      </c>
      <c r="G986" s="65">
        <f t="shared" si="362"/>
        <v>50.5</v>
      </c>
      <c r="H986" s="77">
        <f>L986/K986</f>
        <v>11.881188118811881</v>
      </c>
      <c r="I986" s="71">
        <f t="shared" si="358"/>
        <v>1.1000000000000001</v>
      </c>
      <c r="J986" s="23">
        <f t="shared" si="359"/>
        <v>0.21782178217821782</v>
      </c>
      <c r="K986" s="65">
        <v>50.5</v>
      </c>
      <c r="L986" s="21">
        <v>600</v>
      </c>
      <c r="M986" s="21">
        <v>660</v>
      </c>
      <c r="N986" s="285">
        <v>4.8426150121065374</v>
      </c>
      <c r="O986" s="285"/>
      <c r="P986" s="285"/>
      <c r="Q986" s="285"/>
      <c r="R986" s="285"/>
      <c r="S986" s="285"/>
      <c r="T986" s="285"/>
      <c r="U986" s="285"/>
      <c r="V986" s="285"/>
      <c r="W986" s="285"/>
    </row>
    <row r="987" spans="1:23" s="26" customFormat="1" ht="30" customHeight="1" x14ac:dyDescent="0.2">
      <c r="A987" s="106"/>
      <c r="B987" s="177" t="s">
        <v>1214</v>
      </c>
      <c r="C987" s="94"/>
      <c r="D987" s="94"/>
      <c r="E987" s="95"/>
      <c r="F987" s="95"/>
      <c r="G987" s="95"/>
      <c r="H987" s="233"/>
      <c r="I987" s="63"/>
      <c r="J987" s="63"/>
      <c r="K987" s="63"/>
      <c r="L987" s="63"/>
      <c r="M987" s="63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</row>
    <row r="988" spans="1:23" s="26" customFormat="1" ht="30" customHeight="1" x14ac:dyDescent="0.2">
      <c r="A988" s="106" t="s">
        <v>2233</v>
      </c>
      <c r="B988" s="120" t="s">
        <v>1221</v>
      </c>
      <c r="C988" s="21" t="s">
        <v>1</v>
      </c>
      <c r="D988" s="50">
        <v>1</v>
      </c>
      <c r="E988" s="51">
        <f t="shared" ref="E988:E996" si="363">G988/11</f>
        <v>23.310023310023304</v>
      </c>
      <c r="F988" s="23">
        <f t="shared" ref="F988:G996" si="364">J988</f>
        <v>4.2900000000000008E-2</v>
      </c>
      <c r="G988" s="65">
        <f t="shared" si="364"/>
        <v>256.41025641025635</v>
      </c>
      <c r="H988" s="79">
        <v>2.3400000000000003</v>
      </c>
      <c r="I988" s="71">
        <f t="shared" ref="I988:I996" si="365">M988/L988</f>
        <v>1.1000000000000001</v>
      </c>
      <c r="J988" s="23">
        <f t="shared" ref="J988:J996" si="366">11/K988</f>
        <v>4.2900000000000008E-2</v>
      </c>
      <c r="K988" s="65">
        <f t="shared" ref="K988:K993" si="367">L988/H988</f>
        <v>256.41025641025635</v>
      </c>
      <c r="L988" s="21">
        <v>600</v>
      </c>
      <c r="M988" s="21">
        <v>660</v>
      </c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</row>
    <row r="989" spans="1:23" s="26" customFormat="1" ht="30" customHeight="1" x14ac:dyDescent="0.2">
      <c r="A989" s="106" t="s">
        <v>2234</v>
      </c>
      <c r="B989" s="120" t="s">
        <v>1224</v>
      </c>
      <c r="C989" s="21" t="s">
        <v>1</v>
      </c>
      <c r="D989" s="50">
        <v>1</v>
      </c>
      <c r="E989" s="51">
        <f t="shared" si="363"/>
        <v>16.137708445400751</v>
      </c>
      <c r="F989" s="23">
        <f t="shared" si="364"/>
        <v>6.1966666666666677E-2</v>
      </c>
      <c r="G989" s="65">
        <f t="shared" si="364"/>
        <v>177.51479289940826</v>
      </c>
      <c r="H989" s="79">
        <v>3.3800000000000003</v>
      </c>
      <c r="I989" s="71">
        <f t="shared" si="365"/>
        <v>1.1000000000000001</v>
      </c>
      <c r="J989" s="23">
        <f t="shared" si="366"/>
        <v>6.1966666666666677E-2</v>
      </c>
      <c r="K989" s="65">
        <f t="shared" si="367"/>
        <v>177.51479289940826</v>
      </c>
      <c r="L989" s="21">
        <v>600</v>
      </c>
      <c r="M989" s="21">
        <v>660</v>
      </c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</row>
    <row r="990" spans="1:23" s="26" customFormat="1" ht="30" customHeight="1" x14ac:dyDescent="0.2">
      <c r="A990" s="106" t="s">
        <v>2235</v>
      </c>
      <c r="B990" s="120" t="s">
        <v>1227</v>
      </c>
      <c r="C990" s="21" t="s">
        <v>1</v>
      </c>
      <c r="D990" s="50">
        <v>1</v>
      </c>
      <c r="E990" s="51">
        <f t="shared" si="363"/>
        <v>15.257469802924346</v>
      </c>
      <c r="F990" s="23">
        <f t="shared" si="364"/>
        <v>6.5541666666666679E-2</v>
      </c>
      <c r="G990" s="65">
        <f t="shared" si="364"/>
        <v>167.83216783216781</v>
      </c>
      <c r="H990" s="79">
        <v>3.5750000000000002</v>
      </c>
      <c r="I990" s="71">
        <f t="shared" si="365"/>
        <v>1.1000000000000001</v>
      </c>
      <c r="J990" s="23">
        <f t="shared" si="366"/>
        <v>6.5541666666666679E-2</v>
      </c>
      <c r="K990" s="65">
        <f t="shared" si="367"/>
        <v>167.83216783216781</v>
      </c>
      <c r="L990" s="21">
        <v>600</v>
      </c>
      <c r="M990" s="21">
        <v>660</v>
      </c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</row>
    <row r="991" spans="1:23" s="26" customFormat="1" ht="30" customHeight="1" x14ac:dyDescent="0.2">
      <c r="A991" s="106" t="s">
        <v>2236</v>
      </c>
      <c r="B991" s="120" t="s">
        <v>1223</v>
      </c>
      <c r="C991" s="21" t="s">
        <v>1</v>
      </c>
      <c r="D991" s="50">
        <v>1</v>
      </c>
      <c r="E991" s="51">
        <f t="shared" si="363"/>
        <v>14.931687529552299</v>
      </c>
      <c r="F991" s="23">
        <f t="shared" si="364"/>
        <v>6.6971666666666665E-2</v>
      </c>
      <c r="G991" s="65">
        <f t="shared" si="364"/>
        <v>164.24856282507528</v>
      </c>
      <c r="H991" s="79">
        <v>3.653</v>
      </c>
      <c r="I991" s="71">
        <f t="shared" si="365"/>
        <v>1.1000000000000001</v>
      </c>
      <c r="J991" s="23">
        <f t="shared" si="366"/>
        <v>6.6971666666666665E-2</v>
      </c>
      <c r="K991" s="65">
        <f t="shared" si="367"/>
        <v>164.24856282507528</v>
      </c>
      <c r="L991" s="21">
        <v>600</v>
      </c>
      <c r="M991" s="21">
        <v>660</v>
      </c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</row>
    <row r="992" spans="1:23" s="26" customFormat="1" ht="30" customHeight="1" x14ac:dyDescent="0.2">
      <c r="A992" s="106" t="s">
        <v>2237</v>
      </c>
      <c r="B992" s="120" t="s">
        <v>1225</v>
      </c>
      <c r="C992" s="21" t="s">
        <v>1</v>
      </c>
      <c r="D992" s="50">
        <v>1</v>
      </c>
      <c r="E992" s="51">
        <f t="shared" si="363"/>
        <v>13.111888111888112</v>
      </c>
      <c r="F992" s="23">
        <f t="shared" si="364"/>
        <v>7.6266666666666663E-2</v>
      </c>
      <c r="G992" s="65">
        <f t="shared" si="364"/>
        <v>144.23076923076923</v>
      </c>
      <c r="H992" s="79">
        <v>4.16</v>
      </c>
      <c r="I992" s="71">
        <f t="shared" si="365"/>
        <v>1.1000000000000001</v>
      </c>
      <c r="J992" s="23">
        <f t="shared" si="366"/>
        <v>7.6266666666666663E-2</v>
      </c>
      <c r="K992" s="65">
        <f t="shared" si="367"/>
        <v>144.23076923076923</v>
      </c>
      <c r="L992" s="21">
        <v>600</v>
      </c>
      <c r="M992" s="21">
        <v>660</v>
      </c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</row>
    <row r="993" spans="1:23" s="26" customFormat="1" ht="30" customHeight="1" x14ac:dyDescent="0.2">
      <c r="A993" s="106" t="s">
        <v>2238</v>
      </c>
      <c r="B993" s="120" t="s">
        <v>1229</v>
      </c>
      <c r="C993" s="21" t="s">
        <v>1</v>
      </c>
      <c r="D993" s="50">
        <v>1</v>
      </c>
      <c r="E993" s="51">
        <f t="shared" si="363"/>
        <v>9.9900099900099875</v>
      </c>
      <c r="F993" s="23">
        <f t="shared" si="364"/>
        <v>0.10010000000000002</v>
      </c>
      <c r="G993" s="65">
        <f t="shared" si="364"/>
        <v>109.89010989010987</v>
      </c>
      <c r="H993" s="79">
        <v>5.4600000000000009</v>
      </c>
      <c r="I993" s="71">
        <f t="shared" si="365"/>
        <v>1.1000000000000001</v>
      </c>
      <c r="J993" s="23">
        <f t="shared" si="366"/>
        <v>0.10010000000000002</v>
      </c>
      <c r="K993" s="65">
        <f t="shared" si="367"/>
        <v>109.89010989010987</v>
      </c>
      <c r="L993" s="21">
        <v>600</v>
      </c>
      <c r="M993" s="21">
        <v>660</v>
      </c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</row>
    <row r="994" spans="1:23" s="26" customFormat="1" ht="30" customHeight="1" x14ac:dyDescent="0.2">
      <c r="A994" s="106" t="s">
        <v>2239</v>
      </c>
      <c r="B994" s="120" t="s">
        <v>1222</v>
      </c>
      <c r="C994" s="21" t="s">
        <v>1</v>
      </c>
      <c r="D994" s="50">
        <v>1</v>
      </c>
      <c r="E994" s="51">
        <f t="shared" si="363"/>
        <v>18</v>
      </c>
      <c r="F994" s="23">
        <f t="shared" si="364"/>
        <v>5.5555555555555552E-2</v>
      </c>
      <c r="G994" s="65">
        <f t="shared" si="364"/>
        <v>198</v>
      </c>
      <c r="H994" s="79">
        <v>3.94</v>
      </c>
      <c r="I994" s="71">
        <f t="shared" si="365"/>
        <v>1.1000000000000001</v>
      </c>
      <c r="J994" s="23">
        <f t="shared" si="366"/>
        <v>5.5555555555555552E-2</v>
      </c>
      <c r="K994" s="65">
        <v>198</v>
      </c>
      <c r="L994" s="21">
        <v>600</v>
      </c>
      <c r="M994" s="21">
        <v>660</v>
      </c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</row>
    <row r="995" spans="1:23" s="26" customFormat="1" ht="30" customHeight="1" x14ac:dyDescent="0.2">
      <c r="A995" s="106" t="s">
        <v>2240</v>
      </c>
      <c r="B995" s="120" t="s">
        <v>1226</v>
      </c>
      <c r="C995" s="21" t="s">
        <v>1</v>
      </c>
      <c r="D995" s="50">
        <v>1</v>
      </c>
      <c r="E995" s="51">
        <f t="shared" si="363"/>
        <v>15</v>
      </c>
      <c r="F995" s="23">
        <f t="shared" si="364"/>
        <v>6.6666666666666666E-2</v>
      </c>
      <c r="G995" s="65">
        <f t="shared" si="364"/>
        <v>165</v>
      </c>
      <c r="H995" s="79">
        <v>4.72</v>
      </c>
      <c r="I995" s="71">
        <f t="shared" si="365"/>
        <v>1.1000000000000001</v>
      </c>
      <c r="J995" s="23">
        <f t="shared" si="366"/>
        <v>6.6666666666666666E-2</v>
      </c>
      <c r="K995" s="65">
        <v>165</v>
      </c>
      <c r="L995" s="21">
        <v>600</v>
      </c>
      <c r="M995" s="21">
        <v>660</v>
      </c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</row>
    <row r="996" spans="1:23" s="26" customFormat="1" ht="30" customHeight="1" x14ac:dyDescent="0.2">
      <c r="A996" s="106" t="s">
        <v>2241</v>
      </c>
      <c r="B996" s="120" t="s">
        <v>1228</v>
      </c>
      <c r="C996" s="21" t="s">
        <v>1</v>
      </c>
      <c r="D996" s="50">
        <v>1</v>
      </c>
      <c r="E996" s="51">
        <f t="shared" si="363"/>
        <v>10.727272727272727</v>
      </c>
      <c r="F996" s="23">
        <f t="shared" si="364"/>
        <v>9.3220338983050849E-2</v>
      </c>
      <c r="G996" s="65">
        <f t="shared" si="364"/>
        <v>118</v>
      </c>
      <c r="H996" s="79">
        <v>6.61</v>
      </c>
      <c r="I996" s="71">
        <f t="shared" si="365"/>
        <v>1.1000000000000001</v>
      </c>
      <c r="J996" s="23">
        <f t="shared" si="366"/>
        <v>9.3220338983050849E-2</v>
      </c>
      <c r="K996" s="65">
        <v>118</v>
      </c>
      <c r="L996" s="21">
        <v>600</v>
      </c>
      <c r="M996" s="21">
        <v>660</v>
      </c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</row>
    <row r="997" spans="1:23" s="26" customFormat="1" ht="30" customHeight="1" x14ac:dyDescent="0.2">
      <c r="A997" s="106"/>
      <c r="B997" s="178" t="s">
        <v>1571</v>
      </c>
      <c r="C997" s="94"/>
      <c r="D997" s="94"/>
      <c r="E997" s="95"/>
      <c r="F997" s="95"/>
      <c r="G997" s="95"/>
      <c r="H997" s="233"/>
      <c r="I997" s="63"/>
      <c r="J997" s="63"/>
      <c r="K997" s="63"/>
      <c r="L997" s="63"/>
      <c r="M997" s="63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</row>
    <row r="998" spans="1:23" s="26" customFormat="1" ht="30" customHeight="1" x14ac:dyDescent="0.2">
      <c r="A998" s="106" t="s">
        <v>2242</v>
      </c>
      <c r="B998" s="120" t="s">
        <v>1232</v>
      </c>
      <c r="C998" s="21" t="s">
        <v>1</v>
      </c>
      <c r="D998" s="50">
        <v>1</v>
      </c>
      <c r="E998" s="51">
        <f t="shared" ref="E998" si="368">G998/11</f>
        <v>14.727272727272721</v>
      </c>
      <c r="F998" s="23">
        <f t="shared" ref="F998:F1017" si="369">11/G998</f>
        <v>6.7901234567901259E-2</v>
      </c>
      <c r="G998" s="65">
        <f t="shared" ref="G998" si="370">L998/H998</f>
        <v>161.99999999999994</v>
      </c>
      <c r="H998" s="77">
        <f t="shared" ref="H998:I1013" si="371">L998/K998</f>
        <v>3.7037037037037051</v>
      </c>
      <c r="I998" s="71">
        <f t="shared" si="371"/>
        <v>1.1000000000000001</v>
      </c>
      <c r="J998" s="23">
        <f t="shared" ref="J998:J1017" si="372">11/K998</f>
        <v>6.7901234567901259E-2</v>
      </c>
      <c r="K998" s="65">
        <v>161.99999999999994</v>
      </c>
      <c r="L998" s="21">
        <v>600</v>
      </c>
      <c r="M998" s="21">
        <v>660</v>
      </c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</row>
    <row r="999" spans="1:23" s="26" customFormat="1" ht="30" customHeight="1" x14ac:dyDescent="0.2">
      <c r="A999" s="106" t="s">
        <v>2243</v>
      </c>
      <c r="B999" s="120" t="s">
        <v>1216</v>
      </c>
      <c r="C999" s="21" t="s">
        <v>1</v>
      </c>
      <c r="D999" s="50">
        <v>1</v>
      </c>
      <c r="E999" s="51">
        <f t="shared" ref="E999:E1017" si="373">G999/11</f>
        <v>13.516363636363632</v>
      </c>
      <c r="F999" s="23">
        <f t="shared" si="369"/>
        <v>7.3984396018294346E-2</v>
      </c>
      <c r="G999" s="65">
        <f t="shared" ref="G999:G1017" si="374">L999/H999</f>
        <v>148.67999999999995</v>
      </c>
      <c r="H999" s="79">
        <v>4.0355125100887825</v>
      </c>
      <c r="I999" s="71">
        <f t="shared" si="371"/>
        <v>1.1000000000000001</v>
      </c>
      <c r="J999" s="23">
        <f t="shared" si="372"/>
        <v>7.7683615819209059E-2</v>
      </c>
      <c r="K999" s="65">
        <v>141.59999999999997</v>
      </c>
      <c r="L999" s="21">
        <v>600</v>
      </c>
      <c r="M999" s="21">
        <v>660</v>
      </c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</row>
    <row r="1000" spans="1:23" s="26" customFormat="1" ht="30" customHeight="1" x14ac:dyDescent="0.2">
      <c r="A1000" s="106" t="s">
        <v>2244</v>
      </c>
      <c r="B1000" s="120" t="s">
        <v>1217</v>
      </c>
      <c r="C1000" s="21" t="s">
        <v>1</v>
      </c>
      <c r="D1000" s="50">
        <v>1</v>
      </c>
      <c r="E1000" s="51">
        <f t="shared" si="373"/>
        <v>12.141818181818183</v>
      </c>
      <c r="F1000" s="23">
        <f t="shared" si="369"/>
        <v>8.2359988020365371E-2</v>
      </c>
      <c r="G1000" s="65">
        <f t="shared" si="374"/>
        <v>133.56</v>
      </c>
      <c r="H1000" s="79">
        <v>4.4923629829290208</v>
      </c>
      <c r="I1000" s="71">
        <f t="shared" si="371"/>
        <v>1.1000000000000001</v>
      </c>
      <c r="J1000" s="23">
        <f t="shared" si="372"/>
        <v>8.6477987421383656E-2</v>
      </c>
      <c r="K1000" s="65">
        <v>127.19999999999999</v>
      </c>
      <c r="L1000" s="21">
        <v>600</v>
      </c>
      <c r="M1000" s="21">
        <v>660</v>
      </c>
      <c r="N1000" s="285">
        <v>4.0355125100887825</v>
      </c>
      <c r="O1000" s="285"/>
      <c r="P1000" s="285"/>
      <c r="Q1000" s="285"/>
      <c r="R1000" s="285"/>
      <c r="S1000" s="285"/>
      <c r="T1000" s="285"/>
      <c r="U1000" s="285"/>
      <c r="V1000" s="285"/>
      <c r="W1000" s="285"/>
    </row>
    <row r="1001" spans="1:23" s="26" customFormat="1" ht="30" customHeight="1" x14ac:dyDescent="0.2">
      <c r="A1001" s="106" t="s">
        <v>2245</v>
      </c>
      <c r="B1001" s="120" t="s">
        <v>1233</v>
      </c>
      <c r="C1001" s="21" t="s">
        <v>1</v>
      </c>
      <c r="D1001" s="50">
        <v>1</v>
      </c>
      <c r="E1001" s="51">
        <f t="shared" si="373"/>
        <v>9.0681818181818183</v>
      </c>
      <c r="F1001" s="23">
        <f t="shared" si="369"/>
        <v>0.11027568922305764</v>
      </c>
      <c r="G1001" s="65">
        <f t="shared" si="374"/>
        <v>99.75</v>
      </c>
      <c r="H1001" s="79">
        <v>6.0150375939849621</v>
      </c>
      <c r="I1001" s="71">
        <f t="shared" si="371"/>
        <v>1.1000000000000001</v>
      </c>
      <c r="J1001" s="23">
        <f t="shared" si="372"/>
        <v>0.11578947368421053</v>
      </c>
      <c r="K1001" s="65">
        <v>95</v>
      </c>
      <c r="L1001" s="21">
        <v>600</v>
      </c>
      <c r="M1001" s="21">
        <v>660</v>
      </c>
      <c r="N1001" s="285">
        <v>4.4923629829290208</v>
      </c>
      <c r="O1001" s="285"/>
      <c r="P1001" s="285"/>
      <c r="Q1001" s="285"/>
      <c r="R1001" s="285"/>
      <c r="S1001" s="285"/>
      <c r="T1001" s="285"/>
      <c r="U1001" s="285"/>
      <c r="V1001" s="285"/>
      <c r="W1001" s="285"/>
    </row>
    <row r="1002" spans="1:23" s="26" customFormat="1" ht="30" customHeight="1" x14ac:dyDescent="0.2">
      <c r="A1002" s="106" t="s">
        <v>2246</v>
      </c>
      <c r="B1002" s="120" t="s">
        <v>1238</v>
      </c>
      <c r="C1002" s="21" t="s">
        <v>1</v>
      </c>
      <c r="D1002" s="50">
        <v>1</v>
      </c>
      <c r="E1002" s="51">
        <f t="shared" si="373"/>
        <v>7.3636363636363633</v>
      </c>
      <c r="F1002" s="23">
        <f t="shared" si="369"/>
        <v>0.13580246913580246</v>
      </c>
      <c r="G1002" s="65">
        <f t="shared" si="374"/>
        <v>81</v>
      </c>
      <c r="H1002" s="77">
        <f t="shared" si="371"/>
        <v>7.4074074074074074</v>
      </c>
      <c r="I1002" s="71">
        <f t="shared" si="371"/>
        <v>1.1000000000000001</v>
      </c>
      <c r="J1002" s="23">
        <f t="shared" si="372"/>
        <v>0.13580246913580246</v>
      </c>
      <c r="K1002" s="65">
        <v>81</v>
      </c>
      <c r="L1002" s="21">
        <v>600</v>
      </c>
      <c r="M1002" s="21">
        <v>660</v>
      </c>
      <c r="N1002" s="285">
        <v>6.0150375939849621</v>
      </c>
      <c r="O1002" s="285"/>
      <c r="P1002" s="285"/>
      <c r="Q1002" s="285"/>
      <c r="R1002" s="285"/>
      <c r="S1002" s="285"/>
      <c r="T1002" s="285"/>
      <c r="U1002" s="285"/>
      <c r="V1002" s="285"/>
      <c r="W1002" s="285"/>
    </row>
    <row r="1003" spans="1:23" s="26" customFormat="1" ht="30" customHeight="1" x14ac:dyDescent="0.2">
      <c r="A1003" s="106" t="s">
        <v>2247</v>
      </c>
      <c r="B1003" s="120" t="s">
        <v>1237</v>
      </c>
      <c r="C1003" s="21" t="s">
        <v>1</v>
      </c>
      <c r="D1003" s="50">
        <v>1</v>
      </c>
      <c r="E1003" s="51">
        <f t="shared" si="373"/>
        <v>10.690909090909091</v>
      </c>
      <c r="F1003" s="23">
        <f t="shared" si="369"/>
        <v>9.3537414965986387E-2</v>
      </c>
      <c r="G1003" s="65">
        <f t="shared" si="374"/>
        <v>117.60000000000001</v>
      </c>
      <c r="H1003" s="77">
        <f t="shared" si="371"/>
        <v>5.1020408163265305</v>
      </c>
      <c r="I1003" s="71">
        <f t="shared" si="371"/>
        <v>1.1000000000000001</v>
      </c>
      <c r="J1003" s="23">
        <f t="shared" si="372"/>
        <v>9.3537414965986401E-2</v>
      </c>
      <c r="K1003" s="65">
        <v>117.6</v>
      </c>
      <c r="L1003" s="21">
        <v>600</v>
      </c>
      <c r="M1003" s="21">
        <v>660</v>
      </c>
      <c r="N1003" s="285"/>
      <c r="O1003" s="285"/>
      <c r="P1003" s="285"/>
      <c r="Q1003" s="285"/>
      <c r="R1003" s="285"/>
      <c r="S1003" s="285"/>
      <c r="T1003" s="285"/>
      <c r="U1003" s="285"/>
      <c r="V1003" s="285"/>
      <c r="W1003" s="285"/>
    </row>
    <row r="1004" spans="1:23" s="26" customFormat="1" ht="30" customHeight="1" x14ac:dyDescent="0.2">
      <c r="A1004" s="106" t="s">
        <v>2248</v>
      </c>
      <c r="B1004" s="120" t="s">
        <v>1236</v>
      </c>
      <c r="C1004" s="21" t="s">
        <v>1</v>
      </c>
      <c r="D1004" s="50">
        <v>1</v>
      </c>
      <c r="E1004" s="51">
        <f t="shared" si="373"/>
        <v>9.9272727272727259</v>
      </c>
      <c r="F1004" s="23">
        <f t="shared" si="369"/>
        <v>0.10073260073260075</v>
      </c>
      <c r="G1004" s="65">
        <f t="shared" si="374"/>
        <v>109.19999999999999</v>
      </c>
      <c r="H1004" s="77">
        <f t="shared" si="371"/>
        <v>5.4945054945054954</v>
      </c>
      <c r="I1004" s="71">
        <f t="shared" si="371"/>
        <v>1.1000000000000001</v>
      </c>
      <c r="J1004" s="23">
        <f t="shared" si="372"/>
        <v>0.10073260073260075</v>
      </c>
      <c r="K1004" s="65">
        <v>109.19999999999999</v>
      </c>
      <c r="L1004" s="21">
        <v>600</v>
      </c>
      <c r="M1004" s="21">
        <v>660</v>
      </c>
      <c r="N1004" s="285"/>
      <c r="O1004" s="285"/>
      <c r="P1004" s="285"/>
      <c r="Q1004" s="285"/>
      <c r="R1004" s="285"/>
      <c r="S1004" s="285"/>
      <c r="T1004" s="285"/>
      <c r="U1004" s="285"/>
      <c r="V1004" s="285"/>
      <c r="W1004" s="285"/>
    </row>
    <row r="1005" spans="1:23" s="26" customFormat="1" ht="30" customHeight="1" x14ac:dyDescent="0.2">
      <c r="A1005" s="106" t="s">
        <v>2249</v>
      </c>
      <c r="B1005" s="120" t="s">
        <v>1234</v>
      </c>
      <c r="C1005" s="21" t="s">
        <v>1</v>
      </c>
      <c r="D1005" s="50">
        <v>1</v>
      </c>
      <c r="E1005" s="51">
        <f t="shared" si="373"/>
        <v>11.272727272727273</v>
      </c>
      <c r="F1005" s="23">
        <f t="shared" si="369"/>
        <v>8.8709677419354843E-2</v>
      </c>
      <c r="G1005" s="65">
        <f t="shared" si="374"/>
        <v>124</v>
      </c>
      <c r="H1005" s="77">
        <f t="shared" si="371"/>
        <v>4.838709677419355</v>
      </c>
      <c r="I1005" s="71">
        <f t="shared" si="371"/>
        <v>1.1000000000000001</v>
      </c>
      <c r="J1005" s="23">
        <f t="shared" si="372"/>
        <v>8.8709677419354843E-2</v>
      </c>
      <c r="K1005" s="65">
        <v>124</v>
      </c>
      <c r="L1005" s="21">
        <v>600</v>
      </c>
      <c r="M1005" s="21">
        <v>660</v>
      </c>
      <c r="N1005" s="285"/>
      <c r="O1005" s="285"/>
      <c r="P1005" s="285"/>
      <c r="Q1005" s="285"/>
      <c r="R1005" s="285"/>
      <c r="S1005" s="285"/>
      <c r="T1005" s="285"/>
      <c r="U1005" s="285"/>
      <c r="V1005" s="285"/>
      <c r="W1005" s="285"/>
    </row>
    <row r="1006" spans="1:23" s="26" customFormat="1" ht="30" customHeight="1" x14ac:dyDescent="0.2">
      <c r="A1006" s="106" t="s">
        <v>2250</v>
      </c>
      <c r="B1006" s="120" t="s">
        <v>1235</v>
      </c>
      <c r="C1006" s="21" t="s">
        <v>1</v>
      </c>
      <c r="D1006" s="50">
        <v>1</v>
      </c>
      <c r="E1006" s="51">
        <f t="shared" si="373"/>
        <v>9.0909090909090899</v>
      </c>
      <c r="F1006" s="23">
        <f t="shared" si="369"/>
        <v>0.11000000000000001</v>
      </c>
      <c r="G1006" s="65">
        <f t="shared" si="374"/>
        <v>99.999999999999986</v>
      </c>
      <c r="H1006" s="77">
        <f t="shared" si="371"/>
        <v>6.0000000000000009</v>
      </c>
      <c r="I1006" s="71">
        <f t="shared" si="371"/>
        <v>1.1000000000000001</v>
      </c>
      <c r="J1006" s="23">
        <f t="shared" si="372"/>
        <v>0.11000000000000001</v>
      </c>
      <c r="K1006" s="65">
        <v>99.999999999999986</v>
      </c>
      <c r="L1006" s="21">
        <v>600</v>
      </c>
      <c r="M1006" s="21">
        <v>660</v>
      </c>
      <c r="N1006" s="285"/>
      <c r="O1006" s="285"/>
      <c r="P1006" s="285"/>
      <c r="Q1006" s="285"/>
      <c r="R1006" s="285"/>
      <c r="S1006" s="285"/>
      <c r="T1006" s="285"/>
      <c r="U1006" s="285"/>
      <c r="V1006" s="285"/>
      <c r="W1006" s="285"/>
    </row>
    <row r="1007" spans="1:23" s="26" customFormat="1" ht="30" customHeight="1" x14ac:dyDescent="0.2">
      <c r="A1007" s="106" t="s">
        <v>2251</v>
      </c>
      <c r="B1007" s="120" t="s">
        <v>1240</v>
      </c>
      <c r="C1007" s="21" t="s">
        <v>1</v>
      </c>
      <c r="D1007" s="50">
        <v>1</v>
      </c>
      <c r="E1007" s="51">
        <f t="shared" si="373"/>
        <v>10.909090909090908</v>
      </c>
      <c r="F1007" s="23">
        <f t="shared" si="369"/>
        <v>9.166666666666666E-2</v>
      </c>
      <c r="G1007" s="65">
        <f t="shared" si="374"/>
        <v>120</v>
      </c>
      <c r="H1007" s="77">
        <f t="shared" si="371"/>
        <v>5</v>
      </c>
      <c r="I1007" s="71">
        <f t="shared" si="371"/>
        <v>1.1000000000000001</v>
      </c>
      <c r="J1007" s="23">
        <f t="shared" si="372"/>
        <v>9.166666666666666E-2</v>
      </c>
      <c r="K1007" s="65">
        <v>120</v>
      </c>
      <c r="L1007" s="21">
        <v>600</v>
      </c>
      <c r="M1007" s="21">
        <v>660</v>
      </c>
      <c r="N1007" s="285"/>
      <c r="O1007" s="285"/>
      <c r="P1007" s="285"/>
      <c r="Q1007" s="285"/>
      <c r="R1007" s="285"/>
      <c r="S1007" s="285"/>
      <c r="T1007" s="285"/>
      <c r="U1007" s="285"/>
      <c r="V1007" s="285"/>
      <c r="W1007" s="285"/>
    </row>
    <row r="1008" spans="1:23" s="26" customFormat="1" ht="30" customHeight="1" x14ac:dyDescent="0.2">
      <c r="A1008" s="106" t="s">
        <v>2252</v>
      </c>
      <c r="B1008" s="120" t="s">
        <v>1239</v>
      </c>
      <c r="C1008" s="21" t="s">
        <v>1</v>
      </c>
      <c r="D1008" s="50">
        <v>1</v>
      </c>
      <c r="E1008" s="51">
        <f t="shared" si="373"/>
        <v>9.3818181818181809</v>
      </c>
      <c r="F1008" s="23">
        <f t="shared" si="369"/>
        <v>0.10658914728682171</v>
      </c>
      <c r="G1008" s="65">
        <f t="shared" si="374"/>
        <v>103.19999999999999</v>
      </c>
      <c r="H1008" s="77">
        <f t="shared" si="371"/>
        <v>5.8139534883720936</v>
      </c>
      <c r="I1008" s="71">
        <f t="shared" si="371"/>
        <v>1.1000000000000001</v>
      </c>
      <c r="J1008" s="23">
        <f t="shared" si="372"/>
        <v>0.10658914728682171</v>
      </c>
      <c r="K1008" s="65">
        <v>103.19999999999999</v>
      </c>
      <c r="L1008" s="21">
        <v>600</v>
      </c>
      <c r="M1008" s="21">
        <v>660</v>
      </c>
      <c r="N1008" s="285"/>
      <c r="O1008" s="285"/>
      <c r="P1008" s="285"/>
      <c r="Q1008" s="285"/>
      <c r="R1008" s="285"/>
      <c r="S1008" s="285"/>
      <c r="T1008" s="285"/>
      <c r="U1008" s="285"/>
      <c r="V1008" s="285"/>
      <c r="W1008" s="285"/>
    </row>
    <row r="1009" spans="1:23" s="26" customFormat="1" ht="30" customHeight="1" x14ac:dyDescent="0.2">
      <c r="A1009" s="106" t="s">
        <v>2253</v>
      </c>
      <c r="B1009" s="120" t="s">
        <v>1258</v>
      </c>
      <c r="C1009" s="21" t="s">
        <v>1</v>
      </c>
      <c r="D1009" s="50">
        <v>1</v>
      </c>
      <c r="E1009" s="51">
        <f t="shared" si="373"/>
        <v>5.2727272727272725</v>
      </c>
      <c r="F1009" s="23">
        <f t="shared" si="369"/>
        <v>0.18965517241379309</v>
      </c>
      <c r="G1009" s="65">
        <f t="shared" si="374"/>
        <v>58</v>
      </c>
      <c r="H1009" s="77">
        <f t="shared" si="371"/>
        <v>10.344827586206897</v>
      </c>
      <c r="I1009" s="71">
        <f t="shared" si="371"/>
        <v>1.1000000000000001</v>
      </c>
      <c r="J1009" s="23">
        <f t="shared" si="372"/>
        <v>0.18965517241379309</v>
      </c>
      <c r="K1009" s="65">
        <v>58</v>
      </c>
      <c r="L1009" s="21">
        <v>600</v>
      </c>
      <c r="M1009" s="21">
        <v>660</v>
      </c>
      <c r="N1009" s="285"/>
      <c r="O1009" s="285"/>
      <c r="P1009" s="285"/>
      <c r="Q1009" s="285"/>
      <c r="R1009" s="285"/>
      <c r="S1009" s="285"/>
      <c r="T1009" s="285"/>
      <c r="U1009" s="285"/>
      <c r="V1009" s="285"/>
      <c r="W1009" s="285"/>
    </row>
    <row r="1010" spans="1:23" s="26" customFormat="1" ht="30" customHeight="1" x14ac:dyDescent="0.2">
      <c r="A1010" s="106" t="s">
        <v>2254</v>
      </c>
      <c r="B1010" s="120" t="s">
        <v>1259</v>
      </c>
      <c r="C1010" s="21" t="s">
        <v>1</v>
      </c>
      <c r="D1010" s="50">
        <v>1</v>
      </c>
      <c r="E1010" s="51">
        <f t="shared" si="373"/>
        <v>4.3636363636363633</v>
      </c>
      <c r="F1010" s="23">
        <f t="shared" si="369"/>
        <v>0.22916666666666666</v>
      </c>
      <c r="G1010" s="65">
        <f t="shared" si="374"/>
        <v>48</v>
      </c>
      <c r="H1010" s="77">
        <f t="shared" si="371"/>
        <v>12.5</v>
      </c>
      <c r="I1010" s="71">
        <f t="shared" si="371"/>
        <v>1.1000000000000001</v>
      </c>
      <c r="J1010" s="23">
        <f t="shared" si="372"/>
        <v>0.22916666666666666</v>
      </c>
      <c r="K1010" s="65">
        <v>48</v>
      </c>
      <c r="L1010" s="21">
        <v>600</v>
      </c>
      <c r="M1010" s="21">
        <v>660</v>
      </c>
      <c r="N1010" s="285"/>
      <c r="O1010" s="285"/>
      <c r="P1010" s="285"/>
      <c r="Q1010" s="285"/>
      <c r="R1010" s="285"/>
      <c r="S1010" s="285"/>
      <c r="T1010" s="285"/>
      <c r="U1010" s="285"/>
      <c r="V1010" s="285"/>
      <c r="W1010" s="285"/>
    </row>
    <row r="1011" spans="1:23" s="26" customFormat="1" ht="30" customHeight="1" x14ac:dyDescent="0.2">
      <c r="A1011" s="106" t="s">
        <v>2255</v>
      </c>
      <c r="B1011" s="115" t="s">
        <v>1397</v>
      </c>
      <c r="C1011" s="104" t="s">
        <v>220</v>
      </c>
      <c r="D1011" s="102">
        <v>1</v>
      </c>
      <c r="E1011" s="51">
        <f t="shared" si="373"/>
        <v>9.0909090909090917</v>
      </c>
      <c r="F1011" s="23">
        <f t="shared" si="369"/>
        <v>0.11</v>
      </c>
      <c r="G1011" s="65">
        <f t="shared" si="374"/>
        <v>100</v>
      </c>
      <c r="H1011" s="79">
        <v>6</v>
      </c>
      <c r="I1011" s="71">
        <f t="shared" si="371"/>
        <v>1.1000000000000001</v>
      </c>
      <c r="J1011" s="23">
        <f t="shared" si="372"/>
        <v>0.11</v>
      </c>
      <c r="K1011" s="179">
        <f t="shared" ref="K1011:K1017" si="375">L1011/H1011</f>
        <v>100</v>
      </c>
      <c r="L1011" s="21">
        <v>600</v>
      </c>
      <c r="M1011" s="21">
        <v>660</v>
      </c>
      <c r="N1011" s="285"/>
      <c r="O1011" s="285"/>
      <c r="P1011" s="285"/>
      <c r="Q1011" s="285"/>
      <c r="R1011" s="285"/>
      <c r="S1011" s="285"/>
      <c r="T1011" s="285"/>
      <c r="U1011" s="285"/>
      <c r="V1011" s="285"/>
      <c r="W1011" s="285"/>
    </row>
    <row r="1012" spans="1:23" s="26" customFormat="1" ht="30" customHeight="1" x14ac:dyDescent="0.2">
      <c r="A1012" s="106" t="s">
        <v>2256</v>
      </c>
      <c r="B1012" s="115" t="s">
        <v>1398</v>
      </c>
      <c r="C1012" s="105" t="s">
        <v>220</v>
      </c>
      <c r="D1012" s="50">
        <v>1</v>
      </c>
      <c r="E1012" s="51">
        <f t="shared" si="373"/>
        <v>6.8181818181818183</v>
      </c>
      <c r="F1012" s="23">
        <f t="shared" si="369"/>
        <v>0.14666666666666667</v>
      </c>
      <c r="G1012" s="65">
        <f t="shared" si="374"/>
        <v>75</v>
      </c>
      <c r="H1012" s="79">
        <v>8</v>
      </c>
      <c r="I1012" s="71">
        <f t="shared" si="371"/>
        <v>1.1000000000000001</v>
      </c>
      <c r="J1012" s="23">
        <f t="shared" si="372"/>
        <v>0.14666666666666667</v>
      </c>
      <c r="K1012" s="179">
        <f t="shared" si="375"/>
        <v>75</v>
      </c>
      <c r="L1012" s="21">
        <v>600</v>
      </c>
      <c r="M1012" s="21">
        <v>660</v>
      </c>
      <c r="N1012" s="285"/>
      <c r="O1012" s="285"/>
      <c r="P1012" s="285"/>
      <c r="Q1012" s="285"/>
      <c r="R1012" s="285"/>
      <c r="S1012" s="285"/>
      <c r="T1012" s="285"/>
      <c r="U1012" s="285"/>
      <c r="V1012" s="285"/>
      <c r="W1012" s="285"/>
    </row>
    <row r="1013" spans="1:23" s="26" customFormat="1" ht="30" customHeight="1" x14ac:dyDescent="0.2">
      <c r="A1013" s="106" t="s">
        <v>2257</v>
      </c>
      <c r="B1013" s="115" t="s">
        <v>1399</v>
      </c>
      <c r="C1013" s="105" t="s">
        <v>220</v>
      </c>
      <c r="D1013" s="50">
        <v>1</v>
      </c>
      <c r="E1013" s="51">
        <f t="shared" si="373"/>
        <v>5.4545454545454541</v>
      </c>
      <c r="F1013" s="23">
        <f t="shared" si="369"/>
        <v>0.18333333333333332</v>
      </c>
      <c r="G1013" s="65">
        <f t="shared" si="374"/>
        <v>60</v>
      </c>
      <c r="H1013" s="79">
        <v>10</v>
      </c>
      <c r="I1013" s="71">
        <f t="shared" si="371"/>
        <v>1.1000000000000001</v>
      </c>
      <c r="J1013" s="23">
        <f t="shared" si="372"/>
        <v>0.18333333333333332</v>
      </c>
      <c r="K1013" s="179">
        <f t="shared" si="375"/>
        <v>60</v>
      </c>
      <c r="L1013" s="21">
        <v>600</v>
      </c>
      <c r="M1013" s="21">
        <v>660</v>
      </c>
      <c r="N1013" s="285"/>
      <c r="O1013" s="285"/>
      <c r="P1013" s="285"/>
      <c r="Q1013" s="285"/>
      <c r="R1013" s="285"/>
      <c r="S1013" s="285"/>
      <c r="T1013" s="285"/>
      <c r="U1013" s="285"/>
      <c r="V1013" s="285"/>
      <c r="W1013" s="285"/>
    </row>
    <row r="1014" spans="1:23" s="26" customFormat="1" ht="30" customHeight="1" x14ac:dyDescent="0.2">
      <c r="A1014" s="106" t="s">
        <v>2258</v>
      </c>
      <c r="B1014" s="110" t="s">
        <v>1573</v>
      </c>
      <c r="C1014" s="105" t="s">
        <v>220</v>
      </c>
      <c r="D1014" s="50">
        <v>1</v>
      </c>
      <c r="E1014" s="51">
        <f t="shared" si="373"/>
        <v>5.4545454545454541</v>
      </c>
      <c r="F1014" s="23">
        <f t="shared" si="369"/>
        <v>0.18333333333333332</v>
      </c>
      <c r="G1014" s="65">
        <f t="shared" si="374"/>
        <v>60</v>
      </c>
      <c r="H1014" s="79">
        <v>10</v>
      </c>
      <c r="I1014" s="71">
        <f t="shared" ref="I1014:I1017" si="376">M1014/L1014</f>
        <v>1.1000000000000001</v>
      </c>
      <c r="J1014" s="23">
        <f t="shared" si="372"/>
        <v>0.18333333333333332</v>
      </c>
      <c r="K1014" s="179">
        <f t="shared" si="375"/>
        <v>60</v>
      </c>
      <c r="L1014" s="21">
        <v>600</v>
      </c>
      <c r="M1014" s="21">
        <v>660</v>
      </c>
      <c r="N1014" s="285"/>
      <c r="O1014" s="285"/>
      <c r="P1014" s="285"/>
      <c r="Q1014" s="285"/>
      <c r="R1014" s="285"/>
      <c r="S1014" s="285"/>
      <c r="T1014" s="285"/>
      <c r="U1014" s="285"/>
      <c r="V1014" s="285"/>
      <c r="W1014" s="285"/>
    </row>
    <row r="1015" spans="1:23" s="26" customFormat="1" ht="30" customHeight="1" x14ac:dyDescent="0.2">
      <c r="A1015" s="106" t="s">
        <v>2259</v>
      </c>
      <c r="B1015" s="115" t="s">
        <v>1560</v>
      </c>
      <c r="C1015" s="104" t="s">
        <v>220</v>
      </c>
      <c r="D1015" s="102">
        <v>1</v>
      </c>
      <c r="E1015" s="51">
        <f t="shared" si="373"/>
        <v>3.6363636363636362</v>
      </c>
      <c r="F1015" s="23">
        <f t="shared" si="369"/>
        <v>0.27500000000000002</v>
      </c>
      <c r="G1015" s="65">
        <f t="shared" si="374"/>
        <v>40</v>
      </c>
      <c r="H1015" s="79">
        <v>15</v>
      </c>
      <c r="I1015" s="71">
        <f t="shared" si="376"/>
        <v>1.1000000000000001</v>
      </c>
      <c r="J1015" s="23">
        <f t="shared" si="372"/>
        <v>0.27500000000000002</v>
      </c>
      <c r="K1015" s="179">
        <f t="shared" si="375"/>
        <v>40</v>
      </c>
      <c r="L1015" s="21">
        <v>600</v>
      </c>
      <c r="M1015" s="21">
        <v>660</v>
      </c>
      <c r="N1015" s="285"/>
      <c r="O1015" s="285"/>
      <c r="P1015" s="285"/>
      <c r="Q1015" s="285"/>
      <c r="R1015" s="285"/>
      <c r="S1015" s="285"/>
      <c r="T1015" s="285"/>
      <c r="U1015" s="285"/>
      <c r="V1015" s="285"/>
      <c r="W1015" s="285"/>
    </row>
    <row r="1016" spans="1:23" s="26" customFormat="1" ht="30" customHeight="1" x14ac:dyDescent="0.2">
      <c r="A1016" s="106" t="s">
        <v>2260</v>
      </c>
      <c r="B1016" s="115" t="s">
        <v>1561</v>
      </c>
      <c r="C1016" s="105" t="s">
        <v>220</v>
      </c>
      <c r="D1016" s="50">
        <v>1</v>
      </c>
      <c r="E1016" s="51">
        <f t="shared" si="373"/>
        <v>2.7272727272727271</v>
      </c>
      <c r="F1016" s="23">
        <f t="shared" si="369"/>
        <v>0.36666666666666664</v>
      </c>
      <c r="G1016" s="65">
        <f t="shared" si="374"/>
        <v>30</v>
      </c>
      <c r="H1016" s="79">
        <v>20</v>
      </c>
      <c r="I1016" s="71">
        <f t="shared" si="376"/>
        <v>1.1000000000000001</v>
      </c>
      <c r="J1016" s="23">
        <f t="shared" si="372"/>
        <v>0.36666666666666664</v>
      </c>
      <c r="K1016" s="179">
        <f t="shared" si="375"/>
        <v>30</v>
      </c>
      <c r="L1016" s="21">
        <v>600</v>
      </c>
      <c r="M1016" s="21">
        <v>660</v>
      </c>
      <c r="N1016" s="285"/>
      <c r="O1016" s="285"/>
      <c r="P1016" s="285"/>
      <c r="Q1016" s="285"/>
      <c r="R1016" s="285"/>
      <c r="S1016" s="285"/>
      <c r="T1016" s="285"/>
      <c r="U1016" s="285"/>
      <c r="V1016" s="285"/>
      <c r="W1016" s="285"/>
    </row>
    <row r="1017" spans="1:23" s="26" customFormat="1" ht="30" customHeight="1" x14ac:dyDescent="0.2">
      <c r="A1017" s="106" t="s">
        <v>2261</v>
      </c>
      <c r="B1017" s="115" t="s">
        <v>1565</v>
      </c>
      <c r="C1017" s="21" t="s">
        <v>1</v>
      </c>
      <c r="D1017" s="50">
        <v>1</v>
      </c>
      <c r="E1017" s="51">
        <f t="shared" si="373"/>
        <v>1.8181818181818181</v>
      </c>
      <c r="F1017" s="23">
        <f t="shared" si="369"/>
        <v>0.55000000000000004</v>
      </c>
      <c r="G1017" s="65">
        <f t="shared" si="374"/>
        <v>20</v>
      </c>
      <c r="H1017" s="101">
        <v>30</v>
      </c>
      <c r="I1017" s="71">
        <f t="shared" si="376"/>
        <v>1.1000000000000001</v>
      </c>
      <c r="J1017" s="23">
        <f t="shared" si="372"/>
        <v>0.55000000000000004</v>
      </c>
      <c r="K1017" s="179">
        <f t="shared" si="375"/>
        <v>20</v>
      </c>
      <c r="L1017" s="21">
        <v>600</v>
      </c>
      <c r="M1017" s="21">
        <v>660</v>
      </c>
      <c r="N1017" s="285"/>
      <c r="O1017" s="285"/>
      <c r="P1017" s="285"/>
      <c r="Q1017" s="285"/>
      <c r="R1017" s="285"/>
      <c r="S1017" s="285"/>
      <c r="T1017" s="285"/>
      <c r="U1017" s="285"/>
      <c r="V1017" s="285"/>
      <c r="W1017" s="285"/>
    </row>
    <row r="1018" spans="1:23" s="26" customFormat="1" ht="30" customHeight="1" x14ac:dyDescent="0.2">
      <c r="A1018" s="106"/>
      <c r="B1018" s="178" t="s">
        <v>1572</v>
      </c>
      <c r="C1018" s="94"/>
      <c r="D1018" s="94"/>
      <c r="E1018" s="95"/>
      <c r="F1018" s="95"/>
      <c r="G1018" s="95"/>
      <c r="H1018" s="233"/>
      <c r="I1018" s="63"/>
      <c r="J1018" s="63"/>
      <c r="K1018" s="63"/>
      <c r="L1018" s="63"/>
      <c r="M1018" s="63"/>
      <c r="N1018" s="285"/>
      <c r="O1018" s="285"/>
      <c r="P1018" s="285"/>
      <c r="Q1018" s="285"/>
      <c r="R1018" s="285"/>
      <c r="S1018" s="285"/>
      <c r="T1018" s="285"/>
      <c r="U1018" s="285"/>
      <c r="V1018" s="285"/>
      <c r="W1018" s="285"/>
    </row>
    <row r="1019" spans="1:23" s="26" customFormat="1" ht="30" customHeight="1" x14ac:dyDescent="0.2">
      <c r="A1019" s="106" t="s">
        <v>2262</v>
      </c>
      <c r="B1019" s="120" t="s">
        <v>1241</v>
      </c>
      <c r="C1019" s="21" t="s">
        <v>1</v>
      </c>
      <c r="D1019" s="50">
        <v>1</v>
      </c>
      <c r="E1019" s="51">
        <f t="shared" ref="E1019:E1038" si="377">G1019/11</f>
        <v>10.181818181818182</v>
      </c>
      <c r="F1019" s="23">
        <f t="shared" ref="F1019:G1038" si="378">J1019</f>
        <v>9.8214285714285712E-2</v>
      </c>
      <c r="G1019" s="65">
        <f t="shared" si="378"/>
        <v>112</v>
      </c>
      <c r="H1019" s="77">
        <f t="shared" ref="H1019:I1034" si="379">L1019/K1019</f>
        <v>5.3571428571428568</v>
      </c>
      <c r="I1019" s="71">
        <f t="shared" si="379"/>
        <v>1.1000000000000001</v>
      </c>
      <c r="J1019" s="23">
        <f t="shared" ref="J1019:J1038" si="380">11/K1019</f>
        <v>9.8214285714285712E-2</v>
      </c>
      <c r="K1019" s="180">
        <v>112</v>
      </c>
      <c r="L1019" s="21">
        <v>600</v>
      </c>
      <c r="M1019" s="21">
        <v>660</v>
      </c>
      <c r="N1019" s="285"/>
      <c r="O1019" s="285"/>
      <c r="P1019" s="285"/>
      <c r="Q1019" s="285"/>
      <c r="R1019" s="285"/>
      <c r="S1019" s="285"/>
      <c r="T1019" s="285"/>
      <c r="U1019" s="285"/>
      <c r="V1019" s="285"/>
      <c r="W1019" s="285"/>
    </row>
    <row r="1020" spans="1:23" s="26" customFormat="1" ht="30" customHeight="1" x14ac:dyDescent="0.2">
      <c r="A1020" s="106" t="s">
        <v>2263</v>
      </c>
      <c r="B1020" s="120" t="s">
        <v>1218</v>
      </c>
      <c r="C1020" s="21" t="s">
        <v>1</v>
      </c>
      <c r="D1020" s="50">
        <v>1</v>
      </c>
      <c r="E1020" s="51">
        <f t="shared" si="377"/>
        <v>9.0909090909090917</v>
      </c>
      <c r="F1020" s="23">
        <f t="shared" si="378"/>
        <v>0.11</v>
      </c>
      <c r="G1020" s="65">
        <f t="shared" si="378"/>
        <v>100</v>
      </c>
      <c r="H1020" s="77">
        <f t="shared" si="379"/>
        <v>6</v>
      </c>
      <c r="I1020" s="71">
        <f t="shared" si="379"/>
        <v>1.1000000000000001</v>
      </c>
      <c r="J1020" s="23">
        <f t="shared" si="380"/>
        <v>0.11</v>
      </c>
      <c r="K1020" s="180">
        <v>100</v>
      </c>
      <c r="L1020" s="21">
        <v>600</v>
      </c>
      <c r="M1020" s="21">
        <v>660</v>
      </c>
      <c r="N1020" s="285"/>
      <c r="O1020" s="285"/>
      <c r="P1020" s="285"/>
      <c r="Q1020" s="285"/>
      <c r="R1020" s="285"/>
      <c r="S1020" s="285"/>
      <c r="T1020" s="285"/>
      <c r="U1020" s="285"/>
      <c r="V1020" s="285"/>
      <c r="W1020" s="285"/>
    </row>
    <row r="1021" spans="1:23" s="26" customFormat="1" ht="30" customHeight="1" x14ac:dyDescent="0.2">
      <c r="A1021" s="106" t="s">
        <v>2264</v>
      </c>
      <c r="B1021" s="120" t="s">
        <v>1219</v>
      </c>
      <c r="C1021" s="21" t="s">
        <v>1</v>
      </c>
      <c r="D1021" s="50">
        <v>1</v>
      </c>
      <c r="E1021" s="51">
        <f t="shared" si="377"/>
        <v>8</v>
      </c>
      <c r="F1021" s="23">
        <f t="shared" si="378"/>
        <v>0.125</v>
      </c>
      <c r="G1021" s="65">
        <f t="shared" si="378"/>
        <v>88</v>
      </c>
      <c r="H1021" s="77">
        <f t="shared" si="379"/>
        <v>6.8181818181818183</v>
      </c>
      <c r="I1021" s="71">
        <f t="shared" si="379"/>
        <v>1.1000000000000001</v>
      </c>
      <c r="J1021" s="23">
        <f t="shared" si="380"/>
        <v>0.125</v>
      </c>
      <c r="K1021" s="180">
        <v>88</v>
      </c>
      <c r="L1021" s="21">
        <v>600</v>
      </c>
      <c r="M1021" s="21">
        <v>660</v>
      </c>
      <c r="N1021" s="285"/>
      <c r="O1021" s="285"/>
      <c r="P1021" s="285"/>
      <c r="Q1021" s="285"/>
      <c r="R1021" s="285"/>
      <c r="S1021" s="285"/>
      <c r="T1021" s="285"/>
      <c r="U1021" s="285"/>
      <c r="V1021" s="285"/>
      <c r="W1021" s="285"/>
    </row>
    <row r="1022" spans="1:23" s="26" customFormat="1" ht="30" customHeight="1" x14ac:dyDescent="0.2">
      <c r="A1022" s="106" t="s">
        <v>2265</v>
      </c>
      <c r="B1022" s="120" t="s">
        <v>1242</v>
      </c>
      <c r="C1022" s="21" t="s">
        <v>1</v>
      </c>
      <c r="D1022" s="50">
        <v>1</v>
      </c>
      <c r="E1022" s="51">
        <f t="shared" si="377"/>
        <v>6</v>
      </c>
      <c r="F1022" s="23">
        <f t="shared" si="378"/>
        <v>0.16666666666666666</v>
      </c>
      <c r="G1022" s="65">
        <f t="shared" si="378"/>
        <v>66</v>
      </c>
      <c r="H1022" s="77">
        <f t="shared" si="379"/>
        <v>9.0909090909090917</v>
      </c>
      <c r="I1022" s="71">
        <f t="shared" si="379"/>
        <v>1.1000000000000001</v>
      </c>
      <c r="J1022" s="23">
        <f t="shared" si="380"/>
        <v>0.16666666666666666</v>
      </c>
      <c r="K1022" s="180">
        <v>66</v>
      </c>
      <c r="L1022" s="21">
        <v>600</v>
      </c>
      <c r="M1022" s="21">
        <v>660</v>
      </c>
      <c r="N1022" s="285"/>
      <c r="O1022" s="285"/>
      <c r="P1022" s="285"/>
      <c r="Q1022" s="285"/>
      <c r="R1022" s="285"/>
      <c r="S1022" s="285"/>
      <c r="T1022" s="285"/>
      <c r="U1022" s="285"/>
      <c r="V1022" s="285"/>
      <c r="W1022" s="285"/>
    </row>
    <row r="1023" spans="1:23" s="26" customFormat="1" ht="30" customHeight="1" x14ac:dyDescent="0.2">
      <c r="A1023" s="106" t="s">
        <v>2266</v>
      </c>
      <c r="B1023" s="120" t="s">
        <v>1243</v>
      </c>
      <c r="C1023" s="21" t="s">
        <v>1</v>
      </c>
      <c r="D1023" s="50">
        <v>1</v>
      </c>
      <c r="E1023" s="51">
        <f t="shared" si="377"/>
        <v>5.0909090909090908</v>
      </c>
      <c r="F1023" s="23">
        <f t="shared" si="378"/>
        <v>0.19642857142857142</v>
      </c>
      <c r="G1023" s="65">
        <f t="shared" si="378"/>
        <v>56</v>
      </c>
      <c r="H1023" s="77">
        <f t="shared" si="379"/>
        <v>10.714285714285714</v>
      </c>
      <c r="I1023" s="71">
        <f t="shared" si="379"/>
        <v>1.1000000000000001</v>
      </c>
      <c r="J1023" s="23">
        <f t="shared" si="380"/>
        <v>0.19642857142857142</v>
      </c>
      <c r="K1023" s="180">
        <v>56</v>
      </c>
      <c r="L1023" s="21">
        <v>600</v>
      </c>
      <c r="M1023" s="21">
        <v>660</v>
      </c>
      <c r="N1023" s="285"/>
      <c r="O1023" s="285"/>
      <c r="P1023" s="285"/>
      <c r="Q1023" s="285"/>
      <c r="R1023" s="285"/>
      <c r="S1023" s="285"/>
      <c r="T1023" s="285"/>
      <c r="U1023" s="285"/>
      <c r="V1023" s="285"/>
      <c r="W1023" s="285"/>
    </row>
    <row r="1024" spans="1:23" s="26" customFormat="1" ht="30" customHeight="1" x14ac:dyDescent="0.2">
      <c r="A1024" s="106" t="s">
        <v>2267</v>
      </c>
      <c r="B1024" s="120" t="s">
        <v>1245</v>
      </c>
      <c r="C1024" s="21" t="s">
        <v>1</v>
      </c>
      <c r="D1024" s="50">
        <v>1</v>
      </c>
      <c r="E1024" s="51">
        <f t="shared" si="377"/>
        <v>7.4545454545454541</v>
      </c>
      <c r="F1024" s="23">
        <f t="shared" si="378"/>
        <v>0.13414634146341464</v>
      </c>
      <c r="G1024" s="65">
        <f t="shared" si="378"/>
        <v>82</v>
      </c>
      <c r="H1024" s="77">
        <f t="shared" si="379"/>
        <v>7.3170731707317076</v>
      </c>
      <c r="I1024" s="71">
        <f t="shared" si="379"/>
        <v>1.1000000000000001</v>
      </c>
      <c r="J1024" s="23">
        <f t="shared" si="380"/>
        <v>0.13414634146341464</v>
      </c>
      <c r="K1024" s="180">
        <v>82</v>
      </c>
      <c r="L1024" s="21">
        <v>600</v>
      </c>
      <c r="M1024" s="21">
        <v>660</v>
      </c>
      <c r="N1024" s="285"/>
      <c r="O1024" s="285"/>
      <c r="P1024" s="285"/>
      <c r="Q1024" s="285"/>
      <c r="R1024" s="285"/>
      <c r="S1024" s="285"/>
      <c r="T1024" s="285"/>
      <c r="U1024" s="285"/>
      <c r="V1024" s="285"/>
      <c r="W1024" s="285"/>
    </row>
    <row r="1025" spans="1:23" s="26" customFormat="1" ht="30" customHeight="1" x14ac:dyDescent="0.2">
      <c r="A1025" s="106" t="s">
        <v>2268</v>
      </c>
      <c r="B1025" s="120" t="s">
        <v>1244</v>
      </c>
      <c r="C1025" s="21" t="s">
        <v>1</v>
      </c>
      <c r="D1025" s="50">
        <v>1</v>
      </c>
      <c r="E1025" s="51">
        <f t="shared" si="377"/>
        <v>6.9090909090909092</v>
      </c>
      <c r="F1025" s="23">
        <f t="shared" si="378"/>
        <v>0.14473684210526316</v>
      </c>
      <c r="G1025" s="65">
        <f t="shared" si="378"/>
        <v>76</v>
      </c>
      <c r="H1025" s="77">
        <f t="shared" si="379"/>
        <v>7.8947368421052628</v>
      </c>
      <c r="I1025" s="71">
        <f t="shared" si="379"/>
        <v>1.1000000000000001</v>
      </c>
      <c r="J1025" s="23">
        <f t="shared" si="380"/>
        <v>0.14473684210526316</v>
      </c>
      <c r="K1025" s="180">
        <v>76</v>
      </c>
      <c r="L1025" s="21">
        <v>600</v>
      </c>
      <c r="M1025" s="21">
        <v>660</v>
      </c>
      <c r="N1025" s="285"/>
      <c r="O1025" s="285"/>
      <c r="P1025" s="285"/>
      <c r="Q1025" s="285"/>
      <c r="R1025" s="285"/>
      <c r="S1025" s="285"/>
      <c r="T1025" s="285"/>
      <c r="U1025" s="285"/>
      <c r="V1025" s="285"/>
      <c r="W1025" s="285"/>
    </row>
    <row r="1026" spans="1:23" s="26" customFormat="1" ht="30" customHeight="1" x14ac:dyDescent="0.2">
      <c r="A1026" s="106" t="s">
        <v>2269</v>
      </c>
      <c r="B1026" s="120" t="s">
        <v>1246</v>
      </c>
      <c r="C1026" s="21" t="s">
        <v>1</v>
      </c>
      <c r="D1026" s="50">
        <v>1</v>
      </c>
      <c r="E1026" s="51">
        <f t="shared" si="377"/>
        <v>7.6363636363636367</v>
      </c>
      <c r="F1026" s="23">
        <f t="shared" si="378"/>
        <v>0.13095238095238096</v>
      </c>
      <c r="G1026" s="65">
        <f t="shared" si="378"/>
        <v>84</v>
      </c>
      <c r="H1026" s="77">
        <f t="shared" si="379"/>
        <v>7.1428571428571432</v>
      </c>
      <c r="I1026" s="71">
        <f t="shared" si="379"/>
        <v>1.1000000000000001</v>
      </c>
      <c r="J1026" s="23">
        <f t="shared" si="380"/>
        <v>0.13095238095238096</v>
      </c>
      <c r="K1026" s="180">
        <v>84</v>
      </c>
      <c r="L1026" s="21">
        <v>600</v>
      </c>
      <c r="M1026" s="21">
        <v>660</v>
      </c>
      <c r="N1026" s="285"/>
      <c r="O1026" s="285"/>
      <c r="P1026" s="285"/>
      <c r="Q1026" s="285"/>
      <c r="R1026" s="285"/>
      <c r="S1026" s="285"/>
      <c r="T1026" s="285"/>
      <c r="U1026" s="285"/>
      <c r="V1026" s="285"/>
      <c r="W1026" s="285"/>
    </row>
    <row r="1027" spans="1:23" s="26" customFormat="1" ht="30" customHeight="1" x14ac:dyDescent="0.2">
      <c r="A1027" s="106" t="s">
        <v>2270</v>
      </c>
      <c r="B1027" s="120" t="s">
        <v>1247</v>
      </c>
      <c r="C1027" s="21" t="s">
        <v>1</v>
      </c>
      <c r="D1027" s="50">
        <v>1</v>
      </c>
      <c r="E1027" s="51">
        <f t="shared" si="377"/>
        <v>6.5454545454545459</v>
      </c>
      <c r="F1027" s="23">
        <f t="shared" si="378"/>
        <v>0.15277777777777779</v>
      </c>
      <c r="G1027" s="65">
        <f t="shared" si="378"/>
        <v>72</v>
      </c>
      <c r="H1027" s="77">
        <f t="shared" si="379"/>
        <v>8.3333333333333339</v>
      </c>
      <c r="I1027" s="71">
        <f t="shared" si="379"/>
        <v>1.1000000000000001</v>
      </c>
      <c r="J1027" s="23">
        <f t="shared" si="380"/>
        <v>0.15277777777777779</v>
      </c>
      <c r="K1027" s="180">
        <v>72</v>
      </c>
      <c r="L1027" s="21">
        <v>600</v>
      </c>
      <c r="M1027" s="21">
        <v>660</v>
      </c>
      <c r="N1027" s="285"/>
      <c r="O1027" s="285"/>
      <c r="P1027" s="285"/>
      <c r="Q1027" s="285"/>
      <c r="R1027" s="285"/>
      <c r="S1027" s="285"/>
      <c r="T1027" s="285"/>
      <c r="U1027" s="285"/>
      <c r="V1027" s="285"/>
      <c r="W1027" s="285"/>
    </row>
    <row r="1028" spans="1:23" s="26" customFormat="1" ht="30" customHeight="1" x14ac:dyDescent="0.2">
      <c r="A1028" s="106" t="s">
        <v>2271</v>
      </c>
      <c r="B1028" s="120" t="s">
        <v>1248</v>
      </c>
      <c r="C1028" s="21" t="s">
        <v>1</v>
      </c>
      <c r="D1028" s="50">
        <v>1</v>
      </c>
      <c r="E1028" s="51">
        <f t="shared" si="377"/>
        <v>7.2727272727272725</v>
      </c>
      <c r="F1028" s="23">
        <f t="shared" si="378"/>
        <v>0.13750000000000001</v>
      </c>
      <c r="G1028" s="65">
        <f t="shared" si="378"/>
        <v>80</v>
      </c>
      <c r="H1028" s="77">
        <f t="shared" si="379"/>
        <v>7.5</v>
      </c>
      <c r="I1028" s="71">
        <f t="shared" si="379"/>
        <v>1.1000000000000001</v>
      </c>
      <c r="J1028" s="23">
        <f t="shared" si="380"/>
        <v>0.13750000000000001</v>
      </c>
      <c r="K1028" s="180">
        <v>80</v>
      </c>
      <c r="L1028" s="21">
        <v>600</v>
      </c>
      <c r="M1028" s="21">
        <v>660</v>
      </c>
      <c r="N1028" s="285"/>
      <c r="O1028" s="285"/>
      <c r="P1028" s="285"/>
      <c r="Q1028" s="285"/>
      <c r="R1028" s="285"/>
      <c r="S1028" s="285"/>
      <c r="T1028" s="285"/>
      <c r="U1028" s="285"/>
      <c r="V1028" s="285"/>
      <c r="W1028" s="285"/>
    </row>
    <row r="1029" spans="1:23" s="26" customFormat="1" ht="30" customHeight="1" x14ac:dyDescent="0.2">
      <c r="A1029" s="106" t="s">
        <v>2272</v>
      </c>
      <c r="B1029" s="120" t="s">
        <v>1249</v>
      </c>
      <c r="C1029" s="21" t="s">
        <v>1</v>
      </c>
      <c r="D1029" s="50">
        <v>1</v>
      </c>
      <c r="E1029" s="51">
        <f t="shared" si="377"/>
        <v>6</v>
      </c>
      <c r="F1029" s="23">
        <f t="shared" si="378"/>
        <v>0.16666666666666666</v>
      </c>
      <c r="G1029" s="65">
        <f t="shared" si="378"/>
        <v>66</v>
      </c>
      <c r="H1029" s="77">
        <f t="shared" si="379"/>
        <v>9.0909090909090917</v>
      </c>
      <c r="I1029" s="71">
        <f t="shared" si="379"/>
        <v>1.1000000000000001</v>
      </c>
      <c r="J1029" s="23">
        <f t="shared" si="380"/>
        <v>0.16666666666666666</v>
      </c>
      <c r="K1029" s="180">
        <v>66</v>
      </c>
      <c r="L1029" s="21">
        <v>600</v>
      </c>
      <c r="M1029" s="21">
        <v>660</v>
      </c>
      <c r="N1029" s="285"/>
      <c r="O1029" s="285"/>
      <c r="P1029" s="285"/>
      <c r="Q1029" s="285"/>
      <c r="R1029" s="285"/>
      <c r="S1029" s="285"/>
      <c r="T1029" s="285"/>
      <c r="U1029" s="285"/>
      <c r="V1029" s="285"/>
      <c r="W1029" s="285"/>
    </row>
    <row r="1030" spans="1:23" s="26" customFormat="1" ht="30" customHeight="1" x14ac:dyDescent="0.2">
      <c r="A1030" s="106" t="s">
        <v>2273</v>
      </c>
      <c r="B1030" s="120" t="s">
        <v>1403</v>
      </c>
      <c r="C1030" s="21" t="s">
        <v>1</v>
      </c>
      <c r="D1030" s="50">
        <v>1</v>
      </c>
      <c r="E1030" s="51">
        <f t="shared" si="377"/>
        <v>3.4545454545454546</v>
      </c>
      <c r="F1030" s="23">
        <f t="shared" si="378"/>
        <v>0.28947368421052633</v>
      </c>
      <c r="G1030" s="65">
        <f t="shared" si="378"/>
        <v>38</v>
      </c>
      <c r="H1030" s="77">
        <f t="shared" si="379"/>
        <v>15.789473684210526</v>
      </c>
      <c r="I1030" s="71">
        <f t="shared" si="379"/>
        <v>1.1000000000000001</v>
      </c>
      <c r="J1030" s="23">
        <f t="shared" si="380"/>
        <v>0.28947368421052633</v>
      </c>
      <c r="K1030" s="65">
        <v>38</v>
      </c>
      <c r="L1030" s="21">
        <v>600</v>
      </c>
      <c r="M1030" s="21">
        <v>660</v>
      </c>
      <c r="N1030" s="285"/>
      <c r="O1030" s="285"/>
      <c r="P1030" s="285"/>
      <c r="Q1030" s="285"/>
      <c r="R1030" s="285"/>
      <c r="S1030" s="285"/>
      <c r="T1030" s="285"/>
      <c r="U1030" s="285"/>
      <c r="V1030" s="285"/>
      <c r="W1030" s="285"/>
    </row>
    <row r="1031" spans="1:23" s="26" customFormat="1" ht="30" customHeight="1" x14ac:dyDescent="0.2">
      <c r="A1031" s="106" t="s">
        <v>2274</v>
      </c>
      <c r="B1031" s="120" t="s">
        <v>1404</v>
      </c>
      <c r="C1031" s="21" t="s">
        <v>1</v>
      </c>
      <c r="D1031" s="50">
        <v>1</v>
      </c>
      <c r="E1031" s="51">
        <f t="shared" si="377"/>
        <v>2.9090909090909092</v>
      </c>
      <c r="F1031" s="23">
        <f t="shared" si="378"/>
        <v>0.34375</v>
      </c>
      <c r="G1031" s="65">
        <f t="shared" si="378"/>
        <v>32</v>
      </c>
      <c r="H1031" s="77">
        <f t="shared" si="379"/>
        <v>18.75</v>
      </c>
      <c r="I1031" s="71">
        <f t="shared" si="379"/>
        <v>1.1000000000000001</v>
      </c>
      <c r="J1031" s="23">
        <f t="shared" si="380"/>
        <v>0.34375</v>
      </c>
      <c r="K1031" s="65">
        <v>32</v>
      </c>
      <c r="L1031" s="21">
        <v>600</v>
      </c>
      <c r="M1031" s="21">
        <v>660</v>
      </c>
      <c r="N1031" s="285"/>
      <c r="O1031" s="285"/>
      <c r="P1031" s="285"/>
      <c r="Q1031" s="285"/>
      <c r="R1031" s="285"/>
      <c r="S1031" s="285"/>
      <c r="T1031" s="285"/>
      <c r="U1031" s="285"/>
      <c r="V1031" s="285"/>
      <c r="W1031" s="285"/>
    </row>
    <row r="1032" spans="1:23" s="26" customFormat="1" ht="30" customHeight="1" x14ac:dyDescent="0.2">
      <c r="A1032" s="106" t="s">
        <v>2275</v>
      </c>
      <c r="B1032" s="115" t="s">
        <v>1400</v>
      </c>
      <c r="C1032" s="59" t="s">
        <v>1</v>
      </c>
      <c r="D1032" s="102">
        <v>1</v>
      </c>
      <c r="E1032" s="98">
        <f t="shared" si="377"/>
        <v>6.4171122994652414</v>
      </c>
      <c r="F1032" s="99">
        <f t="shared" si="378"/>
        <v>0.15583333333333332</v>
      </c>
      <c r="G1032" s="100">
        <f t="shared" si="378"/>
        <v>70.588235294117652</v>
      </c>
      <c r="H1032" s="79">
        <v>8.5</v>
      </c>
      <c r="I1032" s="71">
        <f t="shared" si="379"/>
        <v>1.1000000000000001</v>
      </c>
      <c r="J1032" s="23">
        <f t="shared" si="380"/>
        <v>0.15583333333333332</v>
      </c>
      <c r="K1032" s="100">
        <f t="shared" ref="K1032:K1038" si="381">L1032/H1032</f>
        <v>70.588235294117652</v>
      </c>
      <c r="L1032" s="21">
        <v>600</v>
      </c>
      <c r="M1032" s="21">
        <v>660</v>
      </c>
      <c r="N1032" s="285"/>
      <c r="O1032" s="285"/>
      <c r="P1032" s="285"/>
      <c r="Q1032" s="285"/>
      <c r="R1032" s="285"/>
      <c r="S1032" s="285"/>
      <c r="T1032" s="285"/>
      <c r="U1032" s="285"/>
      <c r="V1032" s="285"/>
      <c r="W1032" s="285"/>
    </row>
    <row r="1033" spans="1:23" s="26" customFormat="1" ht="30" customHeight="1" x14ac:dyDescent="0.2">
      <c r="A1033" s="106" t="s">
        <v>2276</v>
      </c>
      <c r="B1033" s="115" t="s">
        <v>1401</v>
      </c>
      <c r="C1033" s="104" t="s">
        <v>220</v>
      </c>
      <c r="D1033" s="50">
        <v>1</v>
      </c>
      <c r="E1033" s="51">
        <f t="shared" si="377"/>
        <v>4.9586776859504136</v>
      </c>
      <c r="F1033" s="23">
        <f t="shared" si="378"/>
        <v>0.20166666666666666</v>
      </c>
      <c r="G1033" s="100">
        <f t="shared" si="378"/>
        <v>54.545454545454547</v>
      </c>
      <c r="H1033" s="79">
        <v>11</v>
      </c>
      <c r="I1033" s="71">
        <f t="shared" si="379"/>
        <v>1.1000000000000001</v>
      </c>
      <c r="J1033" s="23">
        <f t="shared" si="380"/>
        <v>0.20166666666666666</v>
      </c>
      <c r="K1033" s="100">
        <f t="shared" si="381"/>
        <v>54.545454545454547</v>
      </c>
      <c r="L1033" s="21">
        <v>600</v>
      </c>
      <c r="M1033" s="21">
        <v>660</v>
      </c>
      <c r="N1033" s="285"/>
      <c r="O1033" s="285"/>
      <c r="P1033" s="285"/>
      <c r="Q1033" s="285"/>
      <c r="R1033" s="285"/>
      <c r="S1033" s="285"/>
      <c r="T1033" s="285"/>
      <c r="U1033" s="285"/>
      <c r="V1033" s="285"/>
      <c r="W1033" s="285"/>
    </row>
    <row r="1034" spans="1:23" s="26" customFormat="1" ht="30" customHeight="1" x14ac:dyDescent="0.2">
      <c r="A1034" s="106" t="s">
        <v>2277</v>
      </c>
      <c r="B1034" s="115" t="s">
        <v>1402</v>
      </c>
      <c r="C1034" s="105" t="s">
        <v>220</v>
      </c>
      <c r="D1034" s="50">
        <v>1</v>
      </c>
      <c r="E1034" s="51">
        <f t="shared" si="377"/>
        <v>3.8961038961038956</v>
      </c>
      <c r="F1034" s="23">
        <f t="shared" si="378"/>
        <v>0.25666666666666671</v>
      </c>
      <c r="G1034" s="100">
        <f t="shared" si="378"/>
        <v>42.857142857142854</v>
      </c>
      <c r="H1034" s="79">
        <v>14</v>
      </c>
      <c r="I1034" s="71">
        <f t="shared" si="379"/>
        <v>1.1000000000000001</v>
      </c>
      <c r="J1034" s="23">
        <f t="shared" si="380"/>
        <v>0.25666666666666671</v>
      </c>
      <c r="K1034" s="100">
        <f t="shared" si="381"/>
        <v>42.857142857142854</v>
      </c>
      <c r="L1034" s="21">
        <v>600</v>
      </c>
      <c r="M1034" s="21">
        <v>660</v>
      </c>
      <c r="N1034" s="285"/>
      <c r="O1034" s="285"/>
      <c r="P1034" s="285"/>
      <c r="Q1034" s="285"/>
      <c r="R1034" s="285"/>
      <c r="S1034" s="285"/>
      <c r="T1034" s="285"/>
      <c r="U1034" s="285"/>
      <c r="V1034" s="285"/>
      <c r="W1034" s="285"/>
    </row>
    <row r="1035" spans="1:23" s="26" customFormat="1" ht="30" customHeight="1" x14ac:dyDescent="0.2">
      <c r="A1035" s="106" t="s">
        <v>2278</v>
      </c>
      <c r="B1035" s="115" t="s">
        <v>1562</v>
      </c>
      <c r="C1035" s="105" t="s">
        <v>220</v>
      </c>
      <c r="D1035" s="50">
        <v>1</v>
      </c>
      <c r="E1035" s="51">
        <f t="shared" si="377"/>
        <v>3.8961038961038956</v>
      </c>
      <c r="F1035" s="23">
        <f t="shared" si="378"/>
        <v>0.25666666666666671</v>
      </c>
      <c r="G1035" s="100">
        <f t="shared" si="378"/>
        <v>42.857142857142854</v>
      </c>
      <c r="H1035" s="79">
        <v>14</v>
      </c>
      <c r="I1035" s="71">
        <f t="shared" ref="I1035:I1038" si="382">M1035/L1035</f>
        <v>1.1000000000000001</v>
      </c>
      <c r="J1035" s="23">
        <f t="shared" si="380"/>
        <v>0.25666666666666671</v>
      </c>
      <c r="K1035" s="100">
        <f t="shared" si="381"/>
        <v>42.857142857142854</v>
      </c>
      <c r="L1035" s="21">
        <v>600</v>
      </c>
      <c r="M1035" s="21">
        <v>660</v>
      </c>
      <c r="N1035" s="285"/>
      <c r="O1035" s="285"/>
      <c r="P1035" s="285"/>
      <c r="Q1035" s="285"/>
      <c r="R1035" s="285"/>
      <c r="S1035" s="285"/>
      <c r="T1035" s="285"/>
      <c r="U1035" s="285"/>
      <c r="V1035" s="285"/>
      <c r="W1035" s="285"/>
    </row>
    <row r="1036" spans="1:23" s="26" customFormat="1" ht="30" customHeight="1" x14ac:dyDescent="0.2">
      <c r="A1036" s="106" t="s">
        <v>2279</v>
      </c>
      <c r="B1036" s="110" t="s">
        <v>1563</v>
      </c>
      <c r="C1036" s="105" t="s">
        <v>220</v>
      </c>
      <c r="D1036" s="102">
        <v>1</v>
      </c>
      <c r="E1036" s="98">
        <f t="shared" si="377"/>
        <v>2.5324675324675323</v>
      </c>
      <c r="F1036" s="99">
        <f t="shared" si="378"/>
        <v>0.39487179487179486</v>
      </c>
      <c r="G1036" s="100">
        <f t="shared" si="378"/>
        <v>27.857142857142858</v>
      </c>
      <c r="H1036" s="79">
        <v>21</v>
      </c>
      <c r="I1036" s="71">
        <f t="shared" si="382"/>
        <v>1.1282051282051282</v>
      </c>
      <c r="J1036" s="23">
        <f t="shared" si="380"/>
        <v>0.39487179487179486</v>
      </c>
      <c r="K1036" s="100">
        <f t="shared" si="381"/>
        <v>27.857142857142858</v>
      </c>
      <c r="L1036" s="21">
        <v>585</v>
      </c>
      <c r="M1036" s="21">
        <v>660</v>
      </c>
      <c r="N1036" s="285"/>
      <c r="O1036" s="285"/>
      <c r="P1036" s="285"/>
      <c r="Q1036" s="285"/>
      <c r="R1036" s="285"/>
      <c r="S1036" s="285"/>
      <c r="T1036" s="285"/>
      <c r="U1036" s="285"/>
      <c r="V1036" s="285"/>
      <c r="W1036" s="285"/>
    </row>
    <row r="1037" spans="1:23" s="26" customFormat="1" ht="30" customHeight="1" x14ac:dyDescent="0.2">
      <c r="A1037" s="106" t="s">
        <v>2280</v>
      </c>
      <c r="B1037" s="110" t="s">
        <v>1564</v>
      </c>
      <c r="C1037" s="104" t="s">
        <v>220</v>
      </c>
      <c r="D1037" s="50">
        <v>1</v>
      </c>
      <c r="E1037" s="51">
        <f t="shared" si="377"/>
        <v>1.9480519480519478</v>
      </c>
      <c r="F1037" s="23">
        <f t="shared" si="378"/>
        <v>0.51333333333333342</v>
      </c>
      <c r="G1037" s="100">
        <f t="shared" si="378"/>
        <v>21.428571428571427</v>
      </c>
      <c r="H1037" s="79">
        <v>28</v>
      </c>
      <c r="I1037" s="71">
        <f t="shared" si="382"/>
        <v>1.1000000000000001</v>
      </c>
      <c r="J1037" s="23">
        <f t="shared" si="380"/>
        <v>0.51333333333333342</v>
      </c>
      <c r="K1037" s="100">
        <f t="shared" si="381"/>
        <v>21.428571428571427</v>
      </c>
      <c r="L1037" s="21">
        <v>600</v>
      </c>
      <c r="M1037" s="21">
        <v>660</v>
      </c>
      <c r="N1037" s="285"/>
      <c r="O1037" s="285"/>
      <c r="P1037" s="285"/>
      <c r="Q1037" s="285"/>
      <c r="R1037" s="285"/>
      <c r="S1037" s="285"/>
      <c r="T1037" s="285"/>
      <c r="U1037" s="285"/>
      <c r="V1037" s="285"/>
      <c r="W1037" s="285"/>
    </row>
    <row r="1038" spans="1:23" s="26" customFormat="1" ht="30" customHeight="1" x14ac:dyDescent="0.2">
      <c r="A1038" s="106" t="s">
        <v>2281</v>
      </c>
      <c r="B1038" s="115" t="s">
        <v>1566</v>
      </c>
      <c r="C1038" s="105" t="s">
        <v>220</v>
      </c>
      <c r="D1038" s="50">
        <v>1</v>
      </c>
      <c r="E1038" s="51">
        <f t="shared" si="377"/>
        <v>1.4545454545454546</v>
      </c>
      <c r="F1038" s="23">
        <f t="shared" si="378"/>
        <v>0.6875</v>
      </c>
      <c r="G1038" s="65">
        <f t="shared" si="378"/>
        <v>16</v>
      </c>
      <c r="H1038" s="79">
        <v>37.5</v>
      </c>
      <c r="I1038" s="71">
        <f t="shared" si="382"/>
        <v>1.1000000000000001</v>
      </c>
      <c r="J1038" s="23">
        <f t="shared" si="380"/>
        <v>0.6875</v>
      </c>
      <c r="K1038" s="100">
        <f t="shared" si="381"/>
        <v>16</v>
      </c>
      <c r="L1038" s="21">
        <v>600</v>
      </c>
      <c r="M1038" s="21">
        <v>660</v>
      </c>
      <c r="N1038" s="285"/>
      <c r="O1038" s="285"/>
      <c r="P1038" s="285"/>
      <c r="Q1038" s="285"/>
      <c r="R1038" s="285"/>
      <c r="S1038" s="285"/>
      <c r="T1038" s="285"/>
      <c r="U1038" s="285"/>
      <c r="V1038" s="285"/>
      <c r="W1038" s="285"/>
    </row>
    <row r="1039" spans="1:23" s="26" customFormat="1" ht="30" customHeight="1" x14ac:dyDescent="0.2">
      <c r="A1039" s="106"/>
      <c r="B1039" s="181" t="s">
        <v>1215</v>
      </c>
      <c r="C1039" s="70"/>
      <c r="D1039" s="70"/>
      <c r="E1039" s="70"/>
      <c r="F1039" s="70"/>
      <c r="G1039" s="70"/>
      <c r="H1039" s="237"/>
      <c r="I1039" s="63"/>
      <c r="J1039" s="63"/>
      <c r="K1039" s="63"/>
      <c r="L1039" s="63"/>
      <c r="M1039" s="63"/>
      <c r="N1039" s="285"/>
      <c r="O1039" s="285"/>
      <c r="P1039" s="285"/>
      <c r="Q1039" s="285"/>
      <c r="R1039" s="285"/>
      <c r="S1039" s="285"/>
      <c r="T1039" s="285"/>
      <c r="U1039" s="285"/>
      <c r="V1039" s="285"/>
      <c r="W1039" s="285"/>
    </row>
    <row r="1040" spans="1:23" s="26" customFormat="1" ht="37.5" customHeight="1" x14ac:dyDescent="0.2">
      <c r="A1040" s="106" t="s">
        <v>2282</v>
      </c>
      <c r="B1040" s="120" t="s">
        <v>805</v>
      </c>
      <c r="C1040" s="21" t="s">
        <v>1</v>
      </c>
      <c r="D1040" s="50">
        <v>1</v>
      </c>
      <c r="E1040" s="51">
        <f t="shared" ref="E1040:E1051" si="383">G1040/11</f>
        <v>60.606060606060602</v>
      </c>
      <c r="F1040" s="23">
        <f t="shared" ref="F1040:G1051" si="384">J1040</f>
        <v>1.6500000000000001E-2</v>
      </c>
      <c r="G1040" s="65">
        <f t="shared" si="384"/>
        <v>666.66666666666663</v>
      </c>
      <c r="H1040" s="77">
        <f>L1040/K1040</f>
        <v>0.9</v>
      </c>
      <c r="I1040" s="71">
        <f>M1040/L1040</f>
        <v>1.1000000000000001</v>
      </c>
      <c r="J1040" s="23">
        <f t="shared" ref="J1040:J1051" si="385">11/K1040</f>
        <v>1.6500000000000001E-2</v>
      </c>
      <c r="K1040" s="65">
        <v>666.66666666666663</v>
      </c>
      <c r="L1040" s="21">
        <v>600</v>
      </c>
      <c r="M1040" s="21">
        <v>660</v>
      </c>
      <c r="N1040" s="285"/>
      <c r="O1040" s="285"/>
      <c r="P1040" s="285"/>
      <c r="Q1040" s="285"/>
      <c r="R1040" s="285"/>
      <c r="S1040" s="285"/>
      <c r="T1040" s="285"/>
      <c r="U1040" s="285"/>
      <c r="V1040" s="285"/>
      <c r="W1040" s="285"/>
    </row>
    <row r="1041" spans="1:23" s="26" customFormat="1" ht="37.5" customHeight="1" x14ac:dyDescent="0.2">
      <c r="A1041" s="106" t="s">
        <v>2283</v>
      </c>
      <c r="B1041" s="120" t="s">
        <v>804</v>
      </c>
      <c r="C1041" s="21" t="s">
        <v>1</v>
      </c>
      <c r="D1041" s="50">
        <v>1</v>
      </c>
      <c r="E1041" s="51">
        <f t="shared" si="383"/>
        <v>65.717415115005466</v>
      </c>
      <c r="F1041" s="23">
        <f t="shared" si="384"/>
        <v>1.5216666666666668E-2</v>
      </c>
      <c r="G1041" s="65">
        <f t="shared" si="384"/>
        <v>722.89156626506019</v>
      </c>
      <c r="H1041" s="77">
        <f>L1041/K1041</f>
        <v>0.83000000000000007</v>
      </c>
      <c r="I1041" s="71">
        <f>M1041/L1041</f>
        <v>1.1000000000000001</v>
      </c>
      <c r="J1041" s="23">
        <f t="shared" si="385"/>
        <v>1.5216666666666668E-2</v>
      </c>
      <c r="K1041" s="65">
        <v>722.89156626506019</v>
      </c>
      <c r="L1041" s="21">
        <v>600</v>
      </c>
      <c r="M1041" s="21">
        <v>660</v>
      </c>
      <c r="N1041" s="285"/>
      <c r="O1041" s="285"/>
      <c r="P1041" s="285"/>
      <c r="Q1041" s="285"/>
      <c r="R1041" s="285"/>
      <c r="S1041" s="285"/>
      <c r="T1041" s="285"/>
      <c r="U1041" s="285"/>
      <c r="V1041" s="285"/>
      <c r="W1041" s="285"/>
    </row>
    <row r="1042" spans="1:23" s="26" customFormat="1" ht="37.5" customHeight="1" x14ac:dyDescent="0.2">
      <c r="A1042" s="106" t="s">
        <v>2284</v>
      </c>
      <c r="B1042" s="131" t="s">
        <v>824</v>
      </c>
      <c r="C1042" s="21" t="s">
        <v>807</v>
      </c>
      <c r="D1042" s="50">
        <v>1</v>
      </c>
      <c r="E1042" s="51">
        <f t="shared" si="383"/>
        <v>70.909090909090892</v>
      </c>
      <c r="F1042" s="23">
        <f t="shared" si="384"/>
        <v>1.4102564102564105E-2</v>
      </c>
      <c r="G1042" s="65">
        <f t="shared" si="384"/>
        <v>779.99999999999989</v>
      </c>
      <c r="H1042" s="77">
        <v>0.76923076923076927</v>
      </c>
      <c r="I1042" s="71">
        <f t="shared" ref="I1042:I1051" si="386">M1042/L1042</f>
        <v>1.1000000000000001</v>
      </c>
      <c r="J1042" s="23">
        <f t="shared" si="385"/>
        <v>1.4102564102564105E-2</v>
      </c>
      <c r="K1042" s="65">
        <f t="shared" ref="K1042:K1051" si="387">M1042/(H1042*I1042)</f>
        <v>779.99999999999989</v>
      </c>
      <c r="L1042" s="21">
        <v>600</v>
      </c>
      <c r="M1042" s="21">
        <v>660</v>
      </c>
      <c r="N1042" s="285"/>
      <c r="O1042" s="285"/>
      <c r="P1042" s="285"/>
      <c r="Q1042" s="285"/>
      <c r="R1042" s="285"/>
      <c r="S1042" s="285"/>
      <c r="T1042" s="285"/>
      <c r="U1042" s="285"/>
      <c r="V1042" s="285"/>
      <c r="W1042" s="285"/>
    </row>
    <row r="1043" spans="1:23" s="26" customFormat="1" ht="37.5" customHeight="1" x14ac:dyDescent="0.2">
      <c r="A1043" s="106" t="s">
        <v>2285</v>
      </c>
      <c r="B1043" s="120" t="s">
        <v>808</v>
      </c>
      <c r="C1043" s="21" t="s">
        <v>132</v>
      </c>
      <c r="D1043" s="50">
        <v>1</v>
      </c>
      <c r="E1043" s="51">
        <f t="shared" si="383"/>
        <v>7.1999999999999975</v>
      </c>
      <c r="F1043" s="23">
        <f t="shared" si="384"/>
        <v>0.13888888888888892</v>
      </c>
      <c r="G1043" s="65">
        <f t="shared" si="384"/>
        <v>79.199999999999974</v>
      </c>
      <c r="H1043" s="77">
        <v>7.575757575757577</v>
      </c>
      <c r="I1043" s="71">
        <f t="shared" si="386"/>
        <v>1.1000000000000001</v>
      </c>
      <c r="J1043" s="23">
        <f t="shared" si="385"/>
        <v>0.13888888888888892</v>
      </c>
      <c r="K1043" s="65">
        <f t="shared" si="387"/>
        <v>79.199999999999974</v>
      </c>
      <c r="L1043" s="21">
        <v>600</v>
      </c>
      <c r="M1043" s="21">
        <v>660</v>
      </c>
      <c r="N1043" s="285"/>
      <c r="O1043" s="285"/>
      <c r="P1043" s="285"/>
      <c r="Q1043" s="285"/>
      <c r="R1043" s="285"/>
      <c r="S1043" s="285"/>
      <c r="T1043" s="285"/>
      <c r="U1043" s="285"/>
      <c r="V1043" s="285"/>
      <c r="W1043" s="285"/>
    </row>
    <row r="1044" spans="1:23" s="26" customFormat="1" ht="37.5" customHeight="1" x14ac:dyDescent="0.2">
      <c r="A1044" s="106" t="s">
        <v>2286</v>
      </c>
      <c r="B1044" s="120" t="s">
        <v>1250</v>
      </c>
      <c r="C1044" s="21" t="s">
        <v>132</v>
      </c>
      <c r="D1044" s="50">
        <v>1</v>
      </c>
      <c r="E1044" s="51">
        <f t="shared" si="383"/>
        <v>5.4545454545454541</v>
      </c>
      <c r="F1044" s="23">
        <f t="shared" si="384"/>
        <v>0.18333333333333332</v>
      </c>
      <c r="G1044" s="65">
        <f t="shared" si="384"/>
        <v>60</v>
      </c>
      <c r="H1044" s="77">
        <v>10</v>
      </c>
      <c r="I1044" s="71">
        <f t="shared" si="386"/>
        <v>1.1000000000000001</v>
      </c>
      <c r="J1044" s="23">
        <f t="shared" si="385"/>
        <v>0.18333333333333332</v>
      </c>
      <c r="K1044" s="65">
        <f t="shared" si="387"/>
        <v>60</v>
      </c>
      <c r="L1044" s="21">
        <v>600</v>
      </c>
      <c r="M1044" s="21">
        <v>660</v>
      </c>
      <c r="N1044" s="285"/>
      <c r="O1044" s="285"/>
      <c r="P1044" s="285"/>
      <c r="Q1044" s="285"/>
      <c r="R1044" s="285"/>
      <c r="S1044" s="285"/>
      <c r="T1044" s="285"/>
      <c r="U1044" s="285"/>
      <c r="V1044" s="285"/>
      <c r="W1044" s="285"/>
    </row>
    <row r="1045" spans="1:23" s="26" customFormat="1" ht="37.5" customHeight="1" x14ac:dyDescent="0.2">
      <c r="A1045" s="106" t="s">
        <v>2287</v>
      </c>
      <c r="B1045" s="120" t="s">
        <v>809</v>
      </c>
      <c r="C1045" s="21" t="s">
        <v>132</v>
      </c>
      <c r="D1045" s="50">
        <v>1</v>
      </c>
      <c r="E1045" s="51">
        <f t="shared" si="383"/>
        <v>3.872727272727273</v>
      </c>
      <c r="F1045" s="23">
        <f t="shared" si="384"/>
        <v>0.25821596244131456</v>
      </c>
      <c r="G1045" s="65">
        <f t="shared" si="384"/>
        <v>42.6</v>
      </c>
      <c r="H1045" s="77">
        <v>14.08450704225352</v>
      </c>
      <c r="I1045" s="71">
        <f t="shared" si="386"/>
        <v>1.1000000000000001</v>
      </c>
      <c r="J1045" s="23">
        <f t="shared" si="385"/>
        <v>0.25821596244131456</v>
      </c>
      <c r="K1045" s="65">
        <f t="shared" si="387"/>
        <v>42.6</v>
      </c>
      <c r="L1045" s="21">
        <v>600</v>
      </c>
      <c r="M1045" s="21">
        <v>660</v>
      </c>
      <c r="N1045" s="285"/>
      <c r="O1045" s="285"/>
      <c r="P1045" s="285"/>
      <c r="Q1045" s="285"/>
      <c r="R1045" s="285"/>
      <c r="S1045" s="285"/>
      <c r="T1045" s="285"/>
      <c r="U1045" s="285"/>
      <c r="V1045" s="285"/>
      <c r="W1045" s="285"/>
    </row>
    <row r="1046" spans="1:23" s="26" customFormat="1" ht="37.5" customHeight="1" x14ac:dyDescent="0.2">
      <c r="A1046" s="106" t="s">
        <v>2288</v>
      </c>
      <c r="B1046" s="120" t="s">
        <v>810</v>
      </c>
      <c r="C1046" s="21" t="s">
        <v>132</v>
      </c>
      <c r="D1046" s="50">
        <v>1</v>
      </c>
      <c r="E1046" s="51">
        <f t="shared" si="383"/>
        <v>6.1090909090909085</v>
      </c>
      <c r="F1046" s="23">
        <f t="shared" si="384"/>
        <v>0.16369047619047622</v>
      </c>
      <c r="G1046" s="65">
        <f t="shared" si="384"/>
        <v>67.199999999999989</v>
      </c>
      <c r="H1046" s="77">
        <v>8.9285714285714288</v>
      </c>
      <c r="I1046" s="71">
        <f t="shared" si="386"/>
        <v>1.1000000000000001</v>
      </c>
      <c r="J1046" s="23">
        <f t="shared" si="385"/>
        <v>0.16369047619047622</v>
      </c>
      <c r="K1046" s="65">
        <f t="shared" si="387"/>
        <v>67.199999999999989</v>
      </c>
      <c r="L1046" s="21">
        <v>600</v>
      </c>
      <c r="M1046" s="21">
        <v>660</v>
      </c>
      <c r="N1046" s="285"/>
      <c r="O1046" s="285"/>
      <c r="P1046" s="285"/>
      <c r="Q1046" s="285"/>
      <c r="R1046" s="285"/>
      <c r="S1046" s="285"/>
      <c r="T1046" s="285"/>
      <c r="U1046" s="285"/>
      <c r="V1046" s="285"/>
      <c r="W1046" s="285"/>
    </row>
    <row r="1047" spans="1:23" s="26" customFormat="1" ht="37.5" customHeight="1" x14ac:dyDescent="0.2">
      <c r="A1047" s="106" t="s">
        <v>2289</v>
      </c>
      <c r="B1047" s="120" t="s">
        <v>811</v>
      </c>
      <c r="C1047" s="21" t="s">
        <v>132</v>
      </c>
      <c r="D1047" s="50">
        <v>1</v>
      </c>
      <c r="E1047" s="51">
        <f t="shared" si="383"/>
        <v>5.0399999999999991</v>
      </c>
      <c r="F1047" s="23">
        <f t="shared" si="384"/>
        <v>0.19841269841269846</v>
      </c>
      <c r="G1047" s="65">
        <f t="shared" si="384"/>
        <v>55.439999999999991</v>
      </c>
      <c r="H1047" s="220">
        <v>10.822510822510823</v>
      </c>
      <c r="I1047" s="71">
        <f t="shared" si="386"/>
        <v>1.1000000000000001</v>
      </c>
      <c r="J1047" s="23">
        <f t="shared" si="385"/>
        <v>0.19841269841269846</v>
      </c>
      <c r="K1047" s="65">
        <f t="shared" si="387"/>
        <v>55.439999999999991</v>
      </c>
      <c r="L1047" s="21">
        <v>600</v>
      </c>
      <c r="M1047" s="21">
        <v>660</v>
      </c>
      <c r="N1047" s="285"/>
      <c r="O1047" s="285"/>
      <c r="P1047" s="285"/>
      <c r="Q1047" s="285"/>
      <c r="R1047" s="285"/>
      <c r="S1047" s="285"/>
      <c r="T1047" s="285"/>
      <c r="U1047" s="285"/>
      <c r="V1047" s="285"/>
      <c r="W1047" s="285"/>
    </row>
    <row r="1048" spans="1:23" s="26" customFormat="1" ht="37.5" customHeight="1" x14ac:dyDescent="0.2">
      <c r="A1048" s="106" t="s">
        <v>2290</v>
      </c>
      <c r="B1048" s="120" t="s">
        <v>812</v>
      </c>
      <c r="C1048" s="21" t="s">
        <v>132</v>
      </c>
      <c r="D1048" s="50">
        <v>1</v>
      </c>
      <c r="E1048" s="51">
        <f t="shared" si="383"/>
        <v>3.272727272727272</v>
      </c>
      <c r="F1048" s="23">
        <f t="shared" si="384"/>
        <v>0.30555555555555564</v>
      </c>
      <c r="G1048" s="65">
        <f t="shared" si="384"/>
        <v>35.999999999999993</v>
      </c>
      <c r="H1048" s="77">
        <v>16.666666666666668</v>
      </c>
      <c r="I1048" s="71">
        <f t="shared" si="386"/>
        <v>1.1000000000000001</v>
      </c>
      <c r="J1048" s="23">
        <f t="shared" si="385"/>
        <v>0.30555555555555564</v>
      </c>
      <c r="K1048" s="65">
        <f t="shared" si="387"/>
        <v>35.999999999999993</v>
      </c>
      <c r="L1048" s="21">
        <v>600</v>
      </c>
      <c r="M1048" s="21">
        <v>660</v>
      </c>
      <c r="N1048" s="285">
        <v>10.822510822510823</v>
      </c>
      <c r="O1048" s="285"/>
      <c r="P1048" s="285"/>
      <c r="Q1048" s="285"/>
      <c r="R1048" s="285"/>
      <c r="S1048" s="285"/>
      <c r="T1048" s="285"/>
      <c r="U1048" s="285"/>
      <c r="V1048" s="285"/>
      <c r="W1048" s="285"/>
    </row>
    <row r="1049" spans="1:23" s="26" customFormat="1" ht="37.5" customHeight="1" x14ac:dyDescent="0.2">
      <c r="A1049" s="106" t="s">
        <v>2291</v>
      </c>
      <c r="B1049" s="120" t="s">
        <v>813</v>
      </c>
      <c r="C1049" s="21" t="s">
        <v>132</v>
      </c>
      <c r="D1049" s="50">
        <v>1</v>
      </c>
      <c r="E1049" s="51">
        <f t="shared" si="383"/>
        <v>49.090909090909093</v>
      </c>
      <c r="F1049" s="23">
        <f t="shared" si="384"/>
        <v>2.0370370370370372E-2</v>
      </c>
      <c r="G1049" s="65">
        <f t="shared" si="384"/>
        <v>540</v>
      </c>
      <c r="H1049" s="77">
        <v>1.1111111111111112</v>
      </c>
      <c r="I1049" s="71">
        <f t="shared" si="386"/>
        <v>1.1000000000000001</v>
      </c>
      <c r="J1049" s="23">
        <f t="shared" si="385"/>
        <v>2.0370370370370372E-2</v>
      </c>
      <c r="K1049" s="65">
        <f t="shared" si="387"/>
        <v>540</v>
      </c>
      <c r="L1049" s="21">
        <v>600</v>
      </c>
      <c r="M1049" s="21">
        <v>660</v>
      </c>
      <c r="N1049" s="285"/>
      <c r="O1049" s="285"/>
      <c r="P1049" s="285"/>
      <c r="Q1049" s="285"/>
      <c r="R1049" s="285"/>
      <c r="S1049" s="285"/>
      <c r="T1049" s="285"/>
      <c r="U1049" s="285"/>
      <c r="V1049" s="285"/>
      <c r="W1049" s="285"/>
    </row>
    <row r="1050" spans="1:23" s="26" customFormat="1" ht="37.5" customHeight="1" x14ac:dyDescent="0.2">
      <c r="A1050" s="106" t="s">
        <v>2292</v>
      </c>
      <c r="B1050" s="120" t="s">
        <v>814</v>
      </c>
      <c r="C1050" s="21" t="s">
        <v>132</v>
      </c>
      <c r="D1050" s="50">
        <v>1</v>
      </c>
      <c r="E1050" s="51">
        <f t="shared" si="383"/>
        <v>22.90909090909091</v>
      </c>
      <c r="F1050" s="23">
        <f t="shared" si="384"/>
        <v>4.3650793650793648E-2</v>
      </c>
      <c r="G1050" s="65">
        <f t="shared" si="384"/>
        <v>252</v>
      </c>
      <c r="H1050" s="220">
        <v>2.3809523809523809</v>
      </c>
      <c r="I1050" s="71">
        <f t="shared" si="386"/>
        <v>1.1000000000000001</v>
      </c>
      <c r="J1050" s="23">
        <f t="shared" si="385"/>
        <v>4.3650793650793648E-2</v>
      </c>
      <c r="K1050" s="65">
        <f t="shared" si="387"/>
        <v>252</v>
      </c>
      <c r="L1050" s="21">
        <v>600</v>
      </c>
      <c r="M1050" s="21">
        <v>660</v>
      </c>
      <c r="N1050" s="285"/>
      <c r="O1050" s="285"/>
      <c r="P1050" s="285"/>
      <c r="Q1050" s="285"/>
      <c r="R1050" s="285"/>
      <c r="S1050" s="285"/>
      <c r="T1050" s="285"/>
      <c r="U1050" s="285"/>
      <c r="V1050" s="285"/>
      <c r="W1050" s="285"/>
    </row>
    <row r="1051" spans="1:23" s="26" customFormat="1" ht="37.5" customHeight="1" x14ac:dyDescent="0.2">
      <c r="A1051" s="106" t="s">
        <v>2293</v>
      </c>
      <c r="B1051" s="120" t="s">
        <v>815</v>
      </c>
      <c r="C1051" s="21" t="s">
        <v>132</v>
      </c>
      <c r="D1051" s="50">
        <v>1</v>
      </c>
      <c r="E1051" s="51">
        <f t="shared" si="383"/>
        <v>9.8181818181818148</v>
      </c>
      <c r="F1051" s="23">
        <f t="shared" si="384"/>
        <v>0.10185185185185187</v>
      </c>
      <c r="G1051" s="65">
        <f t="shared" si="384"/>
        <v>107.99999999999997</v>
      </c>
      <c r="H1051" s="77">
        <v>5.5555555555555562</v>
      </c>
      <c r="I1051" s="71">
        <f t="shared" si="386"/>
        <v>1.1000000000000001</v>
      </c>
      <c r="J1051" s="23">
        <f t="shared" si="385"/>
        <v>0.10185185185185187</v>
      </c>
      <c r="K1051" s="65">
        <f t="shared" si="387"/>
        <v>107.99999999999997</v>
      </c>
      <c r="L1051" s="21">
        <v>600</v>
      </c>
      <c r="M1051" s="21">
        <v>660</v>
      </c>
      <c r="N1051" s="285">
        <v>2.3809523809523809</v>
      </c>
      <c r="O1051" s="285"/>
      <c r="P1051" s="285"/>
      <c r="Q1051" s="285"/>
      <c r="R1051" s="285"/>
      <c r="S1051" s="285"/>
      <c r="T1051" s="285"/>
      <c r="U1051" s="285"/>
      <c r="V1051" s="285"/>
      <c r="W1051" s="285"/>
    </row>
    <row r="1052" spans="1:23" s="26" customFormat="1" ht="30" customHeight="1" x14ac:dyDescent="0.2">
      <c r="A1052" s="106"/>
      <c r="B1052" s="182" t="s">
        <v>617</v>
      </c>
      <c r="C1052" s="55"/>
      <c r="D1052" s="300">
        <v>1</v>
      </c>
      <c r="E1052" s="55"/>
      <c r="F1052" s="55"/>
      <c r="G1052" s="55"/>
      <c r="H1052" s="238"/>
      <c r="I1052" s="23"/>
      <c r="J1052" s="23"/>
      <c r="K1052" s="23"/>
      <c r="L1052" s="23"/>
      <c r="M1052" s="23"/>
      <c r="N1052" s="285"/>
      <c r="O1052" s="285"/>
      <c r="P1052" s="285"/>
      <c r="Q1052" s="285"/>
      <c r="R1052" s="285"/>
      <c r="S1052" s="285"/>
      <c r="T1052" s="285"/>
      <c r="U1052" s="285"/>
      <c r="V1052" s="285"/>
      <c r="W1052" s="285"/>
    </row>
    <row r="1053" spans="1:23" s="26" customFormat="1" ht="35.25" customHeight="1" x14ac:dyDescent="0.2">
      <c r="A1053" s="106"/>
      <c r="B1053" s="183" t="s">
        <v>646</v>
      </c>
      <c r="C1053" s="67"/>
      <c r="D1053" s="300">
        <v>1</v>
      </c>
      <c r="E1053" s="67"/>
      <c r="F1053" s="67"/>
      <c r="G1053" s="67"/>
      <c r="H1053" s="237"/>
      <c r="I1053" s="23"/>
      <c r="J1053" s="103"/>
      <c r="K1053" s="23"/>
      <c r="L1053" s="103"/>
      <c r="M1053" s="23"/>
      <c r="N1053" s="285"/>
      <c r="O1053" s="285"/>
      <c r="P1053" s="285"/>
      <c r="Q1053" s="285"/>
      <c r="R1053" s="285"/>
      <c r="S1053" s="285"/>
      <c r="T1053" s="285"/>
      <c r="U1053" s="285"/>
      <c r="V1053" s="285"/>
      <c r="W1053" s="285"/>
    </row>
    <row r="1054" spans="1:23" s="26" customFormat="1" ht="30" customHeight="1" x14ac:dyDescent="0.2">
      <c r="A1054" s="106" t="s">
        <v>2294</v>
      </c>
      <c r="B1054" s="111" t="s">
        <v>776</v>
      </c>
      <c r="C1054" s="49" t="s">
        <v>1</v>
      </c>
      <c r="D1054" s="300">
        <v>1</v>
      </c>
      <c r="E1054" s="51">
        <f t="shared" ref="E1054:E1067" si="388">G1054/11</f>
        <v>301.5272727272727</v>
      </c>
      <c r="F1054" s="23">
        <f t="shared" ref="F1054:G1067" si="389">J1054</f>
        <v>3.3164495899662329E-3</v>
      </c>
      <c r="G1054" s="65">
        <f t="shared" si="389"/>
        <v>3316.7999999999997</v>
      </c>
      <c r="H1054" s="77">
        <v>0.18089725036179449</v>
      </c>
      <c r="I1054" s="71">
        <f t="shared" ref="I1054:I1067" si="390">M1054/L1054</f>
        <v>1.1000000000000001</v>
      </c>
      <c r="J1054" s="23">
        <f t="shared" ref="J1054:J1067" si="391">11/K1054</f>
        <v>3.3164495899662329E-3</v>
      </c>
      <c r="K1054" s="65">
        <f t="shared" ref="K1054:K1067" si="392">M1054/(H1054*I1054)</f>
        <v>3316.7999999999997</v>
      </c>
      <c r="L1054" s="21">
        <v>600</v>
      </c>
      <c r="M1054" s="21">
        <v>660</v>
      </c>
      <c r="N1054" s="285"/>
      <c r="O1054" s="285"/>
      <c r="P1054" s="285"/>
      <c r="Q1054" s="285"/>
      <c r="R1054" s="285"/>
      <c r="S1054" s="285"/>
      <c r="T1054" s="285"/>
      <c r="U1054" s="285"/>
      <c r="V1054" s="285"/>
      <c r="W1054" s="285"/>
    </row>
    <row r="1055" spans="1:23" s="26" customFormat="1" ht="30" customHeight="1" x14ac:dyDescent="0.2">
      <c r="A1055" s="106" t="s">
        <v>2295</v>
      </c>
      <c r="B1055" s="111" t="s">
        <v>777</v>
      </c>
      <c r="C1055" s="49" t="s">
        <v>1</v>
      </c>
      <c r="D1055" s="300">
        <v>1</v>
      </c>
      <c r="E1055" s="51">
        <f t="shared" si="388"/>
        <v>492</v>
      </c>
      <c r="F1055" s="23">
        <f t="shared" si="389"/>
        <v>2.0325203252032522E-3</v>
      </c>
      <c r="G1055" s="65">
        <f t="shared" si="389"/>
        <v>5412</v>
      </c>
      <c r="H1055" s="77">
        <v>0.11086474501108647</v>
      </c>
      <c r="I1055" s="71">
        <f t="shared" si="390"/>
        <v>1.1000000000000001</v>
      </c>
      <c r="J1055" s="23">
        <f t="shared" si="391"/>
        <v>2.0325203252032522E-3</v>
      </c>
      <c r="K1055" s="65">
        <f t="shared" si="392"/>
        <v>5412</v>
      </c>
      <c r="L1055" s="21">
        <v>600</v>
      </c>
      <c r="M1055" s="21">
        <v>660</v>
      </c>
      <c r="N1055" s="285"/>
      <c r="O1055" s="285"/>
      <c r="P1055" s="285"/>
      <c r="Q1055" s="285"/>
      <c r="R1055" s="285"/>
      <c r="S1055" s="285"/>
      <c r="T1055" s="285"/>
      <c r="U1055" s="285"/>
      <c r="V1055" s="285"/>
      <c r="W1055" s="285"/>
    </row>
    <row r="1056" spans="1:23" s="26" customFormat="1" ht="30" customHeight="1" x14ac:dyDescent="0.2">
      <c r="A1056" s="106" t="s">
        <v>2296</v>
      </c>
      <c r="B1056" s="111" t="s">
        <v>778</v>
      </c>
      <c r="C1056" s="49" t="s">
        <v>1</v>
      </c>
      <c r="D1056" s="300">
        <v>1</v>
      </c>
      <c r="E1056" s="51">
        <f t="shared" si="388"/>
        <v>324</v>
      </c>
      <c r="F1056" s="23">
        <f t="shared" si="389"/>
        <v>3.0864197530864196E-3</v>
      </c>
      <c r="G1056" s="65">
        <f t="shared" si="389"/>
        <v>3564</v>
      </c>
      <c r="H1056" s="77">
        <v>0.16835016835016833</v>
      </c>
      <c r="I1056" s="71">
        <f t="shared" si="390"/>
        <v>1.1000000000000001</v>
      </c>
      <c r="J1056" s="23">
        <f t="shared" si="391"/>
        <v>3.0864197530864196E-3</v>
      </c>
      <c r="K1056" s="65">
        <f t="shared" si="392"/>
        <v>3564</v>
      </c>
      <c r="L1056" s="21">
        <v>600</v>
      </c>
      <c r="M1056" s="21">
        <v>660</v>
      </c>
      <c r="N1056" s="285"/>
      <c r="O1056" s="285"/>
      <c r="P1056" s="285"/>
      <c r="Q1056" s="285"/>
      <c r="R1056" s="285"/>
      <c r="S1056" s="285"/>
      <c r="T1056" s="285"/>
      <c r="U1056" s="285"/>
      <c r="V1056" s="285"/>
      <c r="W1056" s="285"/>
    </row>
    <row r="1057" spans="1:23" s="26" customFormat="1" ht="30" customHeight="1" x14ac:dyDescent="0.2">
      <c r="A1057" s="106" t="s">
        <v>2297</v>
      </c>
      <c r="B1057" s="110" t="s">
        <v>770</v>
      </c>
      <c r="C1057" s="49" t="s">
        <v>780</v>
      </c>
      <c r="D1057" s="300">
        <v>1</v>
      </c>
      <c r="E1057" s="51">
        <f t="shared" si="388"/>
        <v>148.76033057851237</v>
      </c>
      <c r="F1057" s="23">
        <f t="shared" si="389"/>
        <v>6.7222222222222232E-3</v>
      </c>
      <c r="G1057" s="65">
        <f t="shared" si="389"/>
        <v>1636.363636363636</v>
      </c>
      <c r="H1057" s="79">
        <v>0.36666666666666675</v>
      </c>
      <c r="I1057" s="71">
        <f t="shared" si="390"/>
        <v>1.1000000000000001</v>
      </c>
      <c r="J1057" s="23">
        <f t="shared" si="391"/>
        <v>6.7222222222222232E-3</v>
      </c>
      <c r="K1057" s="65">
        <f t="shared" si="392"/>
        <v>1636.363636363636</v>
      </c>
      <c r="L1057" s="21">
        <v>600</v>
      </c>
      <c r="M1057" s="21">
        <v>660</v>
      </c>
      <c r="N1057" s="285"/>
      <c r="O1057" s="285"/>
      <c r="P1057" s="285"/>
      <c r="Q1057" s="285"/>
      <c r="R1057" s="285"/>
      <c r="S1057" s="285"/>
      <c r="T1057" s="285"/>
      <c r="U1057" s="285"/>
      <c r="V1057" s="285"/>
      <c r="W1057" s="285"/>
    </row>
    <row r="1058" spans="1:23" s="26" customFormat="1" ht="42" customHeight="1" x14ac:dyDescent="0.2">
      <c r="A1058" s="106" t="s">
        <v>2298</v>
      </c>
      <c r="B1058" s="110" t="s">
        <v>772</v>
      </c>
      <c r="C1058" s="49" t="s">
        <v>780</v>
      </c>
      <c r="D1058" s="300">
        <v>1</v>
      </c>
      <c r="E1058" s="51">
        <f t="shared" si="388"/>
        <v>119.00826446280989</v>
      </c>
      <c r="F1058" s="23">
        <f t="shared" si="389"/>
        <v>8.4027777777777798E-3</v>
      </c>
      <c r="G1058" s="65">
        <f t="shared" si="389"/>
        <v>1309.0909090909088</v>
      </c>
      <c r="H1058" s="79">
        <v>0.45833333333333337</v>
      </c>
      <c r="I1058" s="71">
        <f t="shared" si="390"/>
        <v>1.1000000000000001</v>
      </c>
      <c r="J1058" s="23">
        <f t="shared" si="391"/>
        <v>8.4027777777777798E-3</v>
      </c>
      <c r="K1058" s="65">
        <f t="shared" si="392"/>
        <v>1309.0909090909088</v>
      </c>
      <c r="L1058" s="21">
        <v>600</v>
      </c>
      <c r="M1058" s="21">
        <v>660</v>
      </c>
      <c r="N1058" s="285"/>
      <c r="O1058" s="285"/>
      <c r="P1058" s="285"/>
      <c r="Q1058" s="285"/>
      <c r="R1058" s="285"/>
      <c r="S1058" s="285"/>
      <c r="T1058" s="285"/>
      <c r="U1058" s="285"/>
      <c r="V1058" s="285"/>
      <c r="W1058" s="285"/>
    </row>
    <row r="1059" spans="1:23" s="26" customFormat="1" ht="30" customHeight="1" x14ac:dyDescent="0.2">
      <c r="A1059" s="106" t="s">
        <v>2299</v>
      </c>
      <c r="B1059" s="110" t="s">
        <v>771</v>
      </c>
      <c r="C1059" s="49" t="s">
        <v>780</v>
      </c>
      <c r="D1059" s="300">
        <v>1</v>
      </c>
      <c r="E1059" s="51">
        <f t="shared" si="388"/>
        <v>99.173553719008254</v>
      </c>
      <c r="F1059" s="23">
        <f t="shared" si="389"/>
        <v>1.0083333333333335E-2</v>
      </c>
      <c r="G1059" s="65">
        <f t="shared" si="389"/>
        <v>1090.9090909090908</v>
      </c>
      <c r="H1059" s="79">
        <v>0.55000000000000004</v>
      </c>
      <c r="I1059" s="71">
        <f t="shared" si="390"/>
        <v>1.1000000000000001</v>
      </c>
      <c r="J1059" s="23">
        <f t="shared" si="391"/>
        <v>1.0083333333333335E-2</v>
      </c>
      <c r="K1059" s="65">
        <f t="shared" si="392"/>
        <v>1090.9090909090908</v>
      </c>
      <c r="L1059" s="21">
        <v>600</v>
      </c>
      <c r="M1059" s="21">
        <v>660</v>
      </c>
      <c r="N1059" s="285"/>
      <c r="O1059" s="285"/>
      <c r="P1059" s="285"/>
      <c r="Q1059" s="285"/>
      <c r="R1059" s="285"/>
      <c r="S1059" s="285"/>
      <c r="T1059" s="285"/>
      <c r="U1059" s="285"/>
      <c r="V1059" s="285"/>
      <c r="W1059" s="285"/>
    </row>
    <row r="1060" spans="1:23" s="26" customFormat="1" ht="30" customHeight="1" x14ac:dyDescent="0.3">
      <c r="A1060" s="106" t="s">
        <v>2300</v>
      </c>
      <c r="B1060" s="110" t="s">
        <v>773</v>
      </c>
      <c r="C1060" s="49" t="s">
        <v>780</v>
      </c>
      <c r="D1060" s="300">
        <v>1</v>
      </c>
      <c r="E1060" s="51">
        <f t="shared" si="388"/>
        <v>88.512396694214871</v>
      </c>
      <c r="F1060" s="23">
        <f t="shared" si="389"/>
        <v>1.1297852474323062E-2</v>
      </c>
      <c r="G1060" s="65">
        <f t="shared" si="389"/>
        <v>973.63636363636363</v>
      </c>
      <c r="H1060" s="268">
        <v>0.61624649859943981</v>
      </c>
      <c r="I1060" s="71">
        <f t="shared" si="390"/>
        <v>1.1000000000000001</v>
      </c>
      <c r="J1060" s="23">
        <f t="shared" si="391"/>
        <v>1.1297852474323062E-2</v>
      </c>
      <c r="K1060" s="65">
        <f t="shared" si="392"/>
        <v>973.63636363636363</v>
      </c>
      <c r="L1060" s="21">
        <v>600</v>
      </c>
      <c r="M1060" s="21">
        <v>660</v>
      </c>
      <c r="N1060" s="285"/>
      <c r="O1060" s="285"/>
      <c r="P1060" s="285"/>
      <c r="Q1060" s="285"/>
      <c r="R1060" s="285"/>
      <c r="S1060" s="285"/>
      <c r="T1060" s="285"/>
      <c r="U1060" s="285"/>
      <c r="V1060" s="285"/>
      <c r="W1060" s="285"/>
    </row>
    <row r="1061" spans="1:23" s="26" customFormat="1" ht="30" customHeight="1" x14ac:dyDescent="0.2">
      <c r="A1061" s="106" t="s">
        <v>2301</v>
      </c>
      <c r="B1061" s="110" t="s">
        <v>781</v>
      </c>
      <c r="C1061" s="49" t="s">
        <v>774</v>
      </c>
      <c r="D1061" s="300">
        <v>1</v>
      </c>
      <c r="E1061" s="51">
        <f t="shared" si="388"/>
        <v>128.92561983471072</v>
      </c>
      <c r="F1061" s="23">
        <f t="shared" si="389"/>
        <v>7.7564102564102577E-3</v>
      </c>
      <c r="G1061" s="65">
        <f t="shared" si="389"/>
        <v>1418.181818181818</v>
      </c>
      <c r="H1061" s="79">
        <v>0.42307692307692313</v>
      </c>
      <c r="I1061" s="71">
        <f t="shared" si="390"/>
        <v>1.1000000000000001</v>
      </c>
      <c r="J1061" s="23">
        <f t="shared" si="391"/>
        <v>7.7564102564102577E-3</v>
      </c>
      <c r="K1061" s="65">
        <f t="shared" si="392"/>
        <v>1418.181818181818</v>
      </c>
      <c r="L1061" s="21">
        <v>600</v>
      </c>
      <c r="M1061" s="21">
        <v>660</v>
      </c>
      <c r="N1061" s="285"/>
      <c r="O1061" s="285"/>
      <c r="P1061" s="285"/>
      <c r="Q1061" s="285"/>
      <c r="R1061" s="285"/>
      <c r="S1061" s="285"/>
      <c r="T1061" s="285"/>
      <c r="U1061" s="285"/>
      <c r="V1061" s="285"/>
      <c r="W1061" s="285"/>
    </row>
    <row r="1062" spans="1:23" s="26" customFormat="1" ht="37.5" customHeight="1" x14ac:dyDescent="0.2">
      <c r="A1062" s="106" t="s">
        <v>2302</v>
      </c>
      <c r="B1062" s="110" t="s">
        <v>784</v>
      </c>
      <c r="C1062" s="49" t="s">
        <v>774</v>
      </c>
      <c r="D1062" s="300">
        <v>1</v>
      </c>
      <c r="E1062" s="51">
        <f t="shared" si="388"/>
        <v>99.173553719008254</v>
      </c>
      <c r="F1062" s="23">
        <f t="shared" si="389"/>
        <v>1.0083333333333335E-2</v>
      </c>
      <c r="G1062" s="65">
        <f t="shared" si="389"/>
        <v>1090.9090909090908</v>
      </c>
      <c r="H1062" s="79">
        <v>0.55000000000000004</v>
      </c>
      <c r="I1062" s="71">
        <f t="shared" si="390"/>
        <v>1.1000000000000001</v>
      </c>
      <c r="J1062" s="23">
        <f t="shared" si="391"/>
        <v>1.0083333333333335E-2</v>
      </c>
      <c r="K1062" s="65">
        <f t="shared" si="392"/>
        <v>1090.9090909090908</v>
      </c>
      <c r="L1062" s="21">
        <v>600</v>
      </c>
      <c r="M1062" s="21">
        <v>660</v>
      </c>
      <c r="N1062" s="285"/>
      <c r="O1062" s="285"/>
      <c r="P1062" s="285"/>
      <c r="Q1062" s="285"/>
      <c r="R1062" s="285"/>
      <c r="S1062" s="285"/>
      <c r="T1062" s="285"/>
      <c r="U1062" s="285"/>
      <c r="V1062" s="285"/>
      <c r="W1062" s="285"/>
    </row>
    <row r="1063" spans="1:23" s="26" customFormat="1" ht="30" customHeight="1" x14ac:dyDescent="0.2">
      <c r="A1063" s="106" t="s">
        <v>2303</v>
      </c>
      <c r="B1063" s="110" t="s">
        <v>783</v>
      </c>
      <c r="C1063" s="49" t="s">
        <v>774</v>
      </c>
      <c r="D1063" s="300">
        <v>1</v>
      </c>
      <c r="E1063" s="51">
        <f t="shared" si="388"/>
        <v>89.256198347107429</v>
      </c>
      <c r="F1063" s="23">
        <f t="shared" si="389"/>
        <v>1.1203703703703704E-2</v>
      </c>
      <c r="G1063" s="65">
        <f t="shared" si="389"/>
        <v>981.81818181818176</v>
      </c>
      <c r="H1063" s="79">
        <v>0.61111111111111116</v>
      </c>
      <c r="I1063" s="71">
        <f t="shared" si="390"/>
        <v>1.1000000000000001</v>
      </c>
      <c r="J1063" s="23">
        <f t="shared" si="391"/>
        <v>1.1203703703703704E-2</v>
      </c>
      <c r="K1063" s="65">
        <f t="shared" si="392"/>
        <v>981.81818181818176</v>
      </c>
      <c r="L1063" s="21">
        <v>600</v>
      </c>
      <c r="M1063" s="21">
        <v>660</v>
      </c>
      <c r="N1063" s="285"/>
      <c r="O1063" s="285"/>
      <c r="P1063" s="285"/>
      <c r="Q1063" s="285"/>
      <c r="R1063" s="285"/>
      <c r="S1063" s="285"/>
      <c r="T1063" s="285"/>
      <c r="U1063" s="285"/>
      <c r="V1063" s="285"/>
      <c r="W1063" s="285"/>
    </row>
    <row r="1064" spans="1:23" s="26" customFormat="1" ht="30" customHeight="1" x14ac:dyDescent="0.2">
      <c r="A1064" s="106" t="s">
        <v>2304</v>
      </c>
      <c r="B1064" s="110" t="s">
        <v>782</v>
      </c>
      <c r="C1064" s="49" t="s">
        <v>774</v>
      </c>
      <c r="D1064" s="300">
        <v>1</v>
      </c>
      <c r="E1064" s="51">
        <f t="shared" si="388"/>
        <v>79.338842975206603</v>
      </c>
      <c r="F1064" s="23">
        <f t="shared" si="389"/>
        <v>1.2604166666666668E-2</v>
      </c>
      <c r="G1064" s="65">
        <f t="shared" si="389"/>
        <v>872.72727272727263</v>
      </c>
      <c r="H1064" s="79">
        <v>0.6875</v>
      </c>
      <c r="I1064" s="71">
        <f t="shared" si="390"/>
        <v>1.1000000000000001</v>
      </c>
      <c r="J1064" s="23">
        <f t="shared" si="391"/>
        <v>1.2604166666666668E-2</v>
      </c>
      <c r="K1064" s="65">
        <f t="shared" si="392"/>
        <v>872.72727272727263</v>
      </c>
      <c r="L1064" s="21">
        <v>600</v>
      </c>
      <c r="M1064" s="21">
        <v>660</v>
      </c>
      <c r="N1064" s="285"/>
      <c r="O1064" s="285"/>
      <c r="P1064" s="285"/>
      <c r="Q1064" s="285"/>
      <c r="R1064" s="285"/>
      <c r="S1064" s="285"/>
      <c r="T1064" s="285"/>
      <c r="U1064" s="285"/>
      <c r="V1064" s="285"/>
      <c r="W1064" s="285"/>
    </row>
    <row r="1065" spans="1:23" s="26" customFormat="1" ht="39.75" customHeight="1" x14ac:dyDescent="0.2">
      <c r="A1065" s="106" t="s">
        <v>2305</v>
      </c>
      <c r="B1065" s="110" t="s">
        <v>803</v>
      </c>
      <c r="C1065" s="49" t="s">
        <v>774</v>
      </c>
      <c r="D1065" s="300">
        <v>1</v>
      </c>
      <c r="E1065" s="51">
        <f t="shared" si="388"/>
        <v>163.6363636363636</v>
      </c>
      <c r="F1065" s="23">
        <f t="shared" si="389"/>
        <v>6.1111111111111123E-3</v>
      </c>
      <c r="G1065" s="65">
        <f t="shared" si="389"/>
        <v>1799.9999999999995</v>
      </c>
      <c r="H1065" s="79">
        <v>0.33333333333333337</v>
      </c>
      <c r="I1065" s="71">
        <f t="shared" si="390"/>
        <v>1.1000000000000001</v>
      </c>
      <c r="J1065" s="23">
        <f t="shared" si="391"/>
        <v>6.1111111111111123E-3</v>
      </c>
      <c r="K1065" s="65">
        <f t="shared" si="392"/>
        <v>1799.9999999999995</v>
      </c>
      <c r="L1065" s="21">
        <v>600</v>
      </c>
      <c r="M1065" s="21">
        <v>660</v>
      </c>
      <c r="N1065" s="285"/>
      <c r="O1065" s="285"/>
      <c r="P1065" s="285"/>
      <c r="Q1065" s="285"/>
      <c r="R1065" s="285"/>
      <c r="S1065" s="285"/>
      <c r="T1065" s="285"/>
      <c r="U1065" s="285"/>
      <c r="V1065" s="285"/>
      <c r="W1065" s="285"/>
    </row>
    <row r="1066" spans="1:23" s="26" customFormat="1" ht="45" customHeight="1" x14ac:dyDescent="0.2">
      <c r="A1066" s="106" t="s">
        <v>2306</v>
      </c>
      <c r="B1066" s="115" t="s">
        <v>779</v>
      </c>
      <c r="C1066" s="49" t="s">
        <v>678</v>
      </c>
      <c r="D1066" s="300">
        <v>1</v>
      </c>
      <c r="E1066" s="51">
        <f t="shared" si="388"/>
        <v>730.90909090909088</v>
      </c>
      <c r="F1066" s="23">
        <f t="shared" si="389"/>
        <v>1.3681592039800996E-3</v>
      </c>
      <c r="G1066" s="65">
        <f t="shared" si="389"/>
        <v>8040</v>
      </c>
      <c r="H1066" s="77">
        <v>7.4626865671641784E-2</v>
      </c>
      <c r="I1066" s="71">
        <f t="shared" si="390"/>
        <v>1.1000000000000001</v>
      </c>
      <c r="J1066" s="23">
        <f t="shared" si="391"/>
        <v>1.3681592039800996E-3</v>
      </c>
      <c r="K1066" s="65">
        <f t="shared" si="392"/>
        <v>8040</v>
      </c>
      <c r="L1066" s="21">
        <v>600</v>
      </c>
      <c r="M1066" s="21">
        <v>660</v>
      </c>
      <c r="N1066" s="285"/>
      <c r="O1066" s="285"/>
      <c r="P1066" s="285"/>
      <c r="Q1066" s="285"/>
      <c r="R1066" s="285"/>
      <c r="S1066" s="285"/>
      <c r="T1066" s="285"/>
      <c r="U1066" s="285"/>
      <c r="V1066" s="285"/>
      <c r="W1066" s="285"/>
    </row>
    <row r="1067" spans="1:23" s="26" customFormat="1" ht="30" customHeight="1" x14ac:dyDescent="0.2">
      <c r="A1067" s="106" t="s">
        <v>2307</v>
      </c>
      <c r="B1067" s="115" t="s">
        <v>795</v>
      </c>
      <c r="C1067" s="49" t="s">
        <v>794</v>
      </c>
      <c r="D1067" s="300">
        <v>1</v>
      </c>
      <c r="E1067" s="51">
        <f t="shared" si="388"/>
        <v>5.4545454545454541</v>
      </c>
      <c r="F1067" s="23">
        <f t="shared" si="389"/>
        <v>0.18333333333333332</v>
      </c>
      <c r="G1067" s="65">
        <f t="shared" si="389"/>
        <v>60</v>
      </c>
      <c r="H1067" s="77">
        <v>10</v>
      </c>
      <c r="I1067" s="71">
        <f t="shared" si="390"/>
        <v>1.1000000000000001</v>
      </c>
      <c r="J1067" s="23">
        <f t="shared" si="391"/>
        <v>0.18333333333333332</v>
      </c>
      <c r="K1067" s="65">
        <f t="shared" si="392"/>
        <v>60</v>
      </c>
      <c r="L1067" s="21">
        <v>600</v>
      </c>
      <c r="M1067" s="21">
        <v>660</v>
      </c>
      <c r="N1067" s="285"/>
      <c r="O1067" s="285"/>
      <c r="P1067" s="285"/>
      <c r="Q1067" s="285"/>
      <c r="R1067" s="285"/>
      <c r="S1067" s="285"/>
      <c r="T1067" s="285"/>
      <c r="U1067" s="285"/>
      <c r="V1067" s="285"/>
      <c r="W1067" s="285"/>
    </row>
    <row r="1068" spans="1:23" s="26" customFormat="1" ht="30" customHeight="1" x14ac:dyDescent="0.2">
      <c r="A1068" s="106"/>
      <c r="B1068" s="181" t="s">
        <v>775</v>
      </c>
      <c r="C1068" s="38"/>
      <c r="D1068" s="300">
        <v>1</v>
      </c>
      <c r="E1068" s="38"/>
      <c r="F1068" s="38"/>
      <c r="G1068" s="38"/>
      <c r="H1068" s="224"/>
      <c r="I1068" s="63"/>
      <c r="J1068" s="63"/>
      <c r="K1068" s="63"/>
      <c r="L1068" s="63"/>
      <c r="M1068" s="63"/>
      <c r="N1068" s="285"/>
      <c r="O1068" s="285"/>
      <c r="P1068" s="285"/>
      <c r="Q1068" s="285"/>
      <c r="R1068" s="285"/>
      <c r="S1068" s="285"/>
      <c r="T1068" s="285"/>
      <c r="U1068" s="285"/>
      <c r="V1068" s="285"/>
      <c r="W1068" s="285"/>
    </row>
    <row r="1069" spans="1:23" s="26" customFormat="1" ht="30" customHeight="1" x14ac:dyDescent="0.2">
      <c r="A1069" s="106" t="s">
        <v>2308</v>
      </c>
      <c r="B1069" s="131" t="s">
        <v>796</v>
      </c>
      <c r="C1069" s="49" t="s">
        <v>1</v>
      </c>
      <c r="D1069" s="300">
        <v>1</v>
      </c>
      <c r="E1069" s="51">
        <f t="shared" ref="E1069:E1077" si="393">G1069/11</f>
        <v>15.454287883080708</v>
      </c>
      <c r="F1069" s="23">
        <f t="shared" ref="F1069:G1077" si="394">J1069</f>
        <v>6.4706960784313844E-2</v>
      </c>
      <c r="G1069" s="65">
        <f t="shared" si="394"/>
        <v>169.99716671388779</v>
      </c>
      <c r="H1069" s="79">
        <v>3.5294705882352999</v>
      </c>
      <c r="I1069" s="71">
        <f t="shared" ref="I1069:I1077" si="395">M1069/L1069</f>
        <v>1.1000000000000001</v>
      </c>
      <c r="J1069" s="23">
        <f t="shared" ref="J1069:J1077" si="396">11/K1069</f>
        <v>6.4706960784313844E-2</v>
      </c>
      <c r="K1069" s="65">
        <f t="shared" ref="K1069:K1077" si="397">M1069/(H1069*I1069)</f>
        <v>169.99716671388779</v>
      </c>
      <c r="L1069" s="21">
        <v>600</v>
      </c>
      <c r="M1069" s="21">
        <v>660</v>
      </c>
      <c r="N1069" s="285"/>
      <c r="O1069" s="285"/>
      <c r="P1069" s="285"/>
      <c r="Q1069" s="285"/>
      <c r="R1069" s="285"/>
      <c r="S1069" s="285"/>
      <c r="T1069" s="285"/>
      <c r="U1069" s="285"/>
      <c r="V1069" s="285"/>
      <c r="W1069" s="285"/>
    </row>
    <row r="1070" spans="1:23" s="26" customFormat="1" ht="30" customHeight="1" x14ac:dyDescent="0.2">
      <c r="A1070" s="106" t="s">
        <v>2309</v>
      </c>
      <c r="B1070" s="131" t="s">
        <v>797</v>
      </c>
      <c r="C1070" s="49" t="s">
        <v>1</v>
      </c>
      <c r="D1070" s="300">
        <v>1</v>
      </c>
      <c r="E1070" s="51">
        <f t="shared" si="393"/>
        <v>12.640360671624491</v>
      </c>
      <c r="F1070" s="23">
        <f t="shared" si="394"/>
        <v>7.9111666666666705E-2</v>
      </c>
      <c r="G1070" s="65">
        <f t="shared" si="394"/>
        <v>139.0439673878694</v>
      </c>
      <c r="H1070" s="79">
        <v>4.31518181818182</v>
      </c>
      <c r="I1070" s="71">
        <f t="shared" si="395"/>
        <v>1.1000000000000001</v>
      </c>
      <c r="J1070" s="23">
        <f t="shared" si="396"/>
        <v>7.9111666666666705E-2</v>
      </c>
      <c r="K1070" s="65">
        <f t="shared" si="397"/>
        <v>139.0439673878694</v>
      </c>
      <c r="L1070" s="21">
        <v>600</v>
      </c>
      <c r="M1070" s="21">
        <v>660</v>
      </c>
      <c r="N1070" s="285"/>
      <c r="O1070" s="285"/>
      <c r="P1070" s="285"/>
      <c r="Q1070" s="285"/>
      <c r="R1070" s="285"/>
      <c r="S1070" s="285"/>
      <c r="T1070" s="285"/>
      <c r="U1070" s="285"/>
      <c r="V1070" s="285"/>
      <c r="W1070" s="285"/>
    </row>
    <row r="1071" spans="1:23" s="26" customFormat="1" ht="30" customHeight="1" x14ac:dyDescent="0.2">
      <c r="A1071" s="106" t="s">
        <v>2310</v>
      </c>
      <c r="B1071" s="131" t="s">
        <v>798</v>
      </c>
      <c r="C1071" s="49" t="s">
        <v>1</v>
      </c>
      <c r="D1071" s="300">
        <v>1</v>
      </c>
      <c r="E1071" s="51">
        <f t="shared" si="393"/>
        <v>10.359778612298442</v>
      </c>
      <c r="F1071" s="23">
        <f t="shared" si="394"/>
        <v>9.6527159259259296E-2</v>
      </c>
      <c r="G1071" s="65">
        <f t="shared" si="394"/>
        <v>113.95756473528286</v>
      </c>
      <c r="H1071" s="79">
        <v>5.26511777777778</v>
      </c>
      <c r="I1071" s="71">
        <f t="shared" si="395"/>
        <v>1.1000000000000001</v>
      </c>
      <c r="J1071" s="23">
        <f t="shared" si="396"/>
        <v>9.6527159259259296E-2</v>
      </c>
      <c r="K1071" s="65">
        <f t="shared" si="397"/>
        <v>113.95756473528286</v>
      </c>
      <c r="L1071" s="21">
        <v>600</v>
      </c>
      <c r="M1071" s="21">
        <v>660</v>
      </c>
      <c r="N1071" s="285"/>
      <c r="O1071" s="285"/>
      <c r="P1071" s="285"/>
      <c r="Q1071" s="285"/>
      <c r="R1071" s="285"/>
      <c r="S1071" s="285"/>
      <c r="T1071" s="285"/>
      <c r="U1071" s="285"/>
      <c r="V1071" s="285"/>
      <c r="W1071" s="285"/>
    </row>
    <row r="1072" spans="1:23" s="26" customFormat="1" ht="50.25" customHeight="1" x14ac:dyDescent="0.2">
      <c r="A1072" s="106" t="s">
        <v>2311</v>
      </c>
      <c r="B1072" s="131" t="s">
        <v>799</v>
      </c>
      <c r="C1072" s="49" t="s">
        <v>1</v>
      </c>
      <c r="D1072" s="300">
        <v>1</v>
      </c>
      <c r="E1072" s="51">
        <f t="shared" si="393"/>
        <v>8.0382775119617165</v>
      </c>
      <c r="F1072" s="23">
        <f t="shared" si="394"/>
        <v>0.12440476190476199</v>
      </c>
      <c r="G1072" s="65">
        <f t="shared" si="394"/>
        <v>88.421052631578888</v>
      </c>
      <c r="H1072" s="79">
        <v>6.78571428571429</v>
      </c>
      <c r="I1072" s="71">
        <f t="shared" si="395"/>
        <v>1.1000000000000001</v>
      </c>
      <c r="J1072" s="23">
        <f t="shared" si="396"/>
        <v>0.12440476190476199</v>
      </c>
      <c r="K1072" s="65">
        <f t="shared" si="397"/>
        <v>88.421052631578888</v>
      </c>
      <c r="L1072" s="21">
        <v>600</v>
      </c>
      <c r="M1072" s="21">
        <v>660</v>
      </c>
      <c r="N1072" s="285"/>
      <c r="O1072" s="285"/>
      <c r="P1072" s="285"/>
      <c r="Q1072" s="285"/>
      <c r="R1072" s="285"/>
      <c r="S1072" s="285"/>
      <c r="T1072" s="285"/>
      <c r="U1072" s="285"/>
      <c r="V1072" s="285"/>
      <c r="W1072" s="285"/>
    </row>
    <row r="1073" spans="1:23" s="26" customFormat="1" ht="38.25" customHeight="1" x14ac:dyDescent="0.2">
      <c r="A1073" s="106" t="s">
        <v>2312</v>
      </c>
      <c r="B1073" s="131" t="s">
        <v>800</v>
      </c>
      <c r="C1073" s="49" t="s">
        <v>1</v>
      </c>
      <c r="D1073" s="300">
        <v>1</v>
      </c>
      <c r="E1073" s="51">
        <f t="shared" si="393"/>
        <v>6.4306220095693769</v>
      </c>
      <c r="F1073" s="23">
        <f t="shared" si="394"/>
        <v>0.15550595238095238</v>
      </c>
      <c r="G1073" s="65">
        <f t="shared" si="394"/>
        <v>70.73684210526315</v>
      </c>
      <c r="H1073" s="79">
        <v>8.4821428571428577</v>
      </c>
      <c r="I1073" s="71">
        <f t="shared" si="395"/>
        <v>1.1000000000000001</v>
      </c>
      <c r="J1073" s="23">
        <f t="shared" si="396"/>
        <v>0.15550595238095238</v>
      </c>
      <c r="K1073" s="65">
        <f t="shared" si="397"/>
        <v>70.73684210526315</v>
      </c>
      <c r="L1073" s="21">
        <v>600</v>
      </c>
      <c r="M1073" s="21">
        <v>660</v>
      </c>
      <c r="N1073" s="285"/>
      <c r="O1073" s="285"/>
      <c r="P1073" s="285"/>
      <c r="Q1073" s="285"/>
      <c r="R1073" s="285"/>
      <c r="S1073" s="285"/>
      <c r="T1073" s="285"/>
      <c r="U1073" s="285"/>
      <c r="V1073" s="285"/>
      <c r="W1073" s="285"/>
    </row>
    <row r="1074" spans="1:23" s="26" customFormat="1" ht="42" customHeight="1" x14ac:dyDescent="0.2">
      <c r="A1074" s="106" t="s">
        <v>2313</v>
      </c>
      <c r="B1074" s="131" t="s">
        <v>801</v>
      </c>
      <c r="C1074" s="49" t="s">
        <v>1</v>
      </c>
      <c r="D1074" s="300">
        <v>1</v>
      </c>
      <c r="E1074" s="51">
        <f t="shared" si="393"/>
        <v>5.0526315789473681</v>
      </c>
      <c r="F1074" s="23">
        <f t="shared" si="394"/>
        <v>0.19791666666666669</v>
      </c>
      <c r="G1074" s="65">
        <f t="shared" si="394"/>
        <v>55.578947368421048</v>
      </c>
      <c r="H1074" s="79">
        <v>10.795454545454547</v>
      </c>
      <c r="I1074" s="71">
        <f t="shared" si="395"/>
        <v>1.1000000000000001</v>
      </c>
      <c r="J1074" s="23">
        <f t="shared" si="396"/>
        <v>0.19791666666666669</v>
      </c>
      <c r="K1074" s="65">
        <f t="shared" si="397"/>
        <v>55.578947368421048</v>
      </c>
      <c r="L1074" s="21">
        <v>600</v>
      </c>
      <c r="M1074" s="21">
        <v>660</v>
      </c>
      <c r="N1074" s="285"/>
      <c r="O1074" s="285"/>
      <c r="P1074" s="285"/>
      <c r="Q1074" s="285"/>
      <c r="R1074" s="285"/>
      <c r="S1074" s="285"/>
      <c r="T1074" s="285"/>
      <c r="U1074" s="285"/>
      <c r="V1074" s="285"/>
      <c r="W1074" s="285"/>
    </row>
    <row r="1075" spans="1:23" s="26" customFormat="1" ht="40.5" customHeight="1" x14ac:dyDescent="0.2">
      <c r="A1075" s="106" t="s">
        <v>2314</v>
      </c>
      <c r="B1075" s="131" t="s">
        <v>802</v>
      </c>
      <c r="C1075" s="49" t="s">
        <v>1</v>
      </c>
      <c r="D1075" s="300">
        <v>1</v>
      </c>
      <c r="E1075" s="51">
        <f t="shared" si="393"/>
        <v>4.0191387559808609</v>
      </c>
      <c r="F1075" s="23">
        <f t="shared" si="394"/>
        <v>0.24880952380952387</v>
      </c>
      <c r="G1075" s="65">
        <f t="shared" si="394"/>
        <v>44.210526315789465</v>
      </c>
      <c r="H1075" s="79">
        <v>13.571428571428573</v>
      </c>
      <c r="I1075" s="71">
        <f t="shared" si="395"/>
        <v>1.1000000000000001</v>
      </c>
      <c r="J1075" s="23">
        <f t="shared" si="396"/>
        <v>0.24880952380952387</v>
      </c>
      <c r="K1075" s="65">
        <f t="shared" si="397"/>
        <v>44.210526315789465</v>
      </c>
      <c r="L1075" s="21">
        <v>600</v>
      </c>
      <c r="M1075" s="21">
        <v>660</v>
      </c>
      <c r="N1075" s="285"/>
      <c r="O1075" s="285"/>
      <c r="P1075" s="285"/>
      <c r="Q1075" s="285"/>
      <c r="R1075" s="285"/>
      <c r="S1075" s="285"/>
      <c r="T1075" s="285"/>
      <c r="U1075" s="285"/>
      <c r="V1075" s="285"/>
      <c r="W1075" s="285"/>
    </row>
    <row r="1076" spans="1:23" s="26" customFormat="1" ht="45.75" customHeight="1" x14ac:dyDescent="0.2">
      <c r="A1076" s="106" t="s">
        <v>2315</v>
      </c>
      <c r="B1076" s="131" t="s">
        <v>880</v>
      </c>
      <c r="C1076" s="49" t="s">
        <v>1</v>
      </c>
      <c r="D1076" s="300">
        <v>1</v>
      </c>
      <c r="E1076" s="51">
        <f t="shared" si="393"/>
        <v>3.2153110047846885</v>
      </c>
      <c r="F1076" s="23">
        <f t="shared" si="394"/>
        <v>0.31101190476190477</v>
      </c>
      <c r="G1076" s="65">
        <f t="shared" si="394"/>
        <v>35.368421052631575</v>
      </c>
      <c r="H1076" s="79">
        <v>16.964285714285715</v>
      </c>
      <c r="I1076" s="71">
        <f t="shared" si="395"/>
        <v>1.1000000000000001</v>
      </c>
      <c r="J1076" s="23">
        <f t="shared" si="396"/>
        <v>0.31101190476190477</v>
      </c>
      <c r="K1076" s="65">
        <f t="shared" si="397"/>
        <v>35.368421052631575</v>
      </c>
      <c r="L1076" s="21">
        <v>600</v>
      </c>
      <c r="M1076" s="21">
        <v>660</v>
      </c>
      <c r="N1076" s="285"/>
      <c r="O1076" s="285"/>
      <c r="P1076" s="285"/>
      <c r="Q1076" s="285"/>
      <c r="R1076" s="285"/>
      <c r="S1076" s="285"/>
      <c r="T1076" s="285"/>
      <c r="U1076" s="285"/>
      <c r="V1076" s="285"/>
      <c r="W1076" s="285"/>
    </row>
    <row r="1077" spans="1:23" s="26" customFormat="1" ht="43.5" customHeight="1" x14ac:dyDescent="0.2">
      <c r="A1077" s="106" t="s">
        <v>2316</v>
      </c>
      <c r="B1077" s="131" t="s">
        <v>881</v>
      </c>
      <c r="C1077" s="49" t="s">
        <v>1</v>
      </c>
      <c r="D1077" s="300">
        <v>1</v>
      </c>
      <c r="E1077" s="51">
        <f t="shared" si="393"/>
        <v>2.7559808612440189</v>
      </c>
      <c r="F1077" s="23">
        <f>11/G1077</f>
        <v>0.36284722222222227</v>
      </c>
      <c r="G1077" s="65">
        <f t="shared" si="394"/>
        <v>30.315789473684209</v>
      </c>
      <c r="H1077" s="79">
        <v>19.791666666666668</v>
      </c>
      <c r="I1077" s="71">
        <f t="shared" si="395"/>
        <v>1.1000000000000001</v>
      </c>
      <c r="J1077" s="23">
        <f t="shared" si="396"/>
        <v>0.36284722222222227</v>
      </c>
      <c r="K1077" s="65">
        <f t="shared" si="397"/>
        <v>30.315789473684209</v>
      </c>
      <c r="L1077" s="21">
        <v>600</v>
      </c>
      <c r="M1077" s="21">
        <v>660</v>
      </c>
      <c r="N1077" s="285"/>
      <c r="O1077" s="285"/>
      <c r="P1077" s="285"/>
      <c r="Q1077" s="285"/>
      <c r="R1077" s="285"/>
      <c r="S1077" s="285"/>
      <c r="T1077" s="285"/>
      <c r="U1077" s="285"/>
      <c r="V1077" s="285"/>
      <c r="W1077" s="285"/>
    </row>
    <row r="1078" spans="1:23" s="26" customFormat="1" ht="43.5" customHeight="1" x14ac:dyDescent="0.2">
      <c r="A1078" s="106"/>
      <c r="B1078" s="134" t="s">
        <v>647</v>
      </c>
      <c r="C1078" s="28"/>
      <c r="D1078" s="300">
        <v>1</v>
      </c>
      <c r="E1078" s="28"/>
      <c r="F1078" s="28"/>
      <c r="G1078" s="28"/>
      <c r="H1078" s="225"/>
      <c r="I1078" s="63"/>
      <c r="J1078" s="63"/>
      <c r="K1078" s="63"/>
      <c r="L1078" s="63"/>
      <c r="M1078" s="63"/>
      <c r="N1078" s="285"/>
      <c r="O1078" s="285"/>
      <c r="P1078" s="285"/>
      <c r="Q1078" s="285"/>
      <c r="R1078" s="285"/>
      <c r="S1078" s="285"/>
      <c r="T1078" s="285"/>
      <c r="U1078" s="285"/>
      <c r="V1078" s="285"/>
      <c r="W1078" s="285"/>
    </row>
    <row r="1079" spans="1:23" s="26" customFormat="1" ht="43.5" customHeight="1" x14ac:dyDescent="0.2">
      <c r="A1079" s="106" t="s">
        <v>2317</v>
      </c>
      <c r="B1079" s="113" t="s">
        <v>597</v>
      </c>
      <c r="C1079" s="297" t="s">
        <v>635</v>
      </c>
      <c r="D1079" s="300">
        <v>1</v>
      </c>
      <c r="E1079" s="301">
        <f>G1079/11</f>
        <v>22.32</v>
      </c>
      <c r="F1079" s="298">
        <f t="shared" ref="F1079:F1082" si="398">J1079</f>
        <v>4.4802867383512544E-2</v>
      </c>
      <c r="G1079" s="302">
        <f t="shared" ref="G1079:G1082" si="399">K1079</f>
        <v>245.52</v>
      </c>
      <c r="H1079" s="303">
        <v>2.4437927663734111</v>
      </c>
      <c r="I1079" s="71">
        <f>M1079/L1079</f>
        <v>1.1000000000000001</v>
      </c>
      <c r="J1079" s="298">
        <f>11/K1079</f>
        <v>4.4802867383512544E-2</v>
      </c>
      <c r="K1079" s="302">
        <f>M1079/(H1079*I1079)</f>
        <v>245.52</v>
      </c>
      <c r="L1079" s="297">
        <v>600</v>
      </c>
      <c r="M1079" s="297">
        <v>660</v>
      </c>
      <c r="N1079" s="285"/>
      <c r="O1079" s="285"/>
      <c r="P1079" s="285"/>
      <c r="Q1079" s="285"/>
      <c r="R1079" s="285"/>
      <c r="S1079" s="285"/>
      <c r="T1079" s="285"/>
      <c r="U1079" s="285"/>
      <c r="V1079" s="285"/>
      <c r="W1079" s="285"/>
    </row>
    <row r="1080" spans="1:23" s="26" customFormat="1" ht="43.5" customHeight="1" x14ac:dyDescent="0.2">
      <c r="A1080" s="106" t="s">
        <v>2318</v>
      </c>
      <c r="B1080" s="113" t="s">
        <v>598</v>
      </c>
      <c r="C1080" s="297" t="s">
        <v>635</v>
      </c>
      <c r="D1080" s="300">
        <v>1</v>
      </c>
      <c r="E1080" s="301">
        <f>G1080/11</f>
        <v>13.68</v>
      </c>
      <c r="F1080" s="298">
        <f t="shared" si="398"/>
        <v>7.3099415204678372E-2</v>
      </c>
      <c r="G1080" s="302">
        <f t="shared" si="399"/>
        <v>150.47999999999999</v>
      </c>
      <c r="H1080" s="303">
        <v>3.9872408293460926</v>
      </c>
      <c r="I1080" s="71">
        <f>M1080/L1080</f>
        <v>1.1000000000000001</v>
      </c>
      <c r="J1080" s="298">
        <f>11/K1080</f>
        <v>7.3099415204678372E-2</v>
      </c>
      <c r="K1080" s="302">
        <f>M1080/(H1080*I1080)</f>
        <v>150.47999999999999</v>
      </c>
      <c r="L1080" s="297">
        <v>600</v>
      </c>
      <c r="M1080" s="297">
        <v>660</v>
      </c>
      <c r="N1080" s="285"/>
      <c r="O1080" s="285"/>
      <c r="P1080" s="285"/>
      <c r="Q1080" s="285"/>
      <c r="R1080" s="285"/>
      <c r="S1080" s="285"/>
      <c r="T1080" s="285"/>
      <c r="U1080" s="285"/>
      <c r="V1080" s="285"/>
      <c r="W1080" s="285"/>
    </row>
    <row r="1081" spans="1:23" s="26" customFormat="1" ht="43.5" customHeight="1" x14ac:dyDescent="0.2">
      <c r="A1081" s="106" t="s">
        <v>2319</v>
      </c>
      <c r="B1081" s="113" t="s">
        <v>596</v>
      </c>
      <c r="C1081" s="297" t="s">
        <v>635</v>
      </c>
      <c r="D1081" s="300">
        <v>1</v>
      </c>
      <c r="E1081" s="301">
        <f>G1081/11</f>
        <v>9.84</v>
      </c>
      <c r="F1081" s="298">
        <f t="shared" si="398"/>
        <v>0.10162601626016261</v>
      </c>
      <c r="G1081" s="302">
        <f t="shared" si="399"/>
        <v>108.24</v>
      </c>
      <c r="H1081" s="303">
        <v>5.5432372505543235</v>
      </c>
      <c r="I1081" s="71">
        <f>M1081/L1081</f>
        <v>1.1000000000000001</v>
      </c>
      <c r="J1081" s="298">
        <f>11/K1081</f>
        <v>0.10162601626016261</v>
      </c>
      <c r="K1081" s="302">
        <f>M1081/(H1081*I1081)</f>
        <v>108.24</v>
      </c>
      <c r="L1081" s="297">
        <v>600</v>
      </c>
      <c r="M1081" s="297">
        <v>660</v>
      </c>
      <c r="N1081" s="285"/>
      <c r="O1081" s="285"/>
      <c r="P1081" s="285"/>
      <c r="Q1081" s="285"/>
      <c r="R1081" s="285"/>
      <c r="S1081" s="285"/>
      <c r="T1081" s="285"/>
      <c r="U1081" s="285"/>
      <c r="V1081" s="285"/>
      <c r="W1081" s="285"/>
    </row>
    <row r="1082" spans="1:23" s="26" customFormat="1" ht="43.5" customHeight="1" x14ac:dyDescent="0.2">
      <c r="A1082" s="106" t="s">
        <v>2320</v>
      </c>
      <c r="B1082" s="113" t="s">
        <v>967</v>
      </c>
      <c r="C1082" s="297" t="s">
        <v>635</v>
      </c>
      <c r="D1082" s="300">
        <v>1</v>
      </c>
      <c r="E1082" s="301">
        <f>G1082/11</f>
        <v>36.36363636363636</v>
      </c>
      <c r="F1082" s="298">
        <f t="shared" si="398"/>
        <v>2.7500000000000004E-2</v>
      </c>
      <c r="G1082" s="302">
        <f t="shared" si="399"/>
        <v>399.99999999999994</v>
      </c>
      <c r="H1082" s="303">
        <v>1.5</v>
      </c>
      <c r="I1082" s="71">
        <f>M1082/L1082</f>
        <v>1.1000000000000001</v>
      </c>
      <c r="J1082" s="298">
        <f>11/K1082</f>
        <v>2.7500000000000004E-2</v>
      </c>
      <c r="K1082" s="302">
        <f>M1082/(H1082*I1082)</f>
        <v>399.99999999999994</v>
      </c>
      <c r="L1082" s="297">
        <v>600</v>
      </c>
      <c r="M1082" s="297">
        <v>660</v>
      </c>
      <c r="N1082" s="285"/>
      <c r="O1082" s="285"/>
      <c r="P1082" s="285"/>
      <c r="Q1082" s="285"/>
      <c r="R1082" s="285"/>
      <c r="S1082" s="285"/>
      <c r="T1082" s="285"/>
      <c r="U1082" s="285"/>
      <c r="V1082" s="285"/>
      <c r="W1082" s="285"/>
    </row>
    <row r="1083" spans="1:23" s="26" customFormat="1" ht="43.5" customHeight="1" x14ac:dyDescent="0.2">
      <c r="A1083" s="106"/>
      <c r="B1083" s="118" t="s">
        <v>3405</v>
      </c>
      <c r="C1083" s="28"/>
      <c r="D1083" s="300">
        <v>1</v>
      </c>
      <c r="E1083" s="28"/>
      <c r="F1083" s="28"/>
      <c r="G1083" s="28"/>
      <c r="H1083" s="225"/>
      <c r="I1083" s="63"/>
      <c r="J1083" s="63"/>
      <c r="K1083" s="63"/>
      <c r="L1083" s="63"/>
      <c r="M1083" s="63"/>
      <c r="N1083" s="285"/>
      <c r="O1083" s="285"/>
      <c r="P1083" s="285"/>
      <c r="Q1083" s="285"/>
      <c r="R1083" s="285"/>
      <c r="S1083" s="285"/>
      <c r="T1083" s="285"/>
      <c r="U1083" s="285"/>
      <c r="V1083" s="285"/>
      <c r="W1083" s="285"/>
    </row>
    <row r="1084" spans="1:23" s="26" customFormat="1" ht="43.5" customHeight="1" x14ac:dyDescent="0.2">
      <c r="A1084" s="106"/>
      <c r="B1084" s="118" t="s">
        <v>3442</v>
      </c>
      <c r="C1084" s="28"/>
      <c r="D1084" s="300">
        <v>1</v>
      </c>
      <c r="E1084" s="28"/>
      <c r="F1084" s="28"/>
      <c r="G1084" s="28"/>
      <c r="H1084" s="225"/>
      <c r="I1084" s="63"/>
      <c r="J1084" s="63"/>
      <c r="K1084" s="63"/>
      <c r="L1084" s="63"/>
      <c r="M1084" s="63"/>
      <c r="N1084" s="285"/>
      <c r="O1084" s="285"/>
      <c r="P1084" s="285"/>
      <c r="Q1084" s="285"/>
      <c r="R1084" s="285"/>
      <c r="S1084" s="285"/>
      <c r="T1084" s="285"/>
      <c r="U1084" s="285"/>
      <c r="V1084" s="285"/>
      <c r="W1084" s="285"/>
    </row>
    <row r="1085" spans="1:23" s="26" customFormat="1" ht="43.5" customHeight="1" x14ac:dyDescent="0.2">
      <c r="A1085" s="305" t="s">
        <v>3406</v>
      </c>
      <c r="B1085" s="120" t="s">
        <v>3443</v>
      </c>
      <c r="C1085" s="299" t="s">
        <v>1</v>
      </c>
      <c r="D1085" s="300">
        <v>1</v>
      </c>
      <c r="E1085" s="301">
        <f t="shared" ref="E1085" si="400">G1085/11</f>
        <v>10.205960280803978</v>
      </c>
      <c r="F1085" s="298">
        <f>11/G1085</f>
        <v>9.7981960784313829E-2</v>
      </c>
      <c r="G1085" s="302">
        <f>L1085/H1085</f>
        <v>112.26556308884376</v>
      </c>
      <c r="H1085" s="243">
        <v>5.3444705882352999</v>
      </c>
      <c r="I1085" s="63"/>
      <c r="J1085" s="63"/>
      <c r="K1085" s="63"/>
      <c r="L1085" s="297">
        <v>600</v>
      </c>
      <c r="M1085" s="297">
        <v>660</v>
      </c>
      <c r="N1085" s="285"/>
      <c r="O1085" s="285"/>
      <c r="P1085" s="285"/>
      <c r="Q1085" s="285"/>
      <c r="R1085" s="285"/>
      <c r="S1085" s="285"/>
      <c r="T1085" s="285"/>
      <c r="U1085" s="285"/>
      <c r="V1085" s="285"/>
      <c r="W1085" s="285"/>
    </row>
    <row r="1086" spans="1:23" s="26" customFormat="1" ht="43.5" customHeight="1" x14ac:dyDescent="0.2">
      <c r="A1086" s="305" t="s">
        <v>3407</v>
      </c>
      <c r="B1086" s="120" t="s">
        <v>3444</v>
      </c>
      <c r="C1086" s="299" t="s">
        <v>1</v>
      </c>
      <c r="D1086" s="300">
        <v>1</v>
      </c>
      <c r="E1086" s="301">
        <f t="shared" ref="E1086:E1110" si="401">G1086/11</f>
        <v>5.2461509730152773</v>
      </c>
      <c r="F1086" s="298">
        <f t="shared" ref="F1086:F1110" si="402">11/G1086</f>
        <v>0.19061594017094022</v>
      </c>
      <c r="G1086" s="302">
        <f t="shared" ref="G1086:G1110" si="403">L1086/H1086</f>
        <v>57.707660703168052</v>
      </c>
      <c r="H1086" s="243">
        <v>10.397233100233104</v>
      </c>
      <c r="I1086" s="63"/>
      <c r="J1086" s="63"/>
      <c r="K1086" s="63"/>
      <c r="L1086" s="297">
        <v>600</v>
      </c>
      <c r="M1086" s="297">
        <v>660</v>
      </c>
      <c r="N1086" s="285"/>
      <c r="O1086" s="285"/>
      <c r="P1086" s="285"/>
      <c r="Q1086" s="285"/>
      <c r="R1086" s="285"/>
      <c r="S1086" s="285"/>
      <c r="T1086" s="285"/>
      <c r="U1086" s="285"/>
      <c r="V1086" s="285"/>
      <c r="W1086" s="285"/>
    </row>
    <row r="1087" spans="1:23" s="26" customFormat="1" ht="43.5" customHeight="1" x14ac:dyDescent="0.2">
      <c r="A1087" s="305" t="s">
        <v>3408</v>
      </c>
      <c r="B1087" s="120" t="s">
        <v>3432</v>
      </c>
      <c r="C1087" s="299" t="s">
        <v>1</v>
      </c>
      <c r="D1087" s="300">
        <v>1</v>
      </c>
      <c r="E1087" s="301">
        <f t="shared" si="401"/>
        <v>10.205960280803978</v>
      </c>
      <c r="F1087" s="298">
        <f t="shared" si="402"/>
        <v>9.7981960784313829E-2</v>
      </c>
      <c r="G1087" s="302">
        <f t="shared" si="403"/>
        <v>112.26556308884376</v>
      </c>
      <c r="H1087" s="243">
        <v>5.3444705882352999</v>
      </c>
      <c r="I1087" s="63"/>
      <c r="J1087" s="63"/>
      <c r="K1087" s="63"/>
      <c r="L1087" s="297">
        <v>600</v>
      </c>
      <c r="M1087" s="297">
        <v>660</v>
      </c>
      <c r="N1087" s="285"/>
      <c r="O1087" s="285"/>
      <c r="P1087" s="285"/>
      <c r="Q1087" s="285"/>
      <c r="R1087" s="285"/>
      <c r="S1087" s="285"/>
      <c r="T1087" s="285"/>
      <c r="U1087" s="285"/>
      <c r="V1087" s="285"/>
      <c r="W1087" s="285"/>
    </row>
    <row r="1088" spans="1:23" s="26" customFormat="1" ht="43.5" customHeight="1" x14ac:dyDescent="0.2">
      <c r="A1088" s="305" t="s">
        <v>3409</v>
      </c>
      <c r="B1088" s="120" t="s">
        <v>3445</v>
      </c>
      <c r="C1088" s="299" t="s">
        <v>1</v>
      </c>
      <c r="D1088" s="300">
        <v>1</v>
      </c>
      <c r="E1088" s="301">
        <f t="shared" si="401"/>
        <v>5.2461509730152773</v>
      </c>
      <c r="F1088" s="298">
        <f t="shared" si="402"/>
        <v>0.19061594017094022</v>
      </c>
      <c r="G1088" s="302">
        <f t="shared" si="403"/>
        <v>57.707660703168052</v>
      </c>
      <c r="H1088" s="243">
        <v>10.397233100233104</v>
      </c>
      <c r="I1088" s="63"/>
      <c r="J1088" s="63"/>
      <c r="K1088" s="63"/>
      <c r="L1088" s="297">
        <v>600</v>
      </c>
      <c r="M1088" s="297">
        <v>660</v>
      </c>
      <c r="N1088" s="285"/>
      <c r="O1088" s="285"/>
      <c r="P1088" s="285"/>
      <c r="Q1088" s="285"/>
      <c r="R1088" s="285"/>
      <c r="S1088" s="285"/>
      <c r="T1088" s="285"/>
      <c r="U1088" s="285"/>
      <c r="V1088" s="285"/>
      <c r="W1088" s="285"/>
    </row>
    <row r="1089" spans="1:23" s="26" customFormat="1" ht="43.5" customHeight="1" x14ac:dyDescent="0.2">
      <c r="A1089" s="305" t="s">
        <v>3410</v>
      </c>
      <c r="B1089" s="120" t="s">
        <v>3433</v>
      </c>
      <c r="C1089" s="299" t="s">
        <v>1</v>
      </c>
      <c r="D1089" s="300">
        <v>1</v>
      </c>
      <c r="E1089" s="301">
        <f t="shared" si="401"/>
        <v>10.205960280803978</v>
      </c>
      <c r="F1089" s="298">
        <f t="shared" si="402"/>
        <v>9.7981960784313829E-2</v>
      </c>
      <c r="G1089" s="302">
        <f t="shared" si="403"/>
        <v>112.26556308884376</v>
      </c>
      <c r="H1089" s="243">
        <v>5.3444705882352999</v>
      </c>
      <c r="I1089" s="63"/>
      <c r="J1089" s="63"/>
      <c r="K1089" s="63"/>
      <c r="L1089" s="297">
        <v>600</v>
      </c>
      <c r="M1089" s="297">
        <v>660</v>
      </c>
      <c r="N1089" s="285"/>
      <c r="O1089" s="285"/>
      <c r="P1089" s="285"/>
      <c r="Q1089" s="285"/>
      <c r="R1089" s="285"/>
      <c r="S1089" s="285"/>
      <c r="T1089" s="285"/>
      <c r="U1089" s="285"/>
      <c r="V1089" s="285"/>
      <c r="W1089" s="285"/>
    </row>
    <row r="1090" spans="1:23" s="26" customFormat="1" ht="43.5" customHeight="1" x14ac:dyDescent="0.2">
      <c r="A1090" s="305" t="s">
        <v>3411</v>
      </c>
      <c r="B1090" s="120" t="s">
        <v>3446</v>
      </c>
      <c r="C1090" s="299" t="s">
        <v>1</v>
      </c>
      <c r="D1090" s="300">
        <v>1</v>
      </c>
      <c r="E1090" s="301">
        <f t="shared" si="401"/>
        <v>5.2461509730152773</v>
      </c>
      <c r="F1090" s="298">
        <f t="shared" si="402"/>
        <v>0.19061594017094022</v>
      </c>
      <c r="G1090" s="302">
        <f t="shared" si="403"/>
        <v>57.707660703168052</v>
      </c>
      <c r="H1090" s="243">
        <v>10.397233100233104</v>
      </c>
      <c r="I1090" s="63"/>
      <c r="J1090" s="63"/>
      <c r="K1090" s="63"/>
      <c r="L1090" s="297">
        <v>600</v>
      </c>
      <c r="M1090" s="297">
        <v>660</v>
      </c>
      <c r="N1090" s="285"/>
      <c r="O1090" s="285"/>
      <c r="P1090" s="285"/>
      <c r="Q1090" s="285"/>
      <c r="R1090" s="285"/>
      <c r="S1090" s="285"/>
      <c r="T1090" s="285"/>
      <c r="U1090" s="285"/>
      <c r="V1090" s="285"/>
      <c r="W1090" s="285"/>
    </row>
    <row r="1091" spans="1:23" s="26" customFormat="1" ht="43.5" customHeight="1" x14ac:dyDescent="0.2">
      <c r="A1091" s="305" t="s">
        <v>3412</v>
      </c>
      <c r="B1091" s="120" t="s">
        <v>3434</v>
      </c>
      <c r="C1091" s="299" t="s">
        <v>1</v>
      </c>
      <c r="D1091" s="300">
        <v>1</v>
      </c>
      <c r="E1091" s="301">
        <f t="shared" si="401"/>
        <v>10.205960280803978</v>
      </c>
      <c r="F1091" s="298">
        <f t="shared" si="402"/>
        <v>9.7981960784313829E-2</v>
      </c>
      <c r="G1091" s="302">
        <f t="shared" si="403"/>
        <v>112.26556308884376</v>
      </c>
      <c r="H1091" s="243">
        <v>5.3444705882352999</v>
      </c>
      <c r="I1091" s="63"/>
      <c r="J1091" s="63"/>
      <c r="K1091" s="63"/>
      <c r="L1091" s="297">
        <v>600</v>
      </c>
      <c r="M1091" s="297">
        <v>660</v>
      </c>
      <c r="N1091" s="285"/>
      <c r="O1091" s="285"/>
      <c r="P1091" s="285"/>
      <c r="Q1091" s="285"/>
      <c r="R1091" s="285"/>
      <c r="S1091" s="285"/>
      <c r="T1091" s="285"/>
      <c r="U1091" s="285"/>
      <c r="V1091" s="285"/>
      <c r="W1091" s="285"/>
    </row>
    <row r="1092" spans="1:23" s="26" customFormat="1" ht="43.5" customHeight="1" x14ac:dyDescent="0.2">
      <c r="A1092" s="305" t="s">
        <v>3413</v>
      </c>
      <c r="B1092" s="120" t="s">
        <v>3447</v>
      </c>
      <c r="C1092" s="299" t="s">
        <v>1</v>
      </c>
      <c r="D1092" s="300">
        <v>1</v>
      </c>
      <c r="E1092" s="301">
        <f t="shared" si="401"/>
        <v>5.2461509730152773</v>
      </c>
      <c r="F1092" s="298">
        <f t="shared" si="402"/>
        <v>0.19061594017094022</v>
      </c>
      <c r="G1092" s="302">
        <f t="shared" si="403"/>
        <v>57.707660703168052</v>
      </c>
      <c r="H1092" s="243">
        <v>10.397233100233104</v>
      </c>
      <c r="I1092" s="63"/>
      <c r="J1092" s="63"/>
      <c r="K1092" s="63"/>
      <c r="L1092" s="297">
        <v>600</v>
      </c>
      <c r="M1092" s="297">
        <v>660</v>
      </c>
      <c r="N1092" s="285"/>
      <c r="O1092" s="285"/>
      <c r="P1092" s="285"/>
      <c r="Q1092" s="285"/>
      <c r="R1092" s="285"/>
      <c r="S1092" s="285"/>
      <c r="T1092" s="285"/>
      <c r="U1092" s="285"/>
      <c r="V1092" s="285"/>
      <c r="W1092" s="285"/>
    </row>
    <row r="1093" spans="1:23" s="26" customFormat="1" ht="43.5" customHeight="1" x14ac:dyDescent="0.2">
      <c r="A1093" s="305" t="s">
        <v>3414</v>
      </c>
      <c r="B1093" s="120" t="s">
        <v>3435</v>
      </c>
      <c r="C1093" s="299" t="s">
        <v>1</v>
      </c>
      <c r="D1093" s="300">
        <v>1</v>
      </c>
      <c r="E1093" s="301">
        <f t="shared" si="401"/>
        <v>10.205960280803978</v>
      </c>
      <c r="F1093" s="298">
        <f t="shared" si="402"/>
        <v>9.7981960784313829E-2</v>
      </c>
      <c r="G1093" s="302">
        <f t="shared" si="403"/>
        <v>112.26556308884376</v>
      </c>
      <c r="H1093" s="243">
        <v>5.3444705882352999</v>
      </c>
      <c r="I1093" s="63"/>
      <c r="J1093" s="63"/>
      <c r="K1093" s="63"/>
      <c r="L1093" s="297">
        <v>600</v>
      </c>
      <c r="M1093" s="297">
        <v>660</v>
      </c>
      <c r="N1093" s="285"/>
      <c r="O1093" s="285"/>
      <c r="P1093" s="285"/>
      <c r="Q1093" s="285"/>
      <c r="R1093" s="285"/>
      <c r="S1093" s="285"/>
      <c r="T1093" s="285"/>
      <c r="U1093" s="285"/>
      <c r="V1093" s="285"/>
      <c r="W1093" s="285"/>
    </row>
    <row r="1094" spans="1:23" s="26" customFormat="1" ht="43.5" customHeight="1" x14ac:dyDescent="0.2">
      <c r="A1094" s="305" t="s">
        <v>3415</v>
      </c>
      <c r="B1094" s="120" t="s">
        <v>3448</v>
      </c>
      <c r="C1094" s="299" t="s">
        <v>1</v>
      </c>
      <c r="D1094" s="300">
        <v>1</v>
      </c>
      <c r="E1094" s="301">
        <f t="shared" si="401"/>
        <v>5.2461509730152773</v>
      </c>
      <c r="F1094" s="298">
        <f t="shared" si="402"/>
        <v>0.19061594017094022</v>
      </c>
      <c r="G1094" s="302">
        <f t="shared" si="403"/>
        <v>57.707660703168052</v>
      </c>
      <c r="H1094" s="243">
        <v>10.397233100233104</v>
      </c>
      <c r="I1094" s="63"/>
      <c r="J1094" s="63"/>
      <c r="K1094" s="63"/>
      <c r="L1094" s="297">
        <v>600</v>
      </c>
      <c r="M1094" s="297">
        <v>660</v>
      </c>
      <c r="N1094" s="285"/>
      <c r="O1094" s="285"/>
      <c r="P1094" s="285"/>
      <c r="Q1094" s="285"/>
      <c r="R1094" s="285"/>
      <c r="S1094" s="285"/>
      <c r="T1094" s="285"/>
      <c r="U1094" s="285"/>
      <c r="V1094" s="285"/>
      <c r="W1094" s="285"/>
    </row>
    <row r="1095" spans="1:23" s="26" customFormat="1" ht="43.5" customHeight="1" x14ac:dyDescent="0.2">
      <c r="A1095" s="305" t="s">
        <v>3416</v>
      </c>
      <c r="B1095" s="120" t="s">
        <v>3436</v>
      </c>
      <c r="C1095" s="299" t="s">
        <v>1</v>
      </c>
      <c r="D1095" s="300">
        <v>1</v>
      </c>
      <c r="E1095" s="301">
        <f t="shared" si="401"/>
        <v>10.205960280803978</v>
      </c>
      <c r="F1095" s="298">
        <f t="shared" si="402"/>
        <v>9.7981960784313829E-2</v>
      </c>
      <c r="G1095" s="302">
        <f t="shared" si="403"/>
        <v>112.26556308884376</v>
      </c>
      <c r="H1095" s="243">
        <v>5.3444705882352999</v>
      </c>
      <c r="I1095" s="63"/>
      <c r="J1095" s="63"/>
      <c r="K1095" s="63"/>
      <c r="L1095" s="297">
        <v>600</v>
      </c>
      <c r="M1095" s="297">
        <v>660</v>
      </c>
      <c r="N1095" s="285"/>
      <c r="O1095" s="285"/>
      <c r="P1095" s="285"/>
      <c r="Q1095" s="285"/>
      <c r="R1095" s="285"/>
      <c r="S1095" s="285"/>
      <c r="T1095" s="285"/>
      <c r="U1095" s="285"/>
      <c r="V1095" s="285"/>
      <c r="W1095" s="285"/>
    </row>
    <row r="1096" spans="1:23" s="26" customFormat="1" ht="43.5" customHeight="1" x14ac:dyDescent="0.2">
      <c r="A1096" s="305" t="s">
        <v>3417</v>
      </c>
      <c r="B1096" s="120" t="s">
        <v>3449</v>
      </c>
      <c r="C1096" s="299" t="s">
        <v>1</v>
      </c>
      <c r="D1096" s="300">
        <v>1</v>
      </c>
      <c r="E1096" s="301">
        <f t="shared" si="401"/>
        <v>5.2461509730152773</v>
      </c>
      <c r="F1096" s="298">
        <f t="shared" si="402"/>
        <v>0.19061594017094022</v>
      </c>
      <c r="G1096" s="302">
        <f t="shared" si="403"/>
        <v>57.707660703168052</v>
      </c>
      <c r="H1096" s="243">
        <v>10.397233100233104</v>
      </c>
      <c r="I1096" s="63"/>
      <c r="J1096" s="63"/>
      <c r="K1096" s="63"/>
      <c r="L1096" s="297">
        <v>600</v>
      </c>
      <c r="M1096" s="297">
        <v>660</v>
      </c>
      <c r="N1096" s="285"/>
      <c r="O1096" s="285"/>
      <c r="P1096" s="285"/>
      <c r="Q1096" s="285"/>
      <c r="R1096" s="285"/>
      <c r="S1096" s="285"/>
      <c r="T1096" s="285"/>
      <c r="U1096" s="285"/>
      <c r="V1096" s="285"/>
      <c r="W1096" s="285"/>
    </row>
    <row r="1097" spans="1:23" s="26" customFormat="1" ht="43.5" customHeight="1" x14ac:dyDescent="0.2">
      <c r="A1097" s="305" t="s">
        <v>3418</v>
      </c>
      <c r="B1097" s="120" t="s">
        <v>3437</v>
      </c>
      <c r="C1097" s="299" t="s">
        <v>1</v>
      </c>
      <c r="D1097" s="300">
        <v>1</v>
      </c>
      <c r="E1097" s="301">
        <f t="shared" si="401"/>
        <v>8.6853304768246407</v>
      </c>
      <c r="F1097" s="298">
        <f t="shared" si="402"/>
        <v>0.11513666666666669</v>
      </c>
      <c r="G1097" s="302">
        <f t="shared" si="403"/>
        <v>95.538635245071049</v>
      </c>
      <c r="H1097" s="243">
        <v>6.2801818181818199</v>
      </c>
      <c r="I1097" s="63"/>
      <c r="J1097" s="63"/>
      <c r="K1097" s="63"/>
      <c r="L1097" s="297">
        <v>600</v>
      </c>
      <c r="M1097" s="297">
        <v>660</v>
      </c>
      <c r="N1097" s="285"/>
      <c r="O1097" s="285"/>
      <c r="P1097" s="285"/>
      <c r="Q1097" s="285"/>
      <c r="R1097" s="285"/>
      <c r="S1097" s="285"/>
      <c r="T1097" s="285"/>
      <c r="U1097" s="285"/>
      <c r="V1097" s="285"/>
      <c r="W1097" s="285"/>
    </row>
    <row r="1098" spans="1:23" s="26" customFormat="1" ht="43.5" customHeight="1" x14ac:dyDescent="0.2">
      <c r="A1098" s="305" t="s">
        <v>3419</v>
      </c>
      <c r="B1098" s="120" t="s">
        <v>3450</v>
      </c>
      <c r="C1098" s="299" t="s">
        <v>1</v>
      </c>
      <c r="D1098" s="300">
        <v>1</v>
      </c>
      <c r="E1098" s="301">
        <f t="shared" si="401"/>
        <v>4.744250890076545</v>
      </c>
      <c r="F1098" s="298">
        <f t="shared" si="402"/>
        <v>0.21078143276353281</v>
      </c>
      <c r="G1098" s="302">
        <f t="shared" si="403"/>
        <v>52.186759790841997</v>
      </c>
      <c r="H1098" s="243">
        <v>11.497169059829062</v>
      </c>
      <c r="I1098" s="63"/>
      <c r="J1098" s="63"/>
      <c r="K1098" s="63"/>
      <c r="L1098" s="297">
        <v>600</v>
      </c>
      <c r="M1098" s="297">
        <v>660</v>
      </c>
      <c r="N1098" s="285"/>
      <c r="O1098" s="285"/>
      <c r="P1098" s="285"/>
      <c r="Q1098" s="285"/>
      <c r="R1098" s="285"/>
      <c r="S1098" s="285"/>
      <c r="T1098" s="285"/>
      <c r="U1098" s="285"/>
      <c r="V1098" s="285"/>
      <c r="W1098" s="285"/>
    </row>
    <row r="1099" spans="1:23" s="26" customFormat="1" ht="43.5" customHeight="1" x14ac:dyDescent="0.2">
      <c r="A1099" s="305" t="s">
        <v>3420</v>
      </c>
      <c r="B1099" s="120" t="s">
        <v>3438</v>
      </c>
      <c r="C1099" s="299" t="s">
        <v>1</v>
      </c>
      <c r="D1099" s="300">
        <v>1</v>
      </c>
      <c r="E1099" s="301">
        <f t="shared" si="401"/>
        <v>8.6853304768246407</v>
      </c>
      <c r="F1099" s="298">
        <f t="shared" si="402"/>
        <v>0.11513666666666669</v>
      </c>
      <c r="G1099" s="302">
        <f t="shared" si="403"/>
        <v>95.538635245071049</v>
      </c>
      <c r="H1099" s="243">
        <v>6.2801818181818199</v>
      </c>
      <c r="I1099" s="63"/>
      <c r="J1099" s="63"/>
      <c r="K1099" s="63"/>
      <c r="L1099" s="297">
        <v>600</v>
      </c>
      <c r="M1099" s="297">
        <v>660</v>
      </c>
      <c r="N1099" s="285"/>
      <c r="O1099" s="285"/>
      <c r="P1099" s="285"/>
      <c r="Q1099" s="285"/>
      <c r="R1099" s="285"/>
      <c r="S1099" s="285"/>
      <c r="T1099" s="285"/>
      <c r="U1099" s="285"/>
      <c r="V1099" s="285"/>
      <c r="W1099" s="285"/>
    </row>
    <row r="1100" spans="1:23" s="26" customFormat="1" ht="43.5" customHeight="1" x14ac:dyDescent="0.2">
      <c r="A1100" s="305" t="s">
        <v>3421</v>
      </c>
      <c r="B1100" s="120" t="s">
        <v>3451</v>
      </c>
      <c r="C1100" s="299" t="s">
        <v>1</v>
      </c>
      <c r="D1100" s="300">
        <v>1</v>
      </c>
      <c r="E1100" s="301">
        <f t="shared" si="401"/>
        <v>4.744250890076545</v>
      </c>
      <c r="F1100" s="298">
        <f t="shared" si="402"/>
        <v>0.21078143276353281</v>
      </c>
      <c r="G1100" s="302">
        <f t="shared" si="403"/>
        <v>52.186759790841997</v>
      </c>
      <c r="H1100" s="243">
        <v>11.497169059829062</v>
      </c>
      <c r="I1100" s="63"/>
      <c r="J1100" s="63"/>
      <c r="K1100" s="63"/>
      <c r="L1100" s="297">
        <v>600</v>
      </c>
      <c r="M1100" s="297">
        <v>660</v>
      </c>
      <c r="N1100" s="285"/>
      <c r="O1100" s="285"/>
      <c r="P1100" s="285"/>
      <c r="Q1100" s="285"/>
      <c r="R1100" s="285"/>
      <c r="S1100" s="285"/>
      <c r="T1100" s="285"/>
      <c r="U1100" s="285"/>
      <c r="V1100" s="285"/>
      <c r="W1100" s="285"/>
    </row>
    <row r="1101" spans="1:23" s="26" customFormat="1" ht="43.5" customHeight="1" x14ac:dyDescent="0.2">
      <c r="A1101" s="305" t="s">
        <v>3422</v>
      </c>
      <c r="B1101" s="120" t="s">
        <v>3439</v>
      </c>
      <c r="C1101" s="299" t="s">
        <v>1</v>
      </c>
      <c r="D1101" s="300">
        <v>1</v>
      </c>
      <c r="E1101" s="301">
        <f t="shared" si="401"/>
        <v>7.3908650495654653</v>
      </c>
      <c r="F1101" s="298">
        <f t="shared" si="402"/>
        <v>0.13530215925925931</v>
      </c>
      <c r="G1101" s="302">
        <f t="shared" si="403"/>
        <v>81.299515545220117</v>
      </c>
      <c r="H1101" s="243">
        <v>7.3801177777777802</v>
      </c>
      <c r="I1101" s="63"/>
      <c r="J1101" s="63"/>
      <c r="K1101" s="63"/>
      <c r="L1101" s="297">
        <v>600</v>
      </c>
      <c r="M1101" s="297">
        <v>660</v>
      </c>
      <c r="N1101" s="285"/>
      <c r="O1101" s="285"/>
      <c r="P1101" s="285"/>
      <c r="Q1101" s="285"/>
      <c r="R1101" s="285"/>
      <c r="S1101" s="285"/>
      <c r="T1101" s="285"/>
      <c r="U1101" s="285"/>
      <c r="V1101" s="285"/>
      <c r="W1101" s="285"/>
    </row>
    <row r="1102" spans="1:23" s="26" customFormat="1" ht="43.5" customHeight="1" x14ac:dyDescent="0.2">
      <c r="A1102" s="305" t="s">
        <v>3423</v>
      </c>
      <c r="B1102" s="120" t="s">
        <v>3452</v>
      </c>
      <c r="C1102" s="299" t="s">
        <v>1</v>
      </c>
      <c r="D1102" s="300">
        <v>1</v>
      </c>
      <c r="E1102" s="301">
        <f t="shared" si="401"/>
        <v>3.7057733596070692</v>
      </c>
      <c r="F1102" s="298">
        <f t="shared" si="402"/>
        <v>0.26984920634920645</v>
      </c>
      <c r="G1102" s="302">
        <f t="shared" si="403"/>
        <v>40.763506955677762</v>
      </c>
      <c r="H1102" s="243">
        <v>14.719047619047624</v>
      </c>
      <c r="I1102" s="63"/>
      <c r="J1102" s="63"/>
      <c r="K1102" s="63"/>
      <c r="L1102" s="297">
        <v>600</v>
      </c>
      <c r="M1102" s="297">
        <v>660</v>
      </c>
      <c r="N1102" s="285"/>
      <c r="O1102" s="285"/>
      <c r="P1102" s="285"/>
      <c r="Q1102" s="285"/>
      <c r="R1102" s="285"/>
      <c r="S1102" s="285"/>
      <c r="T1102" s="285"/>
      <c r="U1102" s="285"/>
      <c r="V1102" s="285"/>
      <c r="W1102" s="285"/>
    </row>
    <row r="1103" spans="1:23" s="26" customFormat="1" ht="43.5" customHeight="1" x14ac:dyDescent="0.2">
      <c r="A1103" s="305" t="s">
        <v>3424</v>
      </c>
      <c r="B1103" s="120" t="s">
        <v>3496</v>
      </c>
      <c r="C1103" s="299" t="s">
        <v>1</v>
      </c>
      <c r="D1103" s="300">
        <v>1</v>
      </c>
      <c r="E1103" s="301">
        <f t="shared" si="401"/>
        <v>3.7057733596070692</v>
      </c>
      <c r="F1103" s="298">
        <f t="shared" si="402"/>
        <v>0.26984920634920645</v>
      </c>
      <c r="G1103" s="302">
        <f t="shared" si="403"/>
        <v>40.763506955677762</v>
      </c>
      <c r="H1103" s="243">
        <v>14.719047619047624</v>
      </c>
      <c r="I1103" s="63"/>
      <c r="J1103" s="63"/>
      <c r="K1103" s="63"/>
      <c r="L1103" s="297">
        <v>600</v>
      </c>
      <c r="M1103" s="297">
        <v>660</v>
      </c>
      <c r="N1103" s="285"/>
      <c r="O1103" s="285"/>
      <c r="P1103" s="285"/>
      <c r="Q1103" s="285"/>
      <c r="R1103" s="285"/>
      <c r="S1103" s="285"/>
      <c r="T1103" s="285"/>
      <c r="U1103" s="285"/>
      <c r="V1103" s="285"/>
      <c r="W1103" s="285"/>
    </row>
    <row r="1104" spans="1:23" s="26" customFormat="1" ht="43.5" customHeight="1" x14ac:dyDescent="0.2">
      <c r="A1104" s="305" t="s">
        <v>3425</v>
      </c>
      <c r="B1104" s="120" t="s">
        <v>3497</v>
      </c>
      <c r="C1104" s="299" t="s">
        <v>1</v>
      </c>
      <c r="D1104" s="300">
        <v>1</v>
      </c>
      <c r="E1104" s="301">
        <f t="shared" si="401"/>
        <v>3.0664706180601331</v>
      </c>
      <c r="F1104" s="298">
        <f t="shared" si="402"/>
        <v>0.32610780423280417</v>
      </c>
      <c r="G1104" s="302">
        <f t="shared" si="403"/>
        <v>33.731176798661465</v>
      </c>
      <c r="H1104" s="243">
        <v>17.787698412698411</v>
      </c>
      <c r="I1104" s="63"/>
      <c r="J1104" s="63"/>
      <c r="K1104" s="63"/>
      <c r="L1104" s="297">
        <v>600</v>
      </c>
      <c r="M1104" s="297">
        <v>660</v>
      </c>
      <c r="N1104" s="285"/>
      <c r="O1104" s="285"/>
      <c r="P1104" s="285"/>
      <c r="Q1104" s="285"/>
      <c r="R1104" s="285"/>
      <c r="S1104" s="285"/>
      <c r="T1104" s="285"/>
      <c r="U1104" s="285"/>
      <c r="V1104" s="285"/>
      <c r="W1104" s="285"/>
    </row>
    <row r="1105" spans="1:23" s="26" customFormat="1" ht="43.5" customHeight="1" x14ac:dyDescent="0.2">
      <c r="A1105" s="305" t="s">
        <v>3426</v>
      </c>
      <c r="B1105" s="120" t="s">
        <v>3498</v>
      </c>
      <c r="C1105" s="299" t="s">
        <v>1</v>
      </c>
      <c r="D1105" s="300">
        <v>1</v>
      </c>
      <c r="E1105" s="301">
        <f t="shared" si="401"/>
        <v>2.6934683392772523</v>
      </c>
      <c r="F1105" s="298">
        <f t="shared" si="402"/>
        <v>0.37126851851851855</v>
      </c>
      <c r="G1105" s="302">
        <f t="shared" si="403"/>
        <v>29.628151732049776</v>
      </c>
      <c r="H1105" s="243">
        <v>20.251010101010102</v>
      </c>
      <c r="I1105" s="63"/>
      <c r="J1105" s="63"/>
      <c r="K1105" s="63"/>
      <c r="L1105" s="297">
        <v>600</v>
      </c>
      <c r="M1105" s="297">
        <v>660</v>
      </c>
      <c r="N1105" s="285"/>
      <c r="O1105" s="285"/>
      <c r="P1105" s="285"/>
      <c r="Q1105" s="285"/>
      <c r="R1105" s="285"/>
      <c r="S1105" s="285"/>
      <c r="T1105" s="285"/>
      <c r="U1105" s="285"/>
      <c r="V1105" s="285"/>
      <c r="W1105" s="285"/>
    </row>
    <row r="1106" spans="1:23" s="26" customFormat="1" ht="43.5" customHeight="1" x14ac:dyDescent="0.2">
      <c r="A1106" s="305" t="s">
        <v>3427</v>
      </c>
      <c r="B1106" s="120" t="s">
        <v>3499</v>
      </c>
      <c r="C1106" s="299" t="s">
        <v>1</v>
      </c>
      <c r="D1106" s="300">
        <v>1</v>
      </c>
      <c r="E1106" s="301">
        <f t="shared" si="401"/>
        <v>2.2519536052350038</v>
      </c>
      <c r="F1106" s="298">
        <f t="shared" si="402"/>
        <v>0.44405888188608778</v>
      </c>
      <c r="G1106" s="302">
        <f t="shared" si="403"/>
        <v>24.77148965758504</v>
      </c>
      <c r="H1106" s="243">
        <v>24.221393557422971</v>
      </c>
      <c r="I1106" s="63"/>
      <c r="J1106" s="63"/>
      <c r="K1106" s="63"/>
      <c r="L1106" s="297">
        <v>600</v>
      </c>
      <c r="M1106" s="297">
        <v>660</v>
      </c>
      <c r="N1106" s="285"/>
      <c r="O1106" s="285"/>
      <c r="P1106" s="285"/>
      <c r="Q1106" s="285"/>
      <c r="R1106" s="285"/>
      <c r="S1106" s="285"/>
      <c r="T1106" s="285"/>
      <c r="U1106" s="285"/>
      <c r="V1106" s="285"/>
      <c r="W1106" s="285"/>
    </row>
    <row r="1107" spans="1:23" s="26" customFormat="1" ht="43.5" customHeight="1" x14ac:dyDescent="0.2">
      <c r="A1107" s="305" t="s">
        <v>3428</v>
      </c>
      <c r="B1107" s="120" t="s">
        <v>3500</v>
      </c>
      <c r="C1107" s="299" t="s">
        <v>1</v>
      </c>
      <c r="D1107" s="300">
        <v>1</v>
      </c>
      <c r="E1107" s="301">
        <f t="shared" si="401"/>
        <v>1.9645930709343524</v>
      </c>
      <c r="F1107" s="298">
        <f t="shared" si="402"/>
        <v>0.50901126283846865</v>
      </c>
      <c r="G1107" s="302">
        <f t="shared" si="403"/>
        <v>21.610523780277877</v>
      </c>
      <c r="H1107" s="243">
        <v>27.764250700280112</v>
      </c>
      <c r="I1107" s="63"/>
      <c r="J1107" s="63"/>
      <c r="K1107" s="63"/>
      <c r="L1107" s="297">
        <v>600</v>
      </c>
      <c r="M1107" s="297">
        <v>660</v>
      </c>
      <c r="N1107" s="285"/>
      <c r="O1107" s="285"/>
      <c r="P1107" s="285"/>
      <c r="Q1107" s="285"/>
      <c r="R1107" s="285"/>
      <c r="S1107" s="285"/>
      <c r="T1107" s="285"/>
      <c r="U1107" s="285"/>
      <c r="V1107" s="285"/>
      <c r="W1107" s="285"/>
    </row>
    <row r="1108" spans="1:23" s="26" customFormat="1" ht="43.5" customHeight="1" x14ac:dyDescent="0.2">
      <c r="A1108" s="305" t="s">
        <v>3429</v>
      </c>
      <c r="B1108" s="120" t="s">
        <v>3501</v>
      </c>
      <c r="C1108" s="299" t="s">
        <v>1</v>
      </c>
      <c r="D1108" s="300">
        <v>1</v>
      </c>
      <c r="E1108" s="301">
        <f t="shared" si="401"/>
        <v>1.7743187857347502</v>
      </c>
      <c r="F1108" s="298">
        <f t="shared" si="402"/>
        <v>0.56359658029878623</v>
      </c>
      <c r="G1108" s="302">
        <f t="shared" si="403"/>
        <v>19.517506643082253</v>
      </c>
      <c r="H1108" s="243">
        <v>30.741631652661066</v>
      </c>
      <c r="I1108" s="63"/>
      <c r="J1108" s="63"/>
      <c r="K1108" s="63"/>
      <c r="L1108" s="297">
        <v>600</v>
      </c>
      <c r="M1108" s="297">
        <v>660</v>
      </c>
      <c r="N1108" s="285"/>
      <c r="O1108" s="285"/>
      <c r="P1108" s="285"/>
      <c r="Q1108" s="285"/>
      <c r="R1108" s="285"/>
      <c r="S1108" s="285"/>
      <c r="T1108" s="285"/>
      <c r="U1108" s="285"/>
      <c r="V1108" s="285"/>
      <c r="W1108" s="285"/>
    </row>
    <row r="1109" spans="1:23" s="26" customFormat="1" ht="43.5" customHeight="1" x14ac:dyDescent="0.2">
      <c r="A1109" s="305" t="s">
        <v>3430</v>
      </c>
      <c r="B1109" s="120" t="s">
        <v>3502</v>
      </c>
      <c r="C1109" s="299" t="s">
        <v>1</v>
      </c>
      <c r="D1109" s="300">
        <v>1</v>
      </c>
      <c r="E1109" s="301">
        <f t="shared" si="401"/>
        <v>1.9645930709343524</v>
      </c>
      <c r="F1109" s="298">
        <f t="shared" si="402"/>
        <v>0.50901126283846865</v>
      </c>
      <c r="G1109" s="302">
        <f t="shared" si="403"/>
        <v>21.610523780277877</v>
      </c>
      <c r="H1109" s="243">
        <v>27.764250700280112</v>
      </c>
      <c r="I1109" s="63"/>
      <c r="J1109" s="63"/>
      <c r="K1109" s="63"/>
      <c r="L1109" s="297">
        <v>600</v>
      </c>
      <c r="M1109" s="297">
        <v>660</v>
      </c>
      <c r="N1109" s="285"/>
      <c r="O1109" s="285"/>
      <c r="P1109" s="285"/>
      <c r="Q1109" s="285"/>
      <c r="R1109" s="285"/>
      <c r="S1109" s="285"/>
      <c r="T1109" s="285"/>
      <c r="U1109" s="285"/>
      <c r="V1109" s="285"/>
      <c r="W1109" s="285"/>
    </row>
    <row r="1110" spans="1:23" s="26" customFormat="1" ht="43.5" customHeight="1" x14ac:dyDescent="0.2">
      <c r="A1110" s="305" t="s">
        <v>3431</v>
      </c>
      <c r="B1110" s="120" t="s">
        <v>3503</v>
      </c>
      <c r="C1110" s="299" t="s">
        <v>1</v>
      </c>
      <c r="D1110" s="300">
        <v>1</v>
      </c>
      <c r="E1110" s="301">
        <f t="shared" si="401"/>
        <v>1.7743187857347502</v>
      </c>
      <c r="F1110" s="298">
        <f t="shared" si="402"/>
        <v>0.56359658029878623</v>
      </c>
      <c r="G1110" s="302">
        <f t="shared" si="403"/>
        <v>19.517506643082253</v>
      </c>
      <c r="H1110" s="243">
        <v>30.741631652661066</v>
      </c>
      <c r="I1110" s="63"/>
      <c r="J1110" s="63"/>
      <c r="K1110" s="63"/>
      <c r="L1110" s="297">
        <v>600</v>
      </c>
      <c r="M1110" s="297">
        <v>660</v>
      </c>
      <c r="N1110" s="285"/>
      <c r="O1110" s="285"/>
      <c r="P1110" s="285"/>
      <c r="Q1110" s="285"/>
      <c r="R1110" s="285"/>
      <c r="S1110" s="285"/>
      <c r="T1110" s="285"/>
      <c r="U1110" s="285"/>
      <c r="V1110" s="285"/>
      <c r="W1110" s="285"/>
    </row>
    <row r="1111" spans="1:23" s="26" customFormat="1" ht="43.5" customHeight="1" x14ac:dyDescent="0.2">
      <c r="A1111" s="106"/>
      <c r="B1111" s="118" t="s">
        <v>3441</v>
      </c>
      <c r="C1111" s="28"/>
      <c r="D1111" s="300">
        <v>1</v>
      </c>
      <c r="E1111" s="28"/>
      <c r="F1111" s="28"/>
      <c r="G1111" s="28"/>
      <c r="H1111" s="225"/>
      <c r="I1111" s="63"/>
      <c r="J1111" s="63"/>
      <c r="K1111" s="63"/>
      <c r="L1111" s="63"/>
      <c r="M1111" s="63"/>
      <c r="N1111" s="285"/>
      <c r="O1111" s="285"/>
      <c r="P1111" s="285"/>
      <c r="Q1111" s="285"/>
      <c r="R1111" s="285"/>
      <c r="S1111" s="285"/>
      <c r="T1111" s="285"/>
      <c r="U1111" s="285"/>
      <c r="V1111" s="285"/>
      <c r="W1111" s="285"/>
    </row>
    <row r="1112" spans="1:23" s="26" customFormat="1" ht="43.5" customHeight="1" x14ac:dyDescent="0.2">
      <c r="A1112" s="305" t="s">
        <v>3440</v>
      </c>
      <c r="B1112" s="120" t="s">
        <v>3453</v>
      </c>
      <c r="C1112" s="299" t="s">
        <v>1</v>
      </c>
      <c r="D1112" s="300">
        <v>1</v>
      </c>
      <c r="E1112" s="301">
        <f t="shared" ref="E1112:E1137" si="404">G1112/11</f>
        <v>9.6073513191740982</v>
      </c>
      <c r="F1112" s="298">
        <f>11/G1112</f>
        <v>0.10408696078431383</v>
      </c>
      <c r="G1112" s="302">
        <f>L1112/H1112</f>
        <v>105.68086451091507</v>
      </c>
      <c r="H1112" s="243">
        <v>5.6774705882353</v>
      </c>
      <c r="I1112" s="63"/>
      <c r="J1112" s="63"/>
      <c r="K1112" s="63"/>
      <c r="L1112" s="297">
        <v>600</v>
      </c>
      <c r="M1112" s="297">
        <v>660</v>
      </c>
      <c r="N1112" s="285"/>
      <c r="O1112" s="285"/>
      <c r="P1112" s="285"/>
      <c r="Q1112" s="285"/>
      <c r="R1112" s="285"/>
      <c r="S1112" s="285"/>
      <c r="T1112" s="285"/>
      <c r="U1112" s="285"/>
      <c r="V1112" s="285"/>
      <c r="W1112" s="285"/>
    </row>
    <row r="1113" spans="1:23" s="26" customFormat="1" ht="43.5" customHeight="1" x14ac:dyDescent="0.2">
      <c r="A1113" s="305" t="s">
        <v>3471</v>
      </c>
      <c r="B1113" s="120" t="s">
        <v>3454</v>
      </c>
      <c r="C1113" s="299" t="s">
        <v>1</v>
      </c>
      <c r="D1113" s="300">
        <v>1</v>
      </c>
      <c r="E1113" s="301">
        <f t="shared" si="404"/>
        <v>4.7210609555548411</v>
      </c>
      <c r="F1113" s="298">
        <f t="shared" ref="F1113:F1137" si="405">11/G1113</f>
        <v>0.21181679487179494</v>
      </c>
      <c r="G1113" s="302">
        <f t="shared" ref="G1113:G1136" si="406">L1113/H1113</f>
        <v>51.931670511103249</v>
      </c>
      <c r="H1113" s="243">
        <v>11.553643356643361</v>
      </c>
      <c r="I1113" s="63"/>
      <c r="J1113" s="63"/>
      <c r="K1113" s="63"/>
      <c r="L1113" s="297">
        <v>600</v>
      </c>
      <c r="M1113" s="297">
        <v>660</v>
      </c>
      <c r="N1113" s="285"/>
      <c r="O1113" s="285"/>
      <c r="P1113" s="285"/>
      <c r="Q1113" s="285"/>
      <c r="R1113" s="285"/>
      <c r="S1113" s="285"/>
      <c r="T1113" s="285"/>
      <c r="U1113" s="285"/>
      <c r="V1113" s="285"/>
      <c r="W1113" s="285"/>
    </row>
    <row r="1114" spans="1:23" s="26" customFormat="1" ht="43.5" customHeight="1" x14ac:dyDescent="0.2">
      <c r="A1114" s="305" t="s">
        <v>3472</v>
      </c>
      <c r="B1114" s="120" t="s">
        <v>3455</v>
      </c>
      <c r="C1114" s="299" t="s">
        <v>1</v>
      </c>
      <c r="D1114" s="300">
        <v>1</v>
      </c>
      <c r="E1114" s="301">
        <f t="shared" si="404"/>
        <v>9.6073513191740982</v>
      </c>
      <c r="F1114" s="298">
        <f t="shared" si="405"/>
        <v>0.10408696078431383</v>
      </c>
      <c r="G1114" s="302">
        <f t="shared" si="406"/>
        <v>105.68086451091507</v>
      </c>
      <c r="H1114" s="243">
        <v>5.6774705882353</v>
      </c>
      <c r="I1114" s="63"/>
      <c r="J1114" s="63"/>
      <c r="K1114" s="63"/>
      <c r="L1114" s="297">
        <v>600</v>
      </c>
      <c r="M1114" s="297">
        <v>660</v>
      </c>
      <c r="N1114" s="285"/>
      <c r="O1114" s="285"/>
      <c r="P1114" s="285"/>
      <c r="Q1114" s="285"/>
      <c r="R1114" s="285"/>
      <c r="S1114" s="285"/>
      <c r="T1114" s="285"/>
      <c r="U1114" s="285"/>
      <c r="V1114" s="285"/>
      <c r="W1114" s="285"/>
    </row>
    <row r="1115" spans="1:23" s="26" customFormat="1" ht="43.5" customHeight="1" x14ac:dyDescent="0.2">
      <c r="A1115" s="305" t="s">
        <v>3473</v>
      </c>
      <c r="B1115" s="120" t="s">
        <v>3456</v>
      </c>
      <c r="C1115" s="299" t="s">
        <v>1</v>
      </c>
      <c r="D1115" s="300">
        <v>1</v>
      </c>
      <c r="E1115" s="301">
        <f t="shared" si="404"/>
        <v>4.7210609555548411</v>
      </c>
      <c r="F1115" s="298">
        <f t="shared" si="405"/>
        <v>0.21181679487179494</v>
      </c>
      <c r="G1115" s="302">
        <f t="shared" si="406"/>
        <v>51.931670511103249</v>
      </c>
      <c r="H1115" s="243">
        <v>11.553643356643361</v>
      </c>
      <c r="I1115" s="63"/>
      <c r="J1115" s="63"/>
      <c r="K1115" s="63"/>
      <c r="L1115" s="297">
        <v>600</v>
      </c>
      <c r="M1115" s="297">
        <v>660</v>
      </c>
      <c r="N1115" s="285"/>
      <c r="O1115" s="285"/>
      <c r="P1115" s="285"/>
      <c r="Q1115" s="285"/>
      <c r="R1115" s="285"/>
      <c r="S1115" s="285"/>
      <c r="T1115" s="285"/>
      <c r="U1115" s="285"/>
      <c r="V1115" s="285"/>
      <c r="W1115" s="285"/>
    </row>
    <row r="1116" spans="1:23" s="26" customFormat="1" ht="43.5" customHeight="1" x14ac:dyDescent="0.2">
      <c r="A1116" s="305" t="s">
        <v>3474</v>
      </c>
      <c r="B1116" s="120" t="s">
        <v>3457</v>
      </c>
      <c r="C1116" s="299" t="s">
        <v>1</v>
      </c>
      <c r="D1116" s="300">
        <v>1</v>
      </c>
      <c r="E1116" s="301">
        <f t="shared" si="404"/>
        <v>9.6073513191740982</v>
      </c>
      <c r="F1116" s="298">
        <f t="shared" si="405"/>
        <v>0.10408696078431383</v>
      </c>
      <c r="G1116" s="302">
        <f t="shared" si="406"/>
        <v>105.68086451091507</v>
      </c>
      <c r="H1116" s="243">
        <v>5.6774705882353</v>
      </c>
      <c r="I1116" s="63"/>
      <c r="J1116" s="63"/>
      <c r="K1116" s="63"/>
      <c r="L1116" s="297">
        <v>600</v>
      </c>
      <c r="M1116" s="297">
        <v>660</v>
      </c>
      <c r="N1116" s="285"/>
      <c r="O1116" s="285"/>
      <c r="P1116" s="285"/>
      <c r="Q1116" s="285"/>
      <c r="R1116" s="285"/>
      <c r="S1116" s="285"/>
      <c r="T1116" s="285"/>
      <c r="U1116" s="285"/>
      <c r="V1116" s="285"/>
      <c r="W1116" s="285"/>
    </row>
    <row r="1117" spans="1:23" s="26" customFormat="1" ht="43.5" customHeight="1" x14ac:dyDescent="0.2">
      <c r="A1117" s="305" t="s">
        <v>3475</v>
      </c>
      <c r="B1117" s="120" t="s">
        <v>3458</v>
      </c>
      <c r="C1117" s="299" t="s">
        <v>1</v>
      </c>
      <c r="D1117" s="300">
        <v>1</v>
      </c>
      <c r="E1117" s="301">
        <f t="shared" si="404"/>
        <v>4.7210609555548411</v>
      </c>
      <c r="F1117" s="298">
        <f t="shared" si="405"/>
        <v>0.21181679487179494</v>
      </c>
      <c r="G1117" s="302">
        <f t="shared" si="406"/>
        <v>51.931670511103249</v>
      </c>
      <c r="H1117" s="243">
        <v>11.553643356643361</v>
      </c>
      <c r="I1117" s="63"/>
      <c r="J1117" s="63"/>
      <c r="K1117" s="63"/>
      <c r="L1117" s="297">
        <v>600</v>
      </c>
      <c r="M1117" s="297">
        <v>660</v>
      </c>
      <c r="N1117" s="285"/>
      <c r="O1117" s="285"/>
      <c r="P1117" s="285"/>
      <c r="Q1117" s="285"/>
      <c r="R1117" s="285"/>
      <c r="S1117" s="285"/>
      <c r="T1117" s="285"/>
      <c r="U1117" s="285"/>
      <c r="V1117" s="285"/>
      <c r="W1117" s="285"/>
    </row>
    <row r="1118" spans="1:23" s="26" customFormat="1" ht="43.5" customHeight="1" x14ac:dyDescent="0.2">
      <c r="A1118" s="305" t="s">
        <v>3476</v>
      </c>
      <c r="B1118" s="120" t="s">
        <v>3459</v>
      </c>
      <c r="C1118" s="299" t="s">
        <v>1</v>
      </c>
      <c r="D1118" s="300">
        <v>1</v>
      </c>
      <c r="E1118" s="301">
        <f t="shared" si="404"/>
        <v>9.6073513191740982</v>
      </c>
      <c r="F1118" s="298">
        <f t="shared" si="405"/>
        <v>0.10408696078431383</v>
      </c>
      <c r="G1118" s="302">
        <f t="shared" si="406"/>
        <v>105.68086451091507</v>
      </c>
      <c r="H1118" s="243">
        <v>5.6774705882353</v>
      </c>
      <c r="I1118" s="63"/>
      <c r="J1118" s="63"/>
      <c r="K1118" s="63"/>
      <c r="L1118" s="297">
        <v>600</v>
      </c>
      <c r="M1118" s="297">
        <v>660</v>
      </c>
      <c r="N1118" s="285"/>
      <c r="O1118" s="285"/>
      <c r="P1118" s="285"/>
      <c r="Q1118" s="285"/>
      <c r="R1118" s="285"/>
      <c r="S1118" s="285"/>
      <c r="T1118" s="285"/>
      <c r="U1118" s="285"/>
      <c r="V1118" s="285"/>
      <c r="W1118" s="285"/>
    </row>
    <row r="1119" spans="1:23" s="26" customFormat="1" ht="43.5" customHeight="1" x14ac:dyDescent="0.2">
      <c r="A1119" s="305" t="s">
        <v>3477</v>
      </c>
      <c r="B1119" s="120" t="s">
        <v>3460</v>
      </c>
      <c r="C1119" s="299" t="s">
        <v>1</v>
      </c>
      <c r="D1119" s="300">
        <v>1</v>
      </c>
      <c r="E1119" s="301">
        <f t="shared" si="404"/>
        <v>4.7210609555548411</v>
      </c>
      <c r="F1119" s="298">
        <f t="shared" si="405"/>
        <v>0.21181679487179494</v>
      </c>
      <c r="G1119" s="302">
        <f t="shared" si="406"/>
        <v>51.931670511103249</v>
      </c>
      <c r="H1119" s="243">
        <v>11.553643356643361</v>
      </c>
      <c r="I1119" s="63"/>
      <c r="J1119" s="63"/>
      <c r="K1119" s="63"/>
      <c r="L1119" s="297">
        <v>600</v>
      </c>
      <c r="M1119" s="297">
        <v>660</v>
      </c>
      <c r="N1119" s="285"/>
      <c r="O1119" s="285"/>
      <c r="P1119" s="285"/>
      <c r="Q1119" s="285"/>
      <c r="R1119" s="285"/>
      <c r="S1119" s="285"/>
      <c r="T1119" s="285"/>
      <c r="U1119" s="285"/>
      <c r="V1119" s="285"/>
      <c r="W1119" s="285"/>
    </row>
    <row r="1120" spans="1:23" s="26" customFormat="1" ht="43.5" customHeight="1" x14ac:dyDescent="0.2">
      <c r="A1120" s="305" t="s">
        <v>3478</v>
      </c>
      <c r="B1120" s="120" t="s">
        <v>3461</v>
      </c>
      <c r="C1120" s="299" t="s">
        <v>1</v>
      </c>
      <c r="D1120" s="300">
        <v>1</v>
      </c>
      <c r="E1120" s="301">
        <f t="shared" si="404"/>
        <v>9.6073513191740982</v>
      </c>
      <c r="F1120" s="298">
        <f t="shared" si="405"/>
        <v>0.10408696078431383</v>
      </c>
      <c r="G1120" s="302">
        <f t="shared" si="406"/>
        <v>105.68086451091507</v>
      </c>
      <c r="H1120" s="243">
        <v>5.6774705882353</v>
      </c>
      <c r="I1120" s="63"/>
      <c r="J1120" s="63"/>
      <c r="K1120" s="63"/>
      <c r="L1120" s="297">
        <v>600</v>
      </c>
      <c r="M1120" s="297">
        <v>660</v>
      </c>
      <c r="N1120" s="285"/>
      <c r="O1120" s="285"/>
      <c r="P1120" s="285"/>
      <c r="Q1120" s="285"/>
      <c r="R1120" s="285"/>
      <c r="S1120" s="285"/>
      <c r="T1120" s="285"/>
      <c r="U1120" s="285"/>
      <c r="V1120" s="285"/>
      <c r="W1120" s="285"/>
    </row>
    <row r="1121" spans="1:23" s="26" customFormat="1" ht="43.5" customHeight="1" x14ac:dyDescent="0.2">
      <c r="A1121" s="305" t="s">
        <v>3479</v>
      </c>
      <c r="B1121" s="120" t="s">
        <v>3462</v>
      </c>
      <c r="C1121" s="299" t="s">
        <v>1</v>
      </c>
      <c r="D1121" s="300">
        <v>1</v>
      </c>
      <c r="E1121" s="301">
        <f t="shared" si="404"/>
        <v>4.7210609555548411</v>
      </c>
      <c r="F1121" s="298">
        <f t="shared" si="405"/>
        <v>0.21181679487179494</v>
      </c>
      <c r="G1121" s="302">
        <f t="shared" si="406"/>
        <v>51.931670511103249</v>
      </c>
      <c r="H1121" s="243">
        <v>11.553643356643361</v>
      </c>
      <c r="I1121" s="63"/>
      <c r="J1121" s="63"/>
      <c r="K1121" s="63"/>
      <c r="L1121" s="297">
        <v>600</v>
      </c>
      <c r="M1121" s="297">
        <v>660</v>
      </c>
      <c r="N1121" s="285"/>
      <c r="O1121" s="285"/>
      <c r="P1121" s="285"/>
      <c r="Q1121" s="285"/>
      <c r="R1121" s="285"/>
      <c r="S1121" s="285"/>
      <c r="T1121" s="285"/>
      <c r="U1121" s="285"/>
      <c r="V1121" s="285"/>
      <c r="W1121" s="285"/>
    </row>
    <row r="1122" spans="1:23" s="26" customFormat="1" ht="43.5" customHeight="1" x14ac:dyDescent="0.2">
      <c r="A1122" s="305" t="s">
        <v>3480</v>
      </c>
      <c r="B1122" s="120" t="s">
        <v>3463</v>
      </c>
      <c r="C1122" s="299" t="s">
        <v>1</v>
      </c>
      <c r="D1122" s="300">
        <v>1</v>
      </c>
      <c r="E1122" s="301">
        <f t="shared" si="404"/>
        <v>9.6073513191740982</v>
      </c>
      <c r="F1122" s="298">
        <f t="shared" si="405"/>
        <v>0.10408696078431383</v>
      </c>
      <c r="G1122" s="302">
        <f t="shared" si="406"/>
        <v>105.68086451091507</v>
      </c>
      <c r="H1122" s="243">
        <v>5.6774705882353</v>
      </c>
      <c r="I1122" s="63"/>
      <c r="J1122" s="63"/>
      <c r="K1122" s="63"/>
      <c r="L1122" s="297">
        <v>600</v>
      </c>
      <c r="M1122" s="297">
        <v>660</v>
      </c>
      <c r="N1122" s="285"/>
      <c r="O1122" s="285"/>
      <c r="P1122" s="285"/>
      <c r="Q1122" s="285"/>
      <c r="R1122" s="285"/>
      <c r="S1122" s="285"/>
      <c r="T1122" s="285"/>
      <c r="U1122" s="285"/>
      <c r="V1122" s="285"/>
      <c r="W1122" s="285"/>
    </row>
    <row r="1123" spans="1:23" s="26" customFormat="1" ht="43.5" customHeight="1" x14ac:dyDescent="0.2">
      <c r="A1123" s="305" t="s">
        <v>3481</v>
      </c>
      <c r="B1123" s="120" t="s">
        <v>3464</v>
      </c>
      <c r="C1123" s="299" t="s">
        <v>1</v>
      </c>
      <c r="D1123" s="300">
        <v>1</v>
      </c>
      <c r="E1123" s="301">
        <f t="shared" si="404"/>
        <v>4.7210609555548411</v>
      </c>
      <c r="F1123" s="298">
        <f t="shared" si="405"/>
        <v>0.21181679487179494</v>
      </c>
      <c r="G1123" s="302">
        <f t="shared" si="406"/>
        <v>51.931670511103249</v>
      </c>
      <c r="H1123" s="243">
        <v>11.553643356643361</v>
      </c>
      <c r="I1123" s="63"/>
      <c r="J1123" s="63"/>
      <c r="K1123" s="63"/>
      <c r="L1123" s="297">
        <v>600</v>
      </c>
      <c r="M1123" s="297">
        <v>660</v>
      </c>
      <c r="N1123" s="285"/>
      <c r="O1123" s="285"/>
      <c r="P1123" s="285"/>
      <c r="Q1123" s="285"/>
      <c r="R1123" s="285"/>
      <c r="S1123" s="285"/>
      <c r="T1123" s="285"/>
      <c r="U1123" s="285"/>
      <c r="V1123" s="285"/>
      <c r="W1123" s="285"/>
    </row>
    <row r="1124" spans="1:23" s="26" customFormat="1" ht="43.5" customHeight="1" x14ac:dyDescent="0.2">
      <c r="A1124" s="305" t="s">
        <v>3482</v>
      </c>
      <c r="B1124" s="120" t="s">
        <v>3465</v>
      </c>
      <c r="C1124" s="299" t="s">
        <v>1</v>
      </c>
      <c r="D1124" s="300">
        <v>1</v>
      </c>
      <c r="E1124" s="301">
        <f t="shared" si="404"/>
        <v>8.2479895525465636</v>
      </c>
      <c r="F1124" s="298">
        <f t="shared" si="405"/>
        <v>0.12124166666666671</v>
      </c>
      <c r="G1124" s="302">
        <f t="shared" si="406"/>
        <v>90.727885078012207</v>
      </c>
      <c r="H1124" s="243">
        <v>6.61318181818182</v>
      </c>
      <c r="I1124" s="63"/>
      <c r="J1124" s="63"/>
      <c r="K1124" s="63"/>
      <c r="L1124" s="297">
        <v>600</v>
      </c>
      <c r="M1124" s="297">
        <v>660</v>
      </c>
      <c r="N1124" s="285"/>
      <c r="O1124" s="285"/>
      <c r="P1124" s="285"/>
      <c r="Q1124" s="285"/>
      <c r="R1124" s="285"/>
      <c r="S1124" s="285"/>
      <c r="T1124" s="285"/>
      <c r="U1124" s="285"/>
      <c r="V1124" s="285"/>
      <c r="W1124" s="285"/>
    </row>
    <row r="1125" spans="1:23" s="26" customFormat="1" ht="43.5" customHeight="1" x14ac:dyDescent="0.2">
      <c r="A1125" s="305" t="s">
        <v>3483</v>
      </c>
      <c r="B1125" s="120" t="s">
        <v>3466</v>
      </c>
      <c r="C1125" s="299" t="s">
        <v>1</v>
      </c>
      <c r="D1125" s="300">
        <v>1</v>
      </c>
      <c r="E1125" s="301">
        <f t="shared" si="404"/>
        <v>4.3106739351965127</v>
      </c>
      <c r="F1125" s="298">
        <f t="shared" si="405"/>
        <v>0.23198228746438754</v>
      </c>
      <c r="G1125" s="302">
        <f t="shared" si="406"/>
        <v>47.417413287161637</v>
      </c>
      <c r="H1125" s="243">
        <v>12.65357931623932</v>
      </c>
      <c r="I1125" s="63"/>
      <c r="J1125" s="63"/>
      <c r="K1125" s="63"/>
      <c r="L1125" s="297">
        <v>600</v>
      </c>
      <c r="M1125" s="297">
        <v>660</v>
      </c>
      <c r="N1125" s="285"/>
      <c r="O1125" s="285"/>
      <c r="P1125" s="285"/>
      <c r="Q1125" s="285"/>
      <c r="R1125" s="285"/>
      <c r="S1125" s="285"/>
      <c r="T1125" s="285"/>
      <c r="U1125" s="285"/>
      <c r="V1125" s="285"/>
      <c r="W1125" s="285"/>
    </row>
    <row r="1126" spans="1:23" s="26" customFormat="1" ht="43.5" customHeight="1" x14ac:dyDescent="0.2">
      <c r="A1126" s="305" t="s">
        <v>3484</v>
      </c>
      <c r="B1126" s="120" t="s">
        <v>3467</v>
      </c>
      <c r="C1126" s="299" t="s">
        <v>1</v>
      </c>
      <c r="D1126" s="300">
        <v>1</v>
      </c>
      <c r="E1126" s="301">
        <f t="shared" si="404"/>
        <v>8.2479895525465636</v>
      </c>
      <c r="F1126" s="298">
        <f t="shared" si="405"/>
        <v>0.12124166666666671</v>
      </c>
      <c r="G1126" s="302">
        <f t="shared" si="406"/>
        <v>90.727885078012207</v>
      </c>
      <c r="H1126" s="243">
        <v>6.61318181818182</v>
      </c>
      <c r="I1126" s="63"/>
      <c r="J1126" s="63"/>
      <c r="K1126" s="63"/>
      <c r="L1126" s="297">
        <v>600</v>
      </c>
      <c r="M1126" s="297">
        <v>660</v>
      </c>
      <c r="N1126" s="285"/>
      <c r="O1126" s="285"/>
      <c r="P1126" s="285"/>
      <c r="Q1126" s="285"/>
      <c r="R1126" s="285"/>
      <c r="S1126" s="285"/>
      <c r="T1126" s="285"/>
      <c r="U1126" s="285"/>
      <c r="V1126" s="285"/>
      <c r="W1126" s="285"/>
    </row>
    <row r="1127" spans="1:23" s="26" customFormat="1" ht="43.5" customHeight="1" x14ac:dyDescent="0.2">
      <c r="A1127" s="305" t="s">
        <v>3485</v>
      </c>
      <c r="B1127" s="120" t="s">
        <v>3468</v>
      </c>
      <c r="C1127" s="299" t="s">
        <v>1</v>
      </c>
      <c r="D1127" s="300">
        <v>1</v>
      </c>
      <c r="E1127" s="301">
        <f t="shared" si="404"/>
        <v>4.3106739351965127</v>
      </c>
      <c r="F1127" s="298">
        <f t="shared" si="405"/>
        <v>0.23198228746438754</v>
      </c>
      <c r="G1127" s="302">
        <f t="shared" si="406"/>
        <v>47.417413287161637</v>
      </c>
      <c r="H1127" s="243">
        <v>12.65357931623932</v>
      </c>
      <c r="I1127" s="63"/>
      <c r="J1127" s="63"/>
      <c r="K1127" s="63"/>
      <c r="L1127" s="297">
        <v>600</v>
      </c>
      <c r="M1127" s="297">
        <v>660</v>
      </c>
      <c r="N1127" s="285"/>
      <c r="O1127" s="285"/>
      <c r="P1127" s="285"/>
      <c r="Q1127" s="285"/>
      <c r="R1127" s="285"/>
      <c r="S1127" s="285"/>
      <c r="T1127" s="285"/>
      <c r="U1127" s="285"/>
      <c r="V1127" s="285"/>
      <c r="W1127" s="285"/>
    </row>
    <row r="1128" spans="1:23" s="26" customFormat="1" ht="43.5" customHeight="1" x14ac:dyDescent="0.2">
      <c r="A1128" s="305" t="s">
        <v>3486</v>
      </c>
      <c r="B1128" s="120" t="s">
        <v>3469</v>
      </c>
      <c r="C1128" s="299" t="s">
        <v>1</v>
      </c>
      <c r="D1128" s="300">
        <v>1</v>
      </c>
      <c r="E1128" s="301">
        <f t="shared" si="404"/>
        <v>7.0717777320353044</v>
      </c>
      <c r="F1128" s="298">
        <f t="shared" si="405"/>
        <v>0.14140715925925931</v>
      </c>
      <c r="G1128" s="302">
        <f t="shared" si="406"/>
        <v>77.789555052388351</v>
      </c>
      <c r="H1128" s="243">
        <v>7.7131177777777804</v>
      </c>
      <c r="I1128" s="63"/>
      <c r="J1128" s="63"/>
      <c r="K1128" s="63"/>
      <c r="L1128" s="297">
        <v>600</v>
      </c>
      <c r="M1128" s="297">
        <v>660</v>
      </c>
      <c r="N1128" s="285"/>
      <c r="O1128" s="285"/>
      <c r="P1128" s="285"/>
      <c r="Q1128" s="285"/>
      <c r="R1128" s="285"/>
      <c r="S1128" s="285"/>
      <c r="T1128" s="285"/>
      <c r="U1128" s="285"/>
      <c r="V1128" s="285"/>
      <c r="W1128" s="285"/>
    </row>
    <row r="1129" spans="1:23" s="26" customFormat="1" ht="43.5" customHeight="1" x14ac:dyDescent="0.2">
      <c r="A1129" s="305" t="s">
        <v>3487</v>
      </c>
      <c r="B1129" s="120" t="s">
        <v>3470</v>
      </c>
      <c r="C1129" s="299" t="s">
        <v>1</v>
      </c>
      <c r="D1129" s="300">
        <v>1</v>
      </c>
      <c r="E1129" s="301">
        <f t="shared" si="404"/>
        <v>3.3699751263740665</v>
      </c>
      <c r="F1129" s="298">
        <f t="shared" si="405"/>
        <v>0.2967380952380953</v>
      </c>
      <c r="G1129" s="302">
        <f t="shared" si="406"/>
        <v>37.069726390114731</v>
      </c>
      <c r="H1129" s="243">
        <v>16.18571428571429</v>
      </c>
      <c r="I1129" s="63"/>
      <c r="J1129" s="63"/>
      <c r="K1129" s="63"/>
      <c r="L1129" s="297">
        <v>600</v>
      </c>
      <c r="M1129" s="297">
        <v>660</v>
      </c>
      <c r="N1129" s="285"/>
      <c r="O1129" s="285"/>
      <c r="P1129" s="285"/>
      <c r="Q1129" s="285"/>
      <c r="R1129" s="285"/>
      <c r="S1129" s="285"/>
      <c r="T1129" s="285"/>
      <c r="U1129" s="285"/>
      <c r="V1129" s="285"/>
      <c r="W1129" s="285"/>
    </row>
    <row r="1130" spans="1:23" s="26" customFormat="1" ht="43.5" customHeight="1" x14ac:dyDescent="0.2">
      <c r="A1130" s="305" t="s">
        <v>3488</v>
      </c>
      <c r="B1130" s="120" t="s">
        <v>3504</v>
      </c>
      <c r="C1130" s="299" t="s">
        <v>1</v>
      </c>
      <c r="D1130" s="300">
        <v>1</v>
      </c>
      <c r="E1130" s="301">
        <f t="shared" si="404"/>
        <v>3.3699751263740665</v>
      </c>
      <c r="F1130" s="298">
        <f t="shared" si="405"/>
        <v>0.2967380952380953</v>
      </c>
      <c r="G1130" s="302">
        <f t="shared" si="406"/>
        <v>37.069726390114731</v>
      </c>
      <c r="H1130" s="243">
        <v>16.18571428571429</v>
      </c>
      <c r="I1130" s="63"/>
      <c r="J1130" s="63"/>
      <c r="K1130" s="63"/>
      <c r="L1130" s="297">
        <v>600</v>
      </c>
      <c r="M1130" s="297">
        <v>660</v>
      </c>
      <c r="N1130" s="285"/>
      <c r="O1130" s="285"/>
      <c r="P1130" s="285"/>
      <c r="Q1130" s="285"/>
      <c r="R1130" s="285"/>
      <c r="S1130" s="285"/>
      <c r="T1130" s="285"/>
      <c r="U1130" s="285"/>
      <c r="V1130" s="285"/>
      <c r="W1130" s="285"/>
    </row>
    <row r="1131" spans="1:23" s="26" customFormat="1" ht="43.5" customHeight="1" x14ac:dyDescent="0.2">
      <c r="A1131" s="305" t="s">
        <v>3489</v>
      </c>
      <c r="B1131" s="120" t="s">
        <v>3505</v>
      </c>
      <c r="C1131" s="299" t="s">
        <v>1</v>
      </c>
      <c r="D1131" s="300">
        <v>1</v>
      </c>
      <c r="E1131" s="301">
        <f t="shared" si="404"/>
        <v>2.797373577030454</v>
      </c>
      <c r="F1131" s="298">
        <f t="shared" si="405"/>
        <v>0.35747817460317466</v>
      </c>
      <c r="G1131" s="302">
        <f t="shared" si="406"/>
        <v>30.771109347334995</v>
      </c>
      <c r="H1131" s="243">
        <v>19.498809523809527</v>
      </c>
      <c r="I1131" s="63"/>
      <c r="J1131" s="63"/>
      <c r="K1131" s="63"/>
      <c r="L1131" s="297">
        <v>600</v>
      </c>
      <c r="M1131" s="297">
        <v>660</v>
      </c>
      <c r="N1131" s="285"/>
      <c r="O1131" s="285"/>
      <c r="P1131" s="285"/>
      <c r="Q1131" s="285"/>
      <c r="R1131" s="285"/>
      <c r="S1131" s="285"/>
      <c r="T1131" s="285"/>
      <c r="U1131" s="285"/>
      <c r="V1131" s="285"/>
      <c r="W1131" s="285"/>
    </row>
    <row r="1132" spans="1:23" s="26" customFormat="1" ht="43.5" customHeight="1" x14ac:dyDescent="0.2">
      <c r="A1132" s="305" t="s">
        <v>3490</v>
      </c>
      <c r="B1132" s="120" t="s">
        <v>3507</v>
      </c>
      <c r="C1132" s="299" t="s">
        <v>1</v>
      </c>
      <c r="D1132" s="300">
        <v>1</v>
      </c>
      <c r="E1132" s="301">
        <f t="shared" si="404"/>
        <v>2.4836150396688512</v>
      </c>
      <c r="F1132" s="298">
        <f t="shared" si="405"/>
        <v>0.40263888888888888</v>
      </c>
      <c r="G1132" s="302">
        <f t="shared" si="406"/>
        <v>27.319765436357365</v>
      </c>
      <c r="H1132" s="243">
        <v>21.962121212121211</v>
      </c>
      <c r="I1132" s="63"/>
      <c r="J1132" s="63"/>
      <c r="K1132" s="63"/>
      <c r="L1132" s="297">
        <v>600</v>
      </c>
      <c r="M1132" s="297">
        <v>660</v>
      </c>
      <c r="N1132" s="285"/>
      <c r="O1132" s="285"/>
      <c r="P1132" s="285"/>
      <c r="Q1132" s="285"/>
      <c r="R1132" s="285"/>
      <c r="S1132" s="285"/>
      <c r="T1132" s="285"/>
      <c r="U1132" s="285"/>
      <c r="V1132" s="285"/>
      <c r="W1132" s="285"/>
    </row>
    <row r="1133" spans="1:23" s="26" customFormat="1" ht="43.5" customHeight="1" x14ac:dyDescent="0.2">
      <c r="A1133" s="305" t="s">
        <v>3491</v>
      </c>
      <c r="B1133" s="120" t="s">
        <v>3506</v>
      </c>
      <c r="C1133" s="299" t="s">
        <v>1</v>
      </c>
      <c r="D1133" s="300">
        <v>1</v>
      </c>
      <c r="E1133" s="301">
        <f t="shared" si="404"/>
        <v>2.0865555249520917</v>
      </c>
      <c r="F1133" s="298">
        <f t="shared" si="405"/>
        <v>0.47925875350140057</v>
      </c>
      <c r="G1133" s="302">
        <f t="shared" si="406"/>
        <v>22.95211077447301</v>
      </c>
      <c r="H1133" s="243">
        <v>26.14138655462185</v>
      </c>
      <c r="I1133" s="63"/>
      <c r="J1133" s="63"/>
      <c r="K1133" s="63"/>
      <c r="L1133" s="297">
        <v>600</v>
      </c>
      <c r="M1133" s="297">
        <v>660</v>
      </c>
      <c r="N1133" s="285"/>
      <c r="O1133" s="285"/>
      <c r="P1133" s="285"/>
      <c r="Q1133" s="285"/>
      <c r="R1133" s="285"/>
      <c r="S1133" s="285"/>
      <c r="T1133" s="285"/>
      <c r="U1133" s="285"/>
      <c r="V1133" s="285"/>
      <c r="W1133" s="285"/>
    </row>
    <row r="1134" spans="1:23" s="26" customFormat="1" ht="43.5" customHeight="1" x14ac:dyDescent="0.2">
      <c r="A1134" s="305" t="s">
        <v>3492</v>
      </c>
      <c r="B1134" s="120" t="s">
        <v>3508</v>
      </c>
      <c r="C1134" s="299" t="s">
        <v>1</v>
      </c>
      <c r="D1134" s="300">
        <v>1</v>
      </c>
      <c r="E1134" s="301">
        <f t="shared" si="404"/>
        <v>1.8375221245770512</v>
      </c>
      <c r="F1134" s="298">
        <f t="shared" si="405"/>
        <v>0.54421113445378155</v>
      </c>
      <c r="G1134" s="302">
        <f t="shared" si="406"/>
        <v>20.212743370347564</v>
      </c>
      <c r="H1134" s="243">
        <v>29.684243697478994</v>
      </c>
      <c r="I1134" s="63"/>
      <c r="J1134" s="63"/>
      <c r="K1134" s="63"/>
      <c r="L1134" s="297">
        <v>600</v>
      </c>
      <c r="M1134" s="297">
        <v>660</v>
      </c>
      <c r="N1134" s="285"/>
      <c r="O1134" s="285"/>
      <c r="P1134" s="285"/>
      <c r="Q1134" s="285"/>
      <c r="R1134" s="285"/>
      <c r="S1134" s="285"/>
      <c r="T1134" s="285"/>
      <c r="U1134" s="285"/>
      <c r="V1134" s="285"/>
      <c r="W1134" s="285"/>
    </row>
    <row r="1135" spans="1:23" s="26" customFormat="1" ht="43.5" customHeight="1" x14ac:dyDescent="0.2">
      <c r="A1135" s="305" t="s">
        <v>3493</v>
      </c>
      <c r="B1135" s="120" t="s">
        <v>3510</v>
      </c>
      <c r="C1135" s="299" t="s">
        <v>1</v>
      </c>
      <c r="D1135" s="300">
        <v>1</v>
      </c>
      <c r="E1135" s="301">
        <f t="shared" si="404"/>
        <v>1.6700165754212855</v>
      </c>
      <c r="F1135" s="298">
        <f t="shared" si="405"/>
        <v>0.59879645191409892</v>
      </c>
      <c r="G1135" s="302">
        <f t="shared" si="406"/>
        <v>18.37018232963414</v>
      </c>
      <c r="H1135" s="243">
        <v>32.661624649859945</v>
      </c>
      <c r="I1135" s="63"/>
      <c r="J1135" s="63"/>
      <c r="K1135" s="63"/>
      <c r="L1135" s="297">
        <v>600</v>
      </c>
      <c r="M1135" s="297">
        <v>660</v>
      </c>
      <c r="N1135" s="285"/>
      <c r="O1135" s="285"/>
      <c r="P1135" s="285"/>
      <c r="Q1135" s="285"/>
      <c r="R1135" s="285"/>
      <c r="S1135" s="285"/>
      <c r="T1135" s="285"/>
      <c r="U1135" s="285"/>
      <c r="V1135" s="285"/>
      <c r="W1135" s="285"/>
    </row>
    <row r="1136" spans="1:23" s="26" customFormat="1" ht="43.5" customHeight="1" x14ac:dyDescent="0.2">
      <c r="A1136" s="305" t="s">
        <v>3494</v>
      </c>
      <c r="B1136" s="120" t="s">
        <v>3509</v>
      </c>
      <c r="C1136" s="299" t="s">
        <v>1</v>
      </c>
      <c r="D1136" s="300">
        <v>1</v>
      </c>
      <c r="E1136" s="301">
        <f t="shared" si="404"/>
        <v>1.8375221245770512</v>
      </c>
      <c r="F1136" s="298">
        <f t="shared" si="405"/>
        <v>0.54421113445378155</v>
      </c>
      <c r="G1136" s="302">
        <f t="shared" si="406"/>
        <v>20.212743370347564</v>
      </c>
      <c r="H1136" s="243">
        <v>29.684243697478994</v>
      </c>
      <c r="I1136" s="63"/>
      <c r="J1136" s="63"/>
      <c r="K1136" s="63"/>
      <c r="L1136" s="297">
        <v>600</v>
      </c>
      <c r="M1136" s="297">
        <v>660</v>
      </c>
      <c r="N1136" s="285"/>
      <c r="O1136" s="285"/>
      <c r="P1136" s="285"/>
      <c r="Q1136" s="285"/>
      <c r="R1136" s="285"/>
      <c r="S1136" s="285"/>
      <c r="T1136" s="285"/>
      <c r="U1136" s="285"/>
      <c r="V1136" s="285"/>
      <c r="W1136" s="285"/>
    </row>
    <row r="1137" spans="1:23" s="26" customFormat="1" ht="43.5" customHeight="1" x14ac:dyDescent="0.2">
      <c r="A1137" s="305" t="s">
        <v>3495</v>
      </c>
      <c r="B1137" s="120" t="s">
        <v>3511</v>
      </c>
      <c r="C1137" s="299" t="s">
        <v>1</v>
      </c>
      <c r="D1137" s="300">
        <v>1</v>
      </c>
      <c r="E1137" s="301">
        <f t="shared" si="404"/>
        <v>1.6700165754212855</v>
      </c>
      <c r="F1137" s="298">
        <f t="shared" si="405"/>
        <v>0.59879645191409892</v>
      </c>
      <c r="G1137" s="302">
        <f>L1137/H1137</f>
        <v>18.37018232963414</v>
      </c>
      <c r="H1137" s="243">
        <v>32.661624649859945</v>
      </c>
      <c r="I1137" s="71"/>
      <c r="J1137" s="298"/>
      <c r="K1137" s="302"/>
      <c r="L1137" s="297">
        <v>600</v>
      </c>
      <c r="M1137" s="297">
        <v>660</v>
      </c>
      <c r="N1137" s="285"/>
      <c r="O1137" s="285"/>
      <c r="P1137" s="285"/>
      <c r="Q1137" s="285"/>
      <c r="R1137" s="285"/>
      <c r="S1137" s="285"/>
      <c r="T1137" s="285"/>
      <c r="U1137" s="285"/>
      <c r="V1137" s="285"/>
      <c r="W1137" s="285"/>
    </row>
    <row r="1138" spans="1:23" s="26" customFormat="1" ht="33" customHeight="1" x14ac:dyDescent="0.2">
      <c r="A1138" s="106"/>
      <c r="B1138" s="184" t="s">
        <v>640</v>
      </c>
      <c r="C1138" s="35"/>
      <c r="D1138" s="300">
        <v>1</v>
      </c>
      <c r="E1138" s="35"/>
      <c r="F1138" s="35"/>
      <c r="G1138" s="35"/>
      <c r="H1138" s="239"/>
      <c r="I1138" s="64"/>
      <c r="J1138" s="64"/>
      <c r="K1138" s="64"/>
      <c r="L1138" s="64"/>
      <c r="M1138" s="64"/>
      <c r="N1138" s="285"/>
      <c r="O1138" s="285"/>
      <c r="P1138" s="285"/>
      <c r="Q1138" s="285"/>
      <c r="R1138" s="285"/>
      <c r="S1138" s="285"/>
      <c r="T1138" s="285"/>
      <c r="U1138" s="285"/>
      <c r="V1138" s="285"/>
      <c r="W1138" s="285"/>
    </row>
    <row r="1139" spans="1:23" s="26" customFormat="1" ht="33" customHeight="1" x14ac:dyDescent="0.2">
      <c r="A1139" s="106"/>
      <c r="B1139" s="142" t="s">
        <v>652</v>
      </c>
      <c r="C1139" s="38"/>
      <c r="D1139" s="300">
        <v>1</v>
      </c>
      <c r="E1139" s="38"/>
      <c r="F1139" s="38"/>
      <c r="G1139" s="38"/>
      <c r="H1139" s="224"/>
      <c r="I1139" s="64"/>
      <c r="J1139" s="64"/>
      <c r="K1139" s="64"/>
      <c r="L1139" s="64"/>
      <c r="M1139" s="64"/>
      <c r="N1139" s="285"/>
      <c r="O1139" s="285"/>
      <c r="P1139" s="285"/>
      <c r="Q1139" s="285"/>
      <c r="R1139" s="285"/>
      <c r="S1139" s="285"/>
      <c r="T1139" s="285"/>
      <c r="U1139" s="285"/>
      <c r="V1139" s="285"/>
      <c r="W1139" s="285"/>
    </row>
    <row r="1140" spans="1:23" s="26" customFormat="1" ht="33" customHeight="1" x14ac:dyDescent="0.2">
      <c r="A1140" s="204" t="s">
        <v>2973</v>
      </c>
      <c r="B1140" s="115" t="s">
        <v>2957</v>
      </c>
      <c r="C1140" s="60" t="s">
        <v>1</v>
      </c>
      <c r="D1140" s="300">
        <v>1</v>
      </c>
      <c r="E1140" s="51">
        <f t="shared" ref="E1140:E1155" si="407">G1140/11</f>
        <v>0.77922077922077915</v>
      </c>
      <c r="F1140" s="23">
        <f>J1140</f>
        <v>1.2833333333333334</v>
      </c>
      <c r="G1140" s="65">
        <f>K1140</f>
        <v>8.5714285714285712</v>
      </c>
      <c r="H1140" s="77">
        <v>70</v>
      </c>
      <c r="I1140" s="71">
        <f t="shared" ref="I1140:I1155" si="408">M1140/L1140</f>
        <v>1.1000000000000001</v>
      </c>
      <c r="J1140" s="23">
        <f>11/K1140</f>
        <v>1.2833333333333334</v>
      </c>
      <c r="K1140" s="65">
        <f>M1140/(H1140*I1140)</f>
        <v>8.5714285714285712</v>
      </c>
      <c r="L1140" s="21">
        <v>600</v>
      </c>
      <c r="M1140" s="21">
        <v>660</v>
      </c>
      <c r="N1140" s="285"/>
      <c r="O1140" s="285"/>
      <c r="P1140" s="285"/>
      <c r="Q1140" s="285"/>
      <c r="R1140" s="285"/>
      <c r="S1140" s="285"/>
      <c r="T1140" s="285"/>
      <c r="U1140" s="285"/>
      <c r="V1140" s="285"/>
      <c r="W1140" s="285"/>
    </row>
    <row r="1141" spans="1:23" s="26" customFormat="1" ht="30" customHeight="1" x14ac:dyDescent="0.2">
      <c r="A1141" s="204" t="s">
        <v>2974</v>
      </c>
      <c r="B1141" s="115" t="s">
        <v>2958</v>
      </c>
      <c r="C1141" s="60" t="s">
        <v>1</v>
      </c>
      <c r="D1141" s="300">
        <v>1</v>
      </c>
      <c r="E1141" s="51">
        <f t="shared" si="407"/>
        <v>0.69930069930069927</v>
      </c>
      <c r="F1141" s="23">
        <f t="shared" ref="F1141:G1141" si="409">J1141</f>
        <v>1.4300000000000002</v>
      </c>
      <c r="G1141" s="65">
        <f t="shared" si="409"/>
        <v>7.6923076923076916</v>
      </c>
      <c r="H1141" s="77">
        <v>78</v>
      </c>
      <c r="I1141" s="71">
        <f t="shared" si="408"/>
        <v>1.1000000000000001</v>
      </c>
      <c r="J1141" s="23">
        <f t="shared" ref="J1141:J1155" si="410">11/K1141</f>
        <v>1.4300000000000002</v>
      </c>
      <c r="K1141" s="65">
        <f t="shared" ref="K1141:K1155" si="411">M1141/(H1141*I1141)</f>
        <v>7.6923076923076916</v>
      </c>
      <c r="L1141" s="21">
        <v>600</v>
      </c>
      <c r="M1141" s="21">
        <v>660</v>
      </c>
      <c r="N1141" s="285"/>
      <c r="O1141" s="285"/>
      <c r="P1141" s="285"/>
      <c r="Q1141" s="285"/>
      <c r="R1141" s="285"/>
      <c r="S1141" s="285"/>
      <c r="T1141" s="285"/>
      <c r="U1141" s="285"/>
      <c r="V1141" s="285"/>
      <c r="W1141" s="285"/>
    </row>
    <row r="1142" spans="1:23" s="26" customFormat="1" ht="30" customHeight="1" x14ac:dyDescent="0.2">
      <c r="A1142" s="204" t="s">
        <v>2975</v>
      </c>
      <c r="B1142" s="115" t="s">
        <v>2960</v>
      </c>
      <c r="C1142" s="60" t="s">
        <v>1</v>
      </c>
      <c r="D1142" s="300">
        <v>1</v>
      </c>
      <c r="E1142" s="51">
        <f t="shared" si="407"/>
        <v>0.61983471074380159</v>
      </c>
      <c r="F1142" s="23">
        <f>J1142</f>
        <v>1.6133333333333335</v>
      </c>
      <c r="G1142" s="65">
        <f>K1142</f>
        <v>6.8181818181818175</v>
      </c>
      <c r="H1142" s="77">
        <v>88</v>
      </c>
      <c r="I1142" s="71">
        <f t="shared" si="408"/>
        <v>1.1000000000000001</v>
      </c>
      <c r="J1142" s="23">
        <f t="shared" si="410"/>
        <v>1.6133333333333335</v>
      </c>
      <c r="K1142" s="65">
        <f t="shared" si="411"/>
        <v>6.8181818181818175</v>
      </c>
      <c r="L1142" s="21">
        <v>600</v>
      </c>
      <c r="M1142" s="21">
        <v>660</v>
      </c>
      <c r="N1142" s="285"/>
      <c r="O1142" s="285"/>
      <c r="P1142" s="285"/>
      <c r="Q1142" s="285"/>
      <c r="R1142" s="285"/>
      <c r="S1142" s="285"/>
      <c r="T1142" s="285"/>
      <c r="U1142" s="285"/>
      <c r="V1142" s="285"/>
      <c r="W1142" s="285"/>
    </row>
    <row r="1143" spans="1:23" s="26" customFormat="1" ht="30" customHeight="1" x14ac:dyDescent="0.2">
      <c r="A1143" s="204" t="s">
        <v>2976</v>
      </c>
      <c r="B1143" s="115" t="s">
        <v>2959</v>
      </c>
      <c r="C1143" s="60" t="s">
        <v>1</v>
      </c>
      <c r="D1143" s="300">
        <v>1</v>
      </c>
      <c r="E1143" s="51">
        <f t="shared" si="407"/>
        <v>0.54545454545454541</v>
      </c>
      <c r="F1143" s="23">
        <f t="shared" ref="F1143:F1149" si="412">J1143</f>
        <v>1.8333333333333337</v>
      </c>
      <c r="G1143" s="65">
        <f t="shared" ref="G1143:G1149" si="413">K1143</f>
        <v>5.9999999999999991</v>
      </c>
      <c r="H1143" s="77">
        <v>100</v>
      </c>
      <c r="I1143" s="71">
        <f t="shared" si="408"/>
        <v>1.1000000000000001</v>
      </c>
      <c r="J1143" s="23">
        <f t="shared" si="410"/>
        <v>1.8333333333333337</v>
      </c>
      <c r="K1143" s="65">
        <f t="shared" si="411"/>
        <v>5.9999999999999991</v>
      </c>
      <c r="L1143" s="21">
        <v>600</v>
      </c>
      <c r="M1143" s="21">
        <v>660</v>
      </c>
      <c r="N1143" s="285"/>
      <c r="O1143" s="285"/>
      <c r="P1143" s="285"/>
      <c r="Q1143" s="285"/>
      <c r="R1143" s="285"/>
      <c r="S1143" s="285"/>
      <c r="T1143" s="285"/>
      <c r="U1143" s="285"/>
      <c r="V1143" s="285"/>
      <c r="W1143" s="285"/>
    </row>
    <row r="1144" spans="1:23" s="26" customFormat="1" ht="30" customHeight="1" x14ac:dyDescent="0.2">
      <c r="A1144" s="204" t="s">
        <v>2977</v>
      </c>
      <c r="B1144" s="115" t="s">
        <v>2961</v>
      </c>
      <c r="C1144" s="60" t="s">
        <v>1</v>
      </c>
      <c r="D1144" s="300">
        <v>1</v>
      </c>
      <c r="E1144" s="51">
        <f t="shared" si="407"/>
        <v>0.36363636363636365</v>
      </c>
      <c r="F1144" s="23">
        <f t="shared" si="412"/>
        <v>2.75</v>
      </c>
      <c r="G1144" s="65">
        <f t="shared" si="413"/>
        <v>4</v>
      </c>
      <c r="H1144" s="77">
        <v>150</v>
      </c>
      <c r="I1144" s="71">
        <f t="shared" si="408"/>
        <v>1.1000000000000001</v>
      </c>
      <c r="J1144" s="23">
        <f t="shared" si="410"/>
        <v>2.75</v>
      </c>
      <c r="K1144" s="65">
        <f t="shared" si="411"/>
        <v>4</v>
      </c>
      <c r="L1144" s="21">
        <v>600</v>
      </c>
      <c r="M1144" s="21">
        <v>660</v>
      </c>
      <c r="N1144" s="285"/>
      <c r="O1144" s="285"/>
      <c r="P1144" s="285"/>
      <c r="Q1144" s="285"/>
      <c r="R1144" s="285"/>
      <c r="S1144" s="285"/>
      <c r="T1144" s="285"/>
      <c r="U1144" s="285"/>
      <c r="V1144" s="285"/>
      <c r="W1144" s="285"/>
    </row>
    <row r="1145" spans="1:23" s="26" customFormat="1" ht="30" customHeight="1" x14ac:dyDescent="0.2">
      <c r="A1145" s="204" t="s">
        <v>2978</v>
      </c>
      <c r="B1145" s="115" t="s">
        <v>2962</v>
      </c>
      <c r="C1145" s="60" t="s">
        <v>1</v>
      </c>
      <c r="D1145" s="300">
        <v>1</v>
      </c>
      <c r="E1145" s="51">
        <f t="shared" si="407"/>
        <v>0.30303030303030298</v>
      </c>
      <c r="F1145" s="23">
        <f t="shared" si="412"/>
        <v>3.3000000000000003</v>
      </c>
      <c r="G1145" s="65">
        <f t="shared" si="413"/>
        <v>3.333333333333333</v>
      </c>
      <c r="H1145" s="77">
        <v>180</v>
      </c>
      <c r="I1145" s="71">
        <f t="shared" si="408"/>
        <v>1.1000000000000001</v>
      </c>
      <c r="J1145" s="23">
        <f t="shared" si="410"/>
        <v>3.3000000000000003</v>
      </c>
      <c r="K1145" s="65">
        <f t="shared" si="411"/>
        <v>3.333333333333333</v>
      </c>
      <c r="L1145" s="21">
        <v>600</v>
      </c>
      <c r="M1145" s="21">
        <v>660</v>
      </c>
      <c r="N1145" s="285"/>
      <c r="O1145" s="285"/>
      <c r="P1145" s="285"/>
      <c r="Q1145" s="285"/>
      <c r="R1145" s="285"/>
      <c r="S1145" s="285"/>
      <c r="T1145" s="285"/>
      <c r="U1145" s="285"/>
      <c r="V1145" s="285"/>
      <c r="W1145" s="285"/>
    </row>
    <row r="1146" spans="1:23" s="26" customFormat="1" ht="30" customHeight="1" x14ac:dyDescent="0.2">
      <c r="A1146" s="204" t="s">
        <v>2979</v>
      </c>
      <c r="B1146" s="115" t="s">
        <v>2963</v>
      </c>
      <c r="C1146" s="60" t="s">
        <v>1</v>
      </c>
      <c r="D1146" s="300">
        <v>1</v>
      </c>
      <c r="E1146" s="51">
        <f t="shared" si="407"/>
        <v>0.24793388429752064</v>
      </c>
      <c r="F1146" s="23">
        <f t="shared" si="412"/>
        <v>4.0333333333333332</v>
      </c>
      <c r="G1146" s="65">
        <f t="shared" si="413"/>
        <v>2.7272727272727271</v>
      </c>
      <c r="H1146" s="77">
        <v>220</v>
      </c>
      <c r="I1146" s="71">
        <f t="shared" si="408"/>
        <v>1.1000000000000001</v>
      </c>
      <c r="J1146" s="23">
        <f t="shared" si="410"/>
        <v>4.0333333333333332</v>
      </c>
      <c r="K1146" s="65">
        <f t="shared" si="411"/>
        <v>2.7272727272727271</v>
      </c>
      <c r="L1146" s="21">
        <v>600</v>
      </c>
      <c r="M1146" s="21">
        <v>660</v>
      </c>
      <c r="N1146" s="285"/>
      <c r="O1146" s="285"/>
      <c r="P1146" s="285"/>
      <c r="Q1146" s="285"/>
      <c r="R1146" s="285"/>
      <c r="S1146" s="285"/>
      <c r="T1146" s="285"/>
      <c r="U1146" s="285"/>
      <c r="V1146" s="285"/>
      <c r="W1146" s="285"/>
    </row>
    <row r="1147" spans="1:23" s="26" customFormat="1" ht="30" customHeight="1" x14ac:dyDescent="0.2">
      <c r="A1147" s="204" t="s">
        <v>2980</v>
      </c>
      <c r="B1147" s="115" t="s">
        <v>2964</v>
      </c>
      <c r="C1147" s="60" t="s">
        <v>1</v>
      </c>
      <c r="D1147" s="300">
        <v>1</v>
      </c>
      <c r="E1147" s="51">
        <f t="shared" si="407"/>
        <v>0.21818181818181817</v>
      </c>
      <c r="F1147" s="23">
        <f t="shared" si="412"/>
        <v>4.5833333333333339</v>
      </c>
      <c r="G1147" s="65">
        <f t="shared" si="413"/>
        <v>2.4</v>
      </c>
      <c r="H1147" s="77">
        <v>250</v>
      </c>
      <c r="I1147" s="71">
        <f t="shared" si="408"/>
        <v>1.1000000000000001</v>
      </c>
      <c r="J1147" s="23">
        <f t="shared" si="410"/>
        <v>4.5833333333333339</v>
      </c>
      <c r="K1147" s="65">
        <f t="shared" si="411"/>
        <v>2.4</v>
      </c>
      <c r="L1147" s="21">
        <v>600</v>
      </c>
      <c r="M1147" s="21">
        <v>660</v>
      </c>
      <c r="N1147" s="285"/>
      <c r="O1147" s="285"/>
      <c r="P1147" s="285"/>
      <c r="Q1147" s="285"/>
      <c r="R1147" s="285"/>
      <c r="S1147" s="285"/>
      <c r="T1147" s="285"/>
      <c r="U1147" s="285"/>
      <c r="V1147" s="285"/>
      <c r="W1147" s="285"/>
    </row>
    <row r="1148" spans="1:23" s="26" customFormat="1" ht="30" customHeight="1" x14ac:dyDescent="0.2">
      <c r="A1148" s="204" t="s">
        <v>2981</v>
      </c>
      <c r="B1148" s="115" t="s">
        <v>2965</v>
      </c>
      <c r="C1148" s="60" t="s">
        <v>1</v>
      </c>
      <c r="D1148" s="300">
        <v>1</v>
      </c>
      <c r="E1148" s="51">
        <f t="shared" si="407"/>
        <v>0.57295645530939643</v>
      </c>
      <c r="F1148" s="23">
        <f t="shared" si="412"/>
        <v>1.7453333333333336</v>
      </c>
      <c r="G1148" s="65">
        <f t="shared" si="413"/>
        <v>6.3025210084033603</v>
      </c>
      <c r="H1148" s="77">
        <f>H1140*1.36</f>
        <v>95.2</v>
      </c>
      <c r="I1148" s="71">
        <f t="shared" si="408"/>
        <v>1.1000000000000001</v>
      </c>
      <c r="J1148" s="23">
        <f t="shared" si="410"/>
        <v>1.7453333333333336</v>
      </c>
      <c r="K1148" s="65">
        <f t="shared" si="411"/>
        <v>6.3025210084033603</v>
      </c>
      <c r="L1148" s="21">
        <v>600</v>
      </c>
      <c r="M1148" s="21">
        <v>660</v>
      </c>
      <c r="N1148" s="285"/>
      <c r="O1148" s="285"/>
      <c r="P1148" s="285"/>
      <c r="Q1148" s="285"/>
      <c r="R1148" s="285"/>
      <c r="S1148" s="285"/>
      <c r="T1148" s="285"/>
      <c r="U1148" s="285"/>
      <c r="V1148" s="285"/>
      <c r="W1148" s="285"/>
    </row>
    <row r="1149" spans="1:23" s="26" customFormat="1" ht="30" customHeight="1" x14ac:dyDescent="0.2">
      <c r="A1149" s="204" t="s">
        <v>2982</v>
      </c>
      <c r="B1149" s="115" t="s">
        <v>2966</v>
      </c>
      <c r="C1149" s="60" t="s">
        <v>1</v>
      </c>
      <c r="D1149" s="300">
        <v>1</v>
      </c>
      <c r="E1149" s="51">
        <f t="shared" si="407"/>
        <v>0.51419169066227888</v>
      </c>
      <c r="F1149" s="23">
        <f t="shared" si="412"/>
        <v>1.9448000000000001</v>
      </c>
      <c r="G1149" s="65">
        <f t="shared" si="413"/>
        <v>5.6561085972850673</v>
      </c>
      <c r="H1149" s="77">
        <f t="shared" ref="H1149:H1155" si="414">H1141*1.36</f>
        <v>106.08000000000001</v>
      </c>
      <c r="I1149" s="71">
        <f t="shared" si="408"/>
        <v>1.1000000000000001</v>
      </c>
      <c r="J1149" s="23">
        <f t="shared" si="410"/>
        <v>1.9448000000000001</v>
      </c>
      <c r="K1149" s="65">
        <f t="shared" si="411"/>
        <v>5.6561085972850673</v>
      </c>
      <c r="L1149" s="21">
        <v>600</v>
      </c>
      <c r="M1149" s="21">
        <v>660</v>
      </c>
      <c r="N1149" s="285"/>
      <c r="O1149" s="285"/>
      <c r="P1149" s="285"/>
      <c r="Q1149" s="285"/>
      <c r="R1149" s="285"/>
      <c r="S1149" s="285"/>
      <c r="T1149" s="285"/>
      <c r="U1149" s="285"/>
      <c r="V1149" s="285"/>
      <c r="W1149" s="285"/>
    </row>
    <row r="1150" spans="1:23" s="26" customFormat="1" ht="30" customHeight="1" x14ac:dyDescent="0.2">
      <c r="A1150" s="204" t="s">
        <v>2983</v>
      </c>
      <c r="B1150" s="115" t="s">
        <v>2967</v>
      </c>
      <c r="C1150" s="60" t="s">
        <v>1</v>
      </c>
      <c r="D1150" s="300">
        <v>1</v>
      </c>
      <c r="E1150" s="51">
        <f t="shared" si="407"/>
        <v>0.45576081672338353</v>
      </c>
      <c r="F1150" s="23">
        <f>J1150</f>
        <v>2.1941333333333337</v>
      </c>
      <c r="G1150" s="65">
        <f>K1150</f>
        <v>5.0133689839572186</v>
      </c>
      <c r="H1150" s="77">
        <f t="shared" si="414"/>
        <v>119.68</v>
      </c>
      <c r="I1150" s="71">
        <f t="shared" si="408"/>
        <v>1.1000000000000001</v>
      </c>
      <c r="J1150" s="23">
        <f t="shared" si="410"/>
        <v>2.1941333333333337</v>
      </c>
      <c r="K1150" s="65">
        <f t="shared" si="411"/>
        <v>5.0133689839572186</v>
      </c>
      <c r="L1150" s="21">
        <v>600</v>
      </c>
      <c r="M1150" s="21">
        <v>660</v>
      </c>
      <c r="N1150" s="285"/>
      <c r="O1150" s="285"/>
      <c r="P1150" s="285"/>
      <c r="Q1150" s="285"/>
      <c r="R1150" s="285"/>
      <c r="S1150" s="285"/>
      <c r="T1150" s="285"/>
      <c r="U1150" s="285"/>
      <c r="V1150" s="285"/>
      <c r="W1150" s="285"/>
    </row>
    <row r="1151" spans="1:23" s="26" customFormat="1" ht="30" customHeight="1" x14ac:dyDescent="0.2">
      <c r="A1151" s="204" t="s">
        <v>2984</v>
      </c>
      <c r="B1151" s="115" t="s">
        <v>2968</v>
      </c>
      <c r="C1151" s="60" t="s">
        <v>1</v>
      </c>
      <c r="D1151" s="300">
        <v>1</v>
      </c>
      <c r="E1151" s="51">
        <f t="shared" si="407"/>
        <v>0.40106951871657748</v>
      </c>
      <c r="F1151" s="23">
        <f t="shared" ref="F1151:F1155" si="415">J1151</f>
        <v>2.4933333333333336</v>
      </c>
      <c r="G1151" s="65">
        <f t="shared" ref="G1151:G1155" si="416">K1151</f>
        <v>4.4117647058823524</v>
      </c>
      <c r="H1151" s="77">
        <f t="shared" si="414"/>
        <v>136</v>
      </c>
      <c r="I1151" s="71">
        <f t="shared" si="408"/>
        <v>1.1000000000000001</v>
      </c>
      <c r="J1151" s="23">
        <f t="shared" si="410"/>
        <v>2.4933333333333336</v>
      </c>
      <c r="K1151" s="65">
        <f t="shared" si="411"/>
        <v>4.4117647058823524</v>
      </c>
      <c r="L1151" s="21">
        <v>600</v>
      </c>
      <c r="M1151" s="21">
        <v>660</v>
      </c>
      <c r="N1151" s="285"/>
      <c r="O1151" s="285"/>
      <c r="P1151" s="285"/>
      <c r="Q1151" s="285"/>
      <c r="R1151" s="285"/>
      <c r="S1151" s="285"/>
      <c r="T1151" s="285"/>
      <c r="U1151" s="285"/>
      <c r="V1151" s="285"/>
      <c r="W1151" s="285"/>
    </row>
    <row r="1152" spans="1:23" s="26" customFormat="1" ht="30" customHeight="1" x14ac:dyDescent="0.2">
      <c r="A1152" s="204" t="s">
        <v>2985</v>
      </c>
      <c r="B1152" s="115" t="s">
        <v>2970</v>
      </c>
      <c r="C1152" s="60" t="s">
        <v>1</v>
      </c>
      <c r="D1152" s="300">
        <v>1</v>
      </c>
      <c r="E1152" s="51">
        <f t="shared" si="407"/>
        <v>0.26737967914438499</v>
      </c>
      <c r="F1152" s="23">
        <f t="shared" si="415"/>
        <v>3.7400000000000007</v>
      </c>
      <c r="G1152" s="65">
        <f t="shared" si="416"/>
        <v>2.9411764705882346</v>
      </c>
      <c r="H1152" s="77">
        <f t="shared" si="414"/>
        <v>204.00000000000003</v>
      </c>
      <c r="I1152" s="71">
        <f t="shared" si="408"/>
        <v>1.1000000000000001</v>
      </c>
      <c r="J1152" s="23">
        <f t="shared" si="410"/>
        <v>3.7400000000000007</v>
      </c>
      <c r="K1152" s="65">
        <f t="shared" si="411"/>
        <v>2.9411764705882346</v>
      </c>
      <c r="L1152" s="21">
        <v>600</v>
      </c>
      <c r="M1152" s="21">
        <v>660</v>
      </c>
      <c r="N1152" s="285"/>
      <c r="O1152" s="285"/>
      <c r="P1152" s="285"/>
      <c r="Q1152" s="285"/>
      <c r="R1152" s="285"/>
      <c r="S1152" s="285"/>
      <c r="T1152" s="285"/>
      <c r="U1152" s="285"/>
      <c r="V1152" s="285"/>
      <c r="W1152" s="285"/>
    </row>
    <row r="1153" spans="1:23" s="26" customFormat="1" ht="30" customHeight="1" x14ac:dyDescent="0.2">
      <c r="A1153" s="204" t="s">
        <v>2986</v>
      </c>
      <c r="B1153" s="115" t="s">
        <v>2969</v>
      </c>
      <c r="C1153" s="60" t="s">
        <v>1</v>
      </c>
      <c r="D1153" s="300">
        <v>1</v>
      </c>
      <c r="E1153" s="51">
        <f t="shared" si="407"/>
        <v>0.22281639928698749</v>
      </c>
      <c r="F1153" s="23">
        <f t="shared" si="415"/>
        <v>4.4880000000000004</v>
      </c>
      <c r="G1153" s="65">
        <f t="shared" si="416"/>
        <v>2.4509803921568625</v>
      </c>
      <c r="H1153" s="77">
        <f t="shared" si="414"/>
        <v>244.8</v>
      </c>
      <c r="I1153" s="71">
        <f t="shared" si="408"/>
        <v>1.1000000000000001</v>
      </c>
      <c r="J1153" s="23">
        <f t="shared" si="410"/>
        <v>4.4880000000000004</v>
      </c>
      <c r="K1153" s="65">
        <f t="shared" si="411"/>
        <v>2.4509803921568625</v>
      </c>
      <c r="L1153" s="21">
        <v>600</v>
      </c>
      <c r="M1153" s="21">
        <v>660</v>
      </c>
      <c r="N1153" s="285"/>
      <c r="O1153" s="285"/>
      <c r="P1153" s="285"/>
      <c r="Q1153" s="285"/>
      <c r="R1153" s="285"/>
      <c r="S1153" s="285"/>
      <c r="T1153" s="285"/>
      <c r="U1153" s="285"/>
      <c r="V1153" s="285"/>
      <c r="W1153" s="285"/>
    </row>
    <row r="1154" spans="1:23" s="26" customFormat="1" ht="30" customHeight="1" x14ac:dyDescent="0.2">
      <c r="A1154" s="204" t="s">
        <v>2987</v>
      </c>
      <c r="B1154" s="115" t="s">
        <v>2971</v>
      </c>
      <c r="C1154" s="60" t="s">
        <v>1</v>
      </c>
      <c r="D1154" s="300">
        <v>1</v>
      </c>
      <c r="E1154" s="51">
        <f t="shared" si="407"/>
        <v>0.1823043266893534</v>
      </c>
      <c r="F1154" s="23">
        <f t="shared" si="415"/>
        <v>5.4853333333333341</v>
      </c>
      <c r="G1154" s="65">
        <f t="shared" si="416"/>
        <v>2.0053475935828873</v>
      </c>
      <c r="H1154" s="77">
        <f t="shared" si="414"/>
        <v>299.20000000000005</v>
      </c>
      <c r="I1154" s="71">
        <f t="shared" si="408"/>
        <v>1.1000000000000001</v>
      </c>
      <c r="J1154" s="23">
        <f t="shared" si="410"/>
        <v>5.4853333333333341</v>
      </c>
      <c r="K1154" s="65">
        <f t="shared" si="411"/>
        <v>2.0053475935828873</v>
      </c>
      <c r="L1154" s="21">
        <v>600</v>
      </c>
      <c r="M1154" s="21">
        <v>660</v>
      </c>
      <c r="N1154" s="285"/>
      <c r="O1154" s="285"/>
      <c r="P1154" s="285"/>
      <c r="Q1154" s="285"/>
      <c r="R1154" s="285"/>
      <c r="S1154" s="285"/>
      <c r="T1154" s="285"/>
      <c r="U1154" s="285"/>
      <c r="V1154" s="285"/>
      <c r="W1154" s="285"/>
    </row>
    <row r="1155" spans="1:23" s="26" customFormat="1" ht="30" customHeight="1" x14ac:dyDescent="0.2">
      <c r="A1155" s="204" t="s">
        <v>2988</v>
      </c>
      <c r="B1155" s="115" t="s">
        <v>2972</v>
      </c>
      <c r="C1155" s="60" t="s">
        <v>1</v>
      </c>
      <c r="D1155" s="300">
        <v>1</v>
      </c>
      <c r="E1155" s="51">
        <f t="shared" si="407"/>
        <v>0.16042780748663099</v>
      </c>
      <c r="F1155" s="23">
        <f t="shared" si="415"/>
        <v>6.2333333333333343</v>
      </c>
      <c r="G1155" s="65">
        <f t="shared" si="416"/>
        <v>1.7647058823529409</v>
      </c>
      <c r="H1155" s="77">
        <f t="shared" si="414"/>
        <v>340</v>
      </c>
      <c r="I1155" s="71">
        <f t="shared" si="408"/>
        <v>1.1000000000000001</v>
      </c>
      <c r="J1155" s="23">
        <f t="shared" si="410"/>
        <v>6.2333333333333343</v>
      </c>
      <c r="K1155" s="65">
        <f t="shared" si="411"/>
        <v>1.7647058823529409</v>
      </c>
      <c r="L1155" s="21">
        <v>600</v>
      </c>
      <c r="M1155" s="21">
        <v>660</v>
      </c>
      <c r="N1155" s="285"/>
      <c r="O1155" s="285"/>
      <c r="P1155" s="285"/>
      <c r="Q1155" s="285"/>
      <c r="R1155" s="285"/>
      <c r="S1155" s="285"/>
      <c r="T1155" s="285"/>
      <c r="U1155" s="285"/>
      <c r="V1155" s="285"/>
      <c r="W1155" s="285"/>
    </row>
    <row r="1156" spans="1:23" s="26" customFormat="1" ht="32.25" customHeight="1" x14ac:dyDescent="0.2">
      <c r="A1156" s="244"/>
      <c r="B1156" s="112" t="s">
        <v>3328</v>
      </c>
      <c r="C1156" s="210"/>
      <c r="D1156" s="300">
        <v>1</v>
      </c>
      <c r="E1156" s="209"/>
      <c r="F1156" s="54"/>
      <c r="G1156" s="82"/>
      <c r="H1156" s="222"/>
      <c r="I1156" s="71"/>
      <c r="J1156" s="23"/>
      <c r="K1156" s="65"/>
      <c r="L1156" s="21"/>
      <c r="M1156" s="21"/>
      <c r="N1156" s="285"/>
      <c r="O1156" s="285"/>
      <c r="P1156" s="285"/>
      <c r="Q1156" s="285"/>
      <c r="R1156" s="285"/>
      <c r="S1156" s="285"/>
      <c r="T1156" s="285"/>
      <c r="U1156" s="285"/>
      <c r="V1156" s="285"/>
      <c r="W1156" s="285"/>
    </row>
    <row r="1157" spans="1:23" s="26" customFormat="1" ht="32.25" customHeight="1" x14ac:dyDescent="0.2">
      <c r="A1157" s="254" t="s">
        <v>3337</v>
      </c>
      <c r="B1157" s="269" t="s">
        <v>3338</v>
      </c>
      <c r="C1157" s="49" t="s">
        <v>8</v>
      </c>
      <c r="D1157" s="300">
        <v>1</v>
      </c>
      <c r="E1157" s="51">
        <f>G1157/11</f>
        <v>27.272727272727273</v>
      </c>
      <c r="F1157" s="23">
        <f>11/G1157</f>
        <v>3.6666666666666667E-2</v>
      </c>
      <c r="G1157" s="65">
        <f>L1157/H1157</f>
        <v>300</v>
      </c>
      <c r="H1157" s="266">
        <v>2</v>
      </c>
      <c r="I1157" s="71"/>
      <c r="J1157" s="23"/>
      <c r="K1157" s="65"/>
      <c r="L1157" s="21">
        <v>600</v>
      </c>
      <c r="M1157" s="21">
        <v>660</v>
      </c>
      <c r="N1157" s="285"/>
      <c r="O1157" s="285"/>
      <c r="P1157" s="285"/>
      <c r="Q1157" s="285"/>
      <c r="R1157" s="285"/>
      <c r="S1157" s="285"/>
      <c r="T1157" s="285"/>
      <c r="U1157" s="285"/>
      <c r="V1157" s="285"/>
      <c r="W1157" s="285"/>
    </row>
    <row r="1158" spans="1:23" s="26" customFormat="1" ht="32.25" customHeight="1" x14ac:dyDescent="0.2">
      <c r="A1158" s="259"/>
      <c r="B1158" s="260" t="s">
        <v>3244</v>
      </c>
      <c r="C1158" s="261"/>
      <c r="D1158" s="300">
        <v>1</v>
      </c>
      <c r="E1158" s="262"/>
      <c r="F1158" s="263"/>
      <c r="G1158" s="264"/>
      <c r="H1158" s="265"/>
      <c r="I1158" s="71"/>
      <c r="J1158" s="23"/>
      <c r="K1158" s="65"/>
      <c r="L1158" s="21">
        <v>600</v>
      </c>
      <c r="M1158" s="21">
        <v>660</v>
      </c>
      <c r="N1158" s="285"/>
      <c r="O1158" s="285"/>
      <c r="P1158" s="285"/>
      <c r="Q1158" s="285"/>
      <c r="R1158" s="285"/>
      <c r="S1158" s="285"/>
      <c r="T1158" s="285"/>
      <c r="U1158" s="285"/>
      <c r="V1158" s="285"/>
      <c r="W1158" s="285"/>
    </row>
    <row r="1159" spans="1:23" s="26" customFormat="1" ht="32.25" customHeight="1" x14ac:dyDescent="0.2">
      <c r="A1159" s="254" t="s">
        <v>3288</v>
      </c>
      <c r="B1159" s="131" t="s">
        <v>3245</v>
      </c>
      <c r="C1159" s="49" t="s">
        <v>1</v>
      </c>
      <c r="D1159" s="300">
        <v>1</v>
      </c>
      <c r="E1159" s="51">
        <f>G1159/11</f>
        <v>1.5584415584415583</v>
      </c>
      <c r="F1159" s="23">
        <f>11/G1159</f>
        <v>0.64166666666666672</v>
      </c>
      <c r="G1159" s="65">
        <f>L1159/H1159</f>
        <v>17.142857142857142</v>
      </c>
      <c r="H1159" s="266">
        <v>35</v>
      </c>
      <c r="I1159" s="71"/>
      <c r="J1159" s="23"/>
      <c r="K1159" s="65"/>
      <c r="L1159" s="21">
        <v>600</v>
      </c>
      <c r="M1159" s="21">
        <v>660</v>
      </c>
      <c r="N1159" s="285"/>
      <c r="O1159" s="285"/>
      <c r="P1159" s="285"/>
      <c r="Q1159" s="285"/>
      <c r="R1159" s="285"/>
      <c r="S1159" s="285"/>
      <c r="T1159" s="285"/>
      <c r="U1159" s="285"/>
      <c r="V1159" s="285"/>
      <c r="W1159" s="285"/>
    </row>
    <row r="1160" spans="1:23" s="26" customFormat="1" ht="32.25" customHeight="1" x14ac:dyDescent="0.2">
      <c r="A1160" s="254" t="s">
        <v>3289</v>
      </c>
      <c r="B1160" s="131" t="s">
        <v>3246</v>
      </c>
      <c r="C1160" s="49" t="s">
        <v>1</v>
      </c>
      <c r="D1160" s="300">
        <v>1</v>
      </c>
      <c r="E1160" s="51">
        <f t="shared" ref="E1160:E1168" si="417">G1160/11</f>
        <v>1.4943960149439603</v>
      </c>
      <c r="F1160" s="23">
        <f t="shared" ref="F1160:F1201" si="418">11/G1160</f>
        <v>0.66916666666666658</v>
      </c>
      <c r="G1160" s="65">
        <f t="shared" ref="G1160:G1168" si="419">L1160/H1160</f>
        <v>16.438356164383563</v>
      </c>
      <c r="H1160" s="266">
        <v>36.5</v>
      </c>
      <c r="I1160" s="71"/>
      <c r="J1160" s="23"/>
      <c r="K1160" s="65"/>
      <c r="L1160" s="21">
        <v>600</v>
      </c>
      <c r="M1160" s="21">
        <v>660</v>
      </c>
      <c r="N1160" s="285"/>
      <c r="O1160" s="285"/>
      <c r="P1160" s="285"/>
      <c r="Q1160" s="285"/>
      <c r="R1160" s="285"/>
      <c r="S1160" s="285"/>
      <c r="T1160" s="285"/>
      <c r="U1160" s="285"/>
      <c r="V1160" s="285"/>
      <c r="W1160" s="285"/>
    </row>
    <row r="1161" spans="1:23" s="26" customFormat="1" ht="32.25" customHeight="1" x14ac:dyDescent="0.2">
      <c r="A1161" s="254" t="s">
        <v>3290</v>
      </c>
      <c r="B1161" s="131" t="s">
        <v>3247</v>
      </c>
      <c r="C1161" s="49" t="s">
        <v>1</v>
      </c>
      <c r="D1161" s="300">
        <v>1</v>
      </c>
      <c r="E1161" s="51">
        <f t="shared" si="417"/>
        <v>1.4545454545454546</v>
      </c>
      <c r="F1161" s="23">
        <f t="shared" si="418"/>
        <v>0.6875</v>
      </c>
      <c r="G1161" s="65">
        <f t="shared" si="419"/>
        <v>16</v>
      </c>
      <c r="H1161" s="266">
        <v>37.5</v>
      </c>
      <c r="I1161" s="71"/>
      <c r="J1161" s="23"/>
      <c r="K1161" s="65"/>
      <c r="L1161" s="21">
        <v>600</v>
      </c>
      <c r="M1161" s="21">
        <v>660</v>
      </c>
      <c r="N1161" s="285"/>
      <c r="O1161" s="285"/>
      <c r="P1161" s="285"/>
      <c r="Q1161" s="285"/>
      <c r="R1161" s="285"/>
      <c r="S1161" s="285"/>
      <c r="T1161" s="285"/>
      <c r="U1161" s="285"/>
      <c r="V1161" s="285"/>
      <c r="W1161" s="285"/>
    </row>
    <row r="1162" spans="1:23" s="26" customFormat="1" ht="32.25" customHeight="1" x14ac:dyDescent="0.2">
      <c r="A1162" s="254" t="s">
        <v>3291</v>
      </c>
      <c r="B1162" s="131" t="s">
        <v>3248</v>
      </c>
      <c r="C1162" s="49" t="s">
        <v>1</v>
      </c>
      <c r="D1162" s="300">
        <v>1</v>
      </c>
      <c r="E1162" s="51">
        <f t="shared" si="417"/>
        <v>1.2396694214876034</v>
      </c>
      <c r="F1162" s="23">
        <f t="shared" si="418"/>
        <v>0.80666666666666664</v>
      </c>
      <c r="G1162" s="65">
        <f t="shared" si="419"/>
        <v>13.636363636363637</v>
      </c>
      <c r="H1162" s="266">
        <v>44</v>
      </c>
      <c r="I1162" s="71"/>
      <c r="J1162" s="23"/>
      <c r="K1162" s="65"/>
      <c r="L1162" s="21">
        <v>600</v>
      </c>
      <c r="M1162" s="21">
        <v>660</v>
      </c>
      <c r="N1162" s="285"/>
      <c r="O1162" s="285"/>
      <c r="P1162" s="285"/>
      <c r="Q1162" s="285"/>
      <c r="R1162" s="285"/>
      <c r="S1162" s="285"/>
      <c r="T1162" s="285"/>
      <c r="U1162" s="285"/>
      <c r="V1162" s="285"/>
      <c r="W1162" s="285"/>
    </row>
    <row r="1163" spans="1:23" s="26" customFormat="1" ht="32.25" customHeight="1" x14ac:dyDescent="0.2">
      <c r="A1163" s="254" t="s">
        <v>3292</v>
      </c>
      <c r="B1163" s="131" t="s">
        <v>3249</v>
      </c>
      <c r="C1163" s="49" t="s">
        <v>1</v>
      </c>
      <c r="D1163" s="300">
        <v>1</v>
      </c>
      <c r="E1163" s="51">
        <f t="shared" si="417"/>
        <v>1.1857707509881423</v>
      </c>
      <c r="F1163" s="23">
        <f t="shared" si="418"/>
        <v>0.84333333333333338</v>
      </c>
      <c r="G1163" s="65">
        <f t="shared" si="419"/>
        <v>13.043478260869565</v>
      </c>
      <c r="H1163" s="266">
        <v>46</v>
      </c>
      <c r="I1163" s="71"/>
      <c r="J1163" s="23"/>
      <c r="K1163" s="65"/>
      <c r="L1163" s="21">
        <v>600</v>
      </c>
      <c r="M1163" s="21">
        <v>660</v>
      </c>
      <c r="N1163" s="285"/>
      <c r="O1163" s="285"/>
      <c r="P1163" s="285"/>
      <c r="Q1163" s="285"/>
      <c r="R1163" s="285"/>
      <c r="S1163" s="285"/>
      <c r="T1163" s="285"/>
      <c r="U1163" s="285"/>
      <c r="V1163" s="285"/>
      <c r="W1163" s="285"/>
    </row>
    <row r="1164" spans="1:23" s="26" customFormat="1" ht="32.25" customHeight="1" x14ac:dyDescent="0.2">
      <c r="A1164" s="254" t="s">
        <v>3293</v>
      </c>
      <c r="B1164" s="131" t="s">
        <v>3250</v>
      </c>
      <c r="C1164" s="49" t="s">
        <v>1</v>
      </c>
      <c r="D1164" s="300">
        <v>1</v>
      </c>
      <c r="E1164" s="51">
        <f t="shared" si="417"/>
        <v>0.62985513331933662</v>
      </c>
      <c r="F1164" s="23">
        <f t="shared" si="418"/>
        <v>1.5876666666666666</v>
      </c>
      <c r="G1164" s="65">
        <f t="shared" si="419"/>
        <v>6.928406466512703</v>
      </c>
      <c r="H1164" s="266">
        <v>86.6</v>
      </c>
      <c r="I1164" s="71"/>
      <c r="J1164" s="23"/>
      <c r="K1164" s="65"/>
      <c r="L1164" s="21">
        <v>600</v>
      </c>
      <c r="M1164" s="21">
        <v>660</v>
      </c>
      <c r="N1164" s="285"/>
      <c r="O1164" s="285"/>
      <c r="P1164" s="285"/>
      <c r="Q1164" s="285"/>
      <c r="R1164" s="285"/>
      <c r="S1164" s="285"/>
      <c r="T1164" s="285"/>
      <c r="U1164" s="285"/>
      <c r="V1164" s="285"/>
      <c r="W1164" s="285"/>
    </row>
    <row r="1165" spans="1:23" s="26" customFormat="1" ht="32.25" customHeight="1" x14ac:dyDescent="0.2">
      <c r="A1165" s="254" t="s">
        <v>3294</v>
      </c>
      <c r="B1165" s="131" t="s">
        <v>3251</v>
      </c>
      <c r="C1165" s="49" t="s">
        <v>1</v>
      </c>
      <c r="D1165" s="300">
        <v>1</v>
      </c>
      <c r="E1165" s="51">
        <f t="shared" si="417"/>
        <v>0.547645125958379</v>
      </c>
      <c r="F1165" s="23">
        <f t="shared" si="418"/>
        <v>1.8259999999999998</v>
      </c>
      <c r="G1165" s="65">
        <f t="shared" si="419"/>
        <v>6.024096385542169</v>
      </c>
      <c r="H1165" s="266">
        <v>99.6</v>
      </c>
      <c r="I1165" s="71"/>
      <c r="J1165" s="23"/>
      <c r="K1165" s="65"/>
      <c r="L1165" s="21">
        <v>600</v>
      </c>
      <c r="M1165" s="21">
        <v>660</v>
      </c>
      <c r="N1165" s="285"/>
      <c r="O1165" s="285"/>
      <c r="P1165" s="285"/>
      <c r="Q1165" s="285"/>
      <c r="R1165" s="285"/>
      <c r="S1165" s="285"/>
      <c r="T1165" s="285"/>
      <c r="U1165" s="285"/>
      <c r="V1165" s="285"/>
      <c r="W1165" s="285"/>
    </row>
    <row r="1166" spans="1:23" s="26" customFormat="1" ht="32.25" customHeight="1" x14ac:dyDescent="0.2">
      <c r="A1166" s="254" t="s">
        <v>3295</v>
      </c>
      <c r="B1166" s="131" t="s">
        <v>3252</v>
      </c>
      <c r="C1166" s="49" t="s">
        <v>1</v>
      </c>
      <c r="D1166" s="300">
        <v>1</v>
      </c>
      <c r="E1166" s="51">
        <f t="shared" si="417"/>
        <v>0.52650052650052648</v>
      </c>
      <c r="F1166" s="23">
        <f t="shared" si="418"/>
        <v>1.8993333333333333</v>
      </c>
      <c r="G1166" s="65">
        <f t="shared" si="419"/>
        <v>5.7915057915057915</v>
      </c>
      <c r="H1166" s="266">
        <v>103.6</v>
      </c>
      <c r="I1166" s="71"/>
      <c r="J1166" s="23"/>
      <c r="K1166" s="65"/>
      <c r="L1166" s="21">
        <v>600</v>
      </c>
      <c r="M1166" s="21">
        <v>660</v>
      </c>
      <c r="N1166" s="285"/>
      <c r="O1166" s="285"/>
      <c r="P1166" s="285"/>
      <c r="Q1166" s="285"/>
      <c r="R1166" s="285"/>
      <c r="S1166" s="285"/>
      <c r="T1166" s="285"/>
      <c r="U1166" s="285"/>
      <c r="V1166" s="285"/>
      <c r="W1166" s="285"/>
    </row>
    <row r="1167" spans="1:23" s="26" customFormat="1" ht="32.25" customHeight="1" x14ac:dyDescent="0.2">
      <c r="A1167" s="254" t="s">
        <v>3296</v>
      </c>
      <c r="B1167" s="131" t="s">
        <v>3253</v>
      </c>
      <c r="C1167" s="49" t="s">
        <v>1</v>
      </c>
      <c r="D1167" s="300">
        <v>1</v>
      </c>
      <c r="E1167" s="51">
        <f t="shared" si="417"/>
        <v>0.29499975416687152</v>
      </c>
      <c r="F1167" s="23">
        <f t="shared" si="418"/>
        <v>3.3898333333333333</v>
      </c>
      <c r="G1167" s="65">
        <f t="shared" si="419"/>
        <v>3.2449972958355868</v>
      </c>
      <c r="H1167" s="266">
        <v>184.9</v>
      </c>
      <c r="I1167" s="71"/>
      <c r="J1167" s="23"/>
      <c r="K1167" s="65"/>
      <c r="L1167" s="21">
        <v>600</v>
      </c>
      <c r="M1167" s="21">
        <v>660</v>
      </c>
      <c r="N1167" s="285"/>
      <c r="O1167" s="285"/>
      <c r="P1167" s="285"/>
      <c r="Q1167" s="285"/>
      <c r="R1167" s="285"/>
      <c r="S1167" s="285"/>
      <c r="T1167" s="285"/>
      <c r="U1167" s="285"/>
      <c r="V1167" s="285"/>
      <c r="W1167" s="285"/>
    </row>
    <row r="1168" spans="1:23" s="26" customFormat="1" ht="32.25" customHeight="1" x14ac:dyDescent="0.2">
      <c r="A1168" s="254" t="s">
        <v>3297</v>
      </c>
      <c r="B1168" s="131" t="s">
        <v>3254</v>
      </c>
      <c r="C1168" s="49" t="s">
        <v>1</v>
      </c>
      <c r="D1168" s="300">
        <v>1</v>
      </c>
      <c r="E1168" s="51">
        <f t="shared" si="417"/>
        <v>0.25863183757920599</v>
      </c>
      <c r="F1168" s="23">
        <f t="shared" si="418"/>
        <v>3.8665000000000003</v>
      </c>
      <c r="G1168" s="65">
        <f t="shared" si="419"/>
        <v>2.8449502133712659</v>
      </c>
      <c r="H1168" s="266">
        <v>210.9</v>
      </c>
      <c r="I1168" s="71"/>
      <c r="J1168" s="23"/>
      <c r="K1168" s="65"/>
      <c r="L1168" s="21">
        <v>600</v>
      </c>
      <c r="M1168" s="21">
        <v>660</v>
      </c>
      <c r="N1168" s="285"/>
      <c r="O1168" s="285"/>
      <c r="P1168" s="285"/>
      <c r="Q1168" s="285"/>
      <c r="R1168" s="285"/>
      <c r="S1168" s="285"/>
      <c r="T1168" s="285"/>
      <c r="U1168" s="285"/>
      <c r="V1168" s="285"/>
      <c r="W1168" s="285"/>
    </row>
    <row r="1169" spans="1:23" s="26" customFormat="1" ht="32.25" customHeight="1" x14ac:dyDescent="0.2">
      <c r="A1169" s="259"/>
      <c r="B1169" s="260" t="s">
        <v>3255</v>
      </c>
      <c r="C1169" s="261"/>
      <c r="D1169" s="300">
        <v>1</v>
      </c>
      <c r="E1169" s="262"/>
      <c r="F1169" s="263"/>
      <c r="G1169" s="264"/>
      <c r="H1169" s="264"/>
      <c r="I1169" s="71"/>
      <c r="J1169" s="23"/>
      <c r="K1169" s="65"/>
      <c r="L1169" s="21">
        <v>600</v>
      </c>
      <c r="M1169" s="21">
        <v>660</v>
      </c>
      <c r="N1169" s="285"/>
      <c r="O1169" s="285"/>
      <c r="P1169" s="285"/>
      <c r="Q1169" s="285"/>
      <c r="R1169" s="285"/>
      <c r="S1169" s="285"/>
      <c r="T1169" s="285"/>
      <c r="U1169" s="285"/>
      <c r="V1169" s="285"/>
      <c r="W1169" s="285"/>
    </row>
    <row r="1170" spans="1:23" s="26" customFormat="1" ht="32.25" customHeight="1" x14ac:dyDescent="0.2">
      <c r="A1170" s="254" t="s">
        <v>3298</v>
      </c>
      <c r="B1170" s="131" t="s">
        <v>3256</v>
      </c>
      <c r="C1170" s="49" t="s">
        <v>1</v>
      </c>
      <c r="D1170" s="300">
        <v>1</v>
      </c>
      <c r="E1170" s="51">
        <f>G1170/11</f>
        <v>1.3303769401330376</v>
      </c>
      <c r="F1170" s="23">
        <f>11/G1170</f>
        <v>0.75166666666666659</v>
      </c>
      <c r="G1170" s="65">
        <f t="shared" ref="G1170:G1171" si="420">L1170/H1170</f>
        <v>14.634146341463415</v>
      </c>
      <c r="H1170" s="266">
        <v>41</v>
      </c>
      <c r="I1170" s="71"/>
      <c r="J1170" s="23"/>
      <c r="K1170" s="65"/>
      <c r="L1170" s="21">
        <v>600</v>
      </c>
      <c r="M1170" s="21">
        <v>660</v>
      </c>
      <c r="N1170" s="285"/>
      <c r="O1170" s="285"/>
      <c r="P1170" s="285"/>
      <c r="Q1170" s="285"/>
      <c r="R1170" s="285"/>
      <c r="S1170" s="285"/>
      <c r="T1170" s="285"/>
      <c r="U1170" s="285"/>
      <c r="V1170" s="285"/>
      <c r="W1170" s="285"/>
    </row>
    <row r="1171" spans="1:23" s="26" customFormat="1" ht="32.25" customHeight="1" x14ac:dyDescent="0.2">
      <c r="A1171" s="254" t="s">
        <v>3299</v>
      </c>
      <c r="B1171" s="131" t="s">
        <v>3257</v>
      </c>
      <c r="C1171" s="49" t="s">
        <v>1</v>
      </c>
      <c r="D1171" s="300">
        <v>1</v>
      </c>
      <c r="E1171" s="51">
        <f t="shared" ref="E1171" si="421">G1171/11</f>
        <v>1.2834224598930482</v>
      </c>
      <c r="F1171" s="23">
        <f t="shared" si="418"/>
        <v>0.77916666666666667</v>
      </c>
      <c r="G1171" s="65">
        <f t="shared" si="420"/>
        <v>14.117647058823529</v>
      </c>
      <c r="H1171" s="266">
        <v>42.5</v>
      </c>
      <c r="I1171" s="71"/>
      <c r="J1171" s="23"/>
      <c r="K1171" s="65"/>
      <c r="L1171" s="21">
        <v>600</v>
      </c>
      <c r="M1171" s="21">
        <v>660</v>
      </c>
      <c r="N1171" s="285"/>
      <c r="O1171" s="285"/>
      <c r="P1171" s="285"/>
      <c r="Q1171" s="285"/>
      <c r="R1171" s="285"/>
      <c r="S1171" s="285"/>
      <c r="T1171" s="285"/>
      <c r="U1171" s="285"/>
      <c r="V1171" s="285"/>
      <c r="W1171" s="285"/>
    </row>
    <row r="1172" spans="1:23" s="26" customFormat="1" ht="32.25" customHeight="1" x14ac:dyDescent="0.2">
      <c r="A1172" s="254" t="s">
        <v>3320</v>
      </c>
      <c r="B1172" s="131" t="s">
        <v>3258</v>
      </c>
      <c r="C1172" s="49" t="s">
        <v>1</v>
      </c>
      <c r="D1172" s="300">
        <v>1</v>
      </c>
      <c r="E1172" s="51">
        <f t="shared" ref="E1172:E1179" si="422">G1172/11</f>
        <v>1.2539184952978055</v>
      </c>
      <c r="F1172" s="23">
        <f t="shared" si="418"/>
        <v>0.7975000000000001</v>
      </c>
      <c r="G1172" s="65">
        <f t="shared" ref="G1172:G1179" si="423">L1172/H1172</f>
        <v>13.793103448275861</v>
      </c>
      <c r="H1172" s="266">
        <v>43.5</v>
      </c>
      <c r="I1172" s="71"/>
      <c r="J1172" s="23"/>
      <c r="K1172" s="65"/>
      <c r="L1172" s="21">
        <v>600</v>
      </c>
      <c r="M1172" s="21">
        <v>660</v>
      </c>
      <c r="N1172" s="285"/>
      <c r="O1172" s="285"/>
      <c r="P1172" s="285"/>
      <c r="Q1172" s="285"/>
      <c r="R1172" s="285"/>
      <c r="S1172" s="285"/>
      <c r="T1172" s="285"/>
      <c r="U1172" s="285"/>
      <c r="V1172" s="285"/>
      <c r="W1172" s="285"/>
    </row>
    <row r="1173" spans="1:23" s="26" customFormat="1" ht="32.25" customHeight="1" x14ac:dyDescent="0.2">
      <c r="A1173" s="254" t="s">
        <v>3321</v>
      </c>
      <c r="B1173" s="131" t="s">
        <v>3259</v>
      </c>
      <c r="C1173" s="49" t="s">
        <v>1</v>
      </c>
      <c r="D1173" s="300">
        <v>1</v>
      </c>
      <c r="E1173" s="51">
        <f t="shared" si="422"/>
        <v>1.0695187165775402</v>
      </c>
      <c r="F1173" s="23">
        <f t="shared" si="418"/>
        <v>0.93499999999999994</v>
      </c>
      <c r="G1173" s="65">
        <f t="shared" si="423"/>
        <v>11.764705882352942</v>
      </c>
      <c r="H1173" s="266">
        <v>51</v>
      </c>
      <c r="I1173" s="71"/>
      <c r="J1173" s="23"/>
      <c r="K1173" s="65"/>
      <c r="L1173" s="21">
        <v>600</v>
      </c>
      <c r="M1173" s="21">
        <v>660</v>
      </c>
      <c r="N1173" s="285"/>
      <c r="O1173" s="285"/>
      <c r="P1173" s="285"/>
      <c r="Q1173" s="285"/>
      <c r="R1173" s="285"/>
      <c r="S1173" s="285"/>
      <c r="T1173" s="285"/>
      <c r="U1173" s="285"/>
      <c r="V1173" s="285"/>
      <c r="W1173" s="285"/>
    </row>
    <row r="1174" spans="1:23" s="26" customFormat="1" ht="32.25" customHeight="1" x14ac:dyDescent="0.2">
      <c r="A1174" s="254" t="s">
        <v>3322</v>
      </c>
      <c r="B1174" s="131" t="s">
        <v>3260</v>
      </c>
      <c r="C1174" s="49" t="s">
        <v>1</v>
      </c>
      <c r="D1174" s="300">
        <v>1</v>
      </c>
      <c r="E1174" s="51">
        <f t="shared" si="422"/>
        <v>1.0195412064570943</v>
      </c>
      <c r="F1174" s="23">
        <f t="shared" si="418"/>
        <v>0.98083333333333333</v>
      </c>
      <c r="G1174" s="65">
        <f t="shared" si="423"/>
        <v>11.214953271028037</v>
      </c>
      <c r="H1174" s="266">
        <v>53.5</v>
      </c>
      <c r="I1174" s="71"/>
      <c r="J1174" s="23"/>
      <c r="K1174" s="65"/>
      <c r="L1174" s="21">
        <v>600</v>
      </c>
      <c r="M1174" s="21">
        <v>660</v>
      </c>
      <c r="N1174" s="285"/>
      <c r="O1174" s="285"/>
      <c r="P1174" s="285"/>
      <c r="Q1174" s="285"/>
      <c r="R1174" s="285"/>
      <c r="S1174" s="285"/>
      <c r="T1174" s="285"/>
      <c r="U1174" s="285"/>
      <c r="V1174" s="285"/>
      <c r="W1174" s="285"/>
    </row>
    <row r="1175" spans="1:23" s="26" customFormat="1" ht="32.25" customHeight="1" x14ac:dyDescent="0.2">
      <c r="A1175" s="254" t="s">
        <v>3323</v>
      </c>
      <c r="B1175" s="131" t="s">
        <v>3261</v>
      </c>
      <c r="C1175" s="49" t="s">
        <v>1</v>
      </c>
      <c r="D1175" s="300">
        <v>1</v>
      </c>
      <c r="E1175" s="51">
        <f t="shared" si="422"/>
        <v>0.55319933616079664</v>
      </c>
      <c r="F1175" s="23">
        <f t="shared" si="418"/>
        <v>1.8076666666666665</v>
      </c>
      <c r="G1175" s="65">
        <f t="shared" si="423"/>
        <v>6.0851926977687629</v>
      </c>
      <c r="H1175" s="266">
        <v>98.6</v>
      </c>
      <c r="I1175" s="71"/>
      <c r="J1175" s="23"/>
      <c r="K1175" s="65"/>
      <c r="L1175" s="21">
        <v>600</v>
      </c>
      <c r="M1175" s="21">
        <v>660</v>
      </c>
      <c r="N1175" s="285"/>
      <c r="O1175" s="285"/>
      <c r="P1175" s="285"/>
      <c r="Q1175" s="285"/>
      <c r="R1175" s="285"/>
      <c r="S1175" s="285"/>
      <c r="T1175" s="285"/>
      <c r="U1175" s="285"/>
      <c r="V1175" s="285"/>
      <c r="W1175" s="285"/>
    </row>
    <row r="1176" spans="1:23" s="26" customFormat="1" ht="32.25" customHeight="1" x14ac:dyDescent="0.2">
      <c r="A1176" s="254" t="s">
        <v>3324</v>
      </c>
      <c r="B1176" s="131" t="s">
        <v>3262</v>
      </c>
      <c r="C1176" s="49" t="s">
        <v>1</v>
      </c>
      <c r="D1176" s="300">
        <v>1</v>
      </c>
      <c r="E1176" s="51">
        <f t="shared" si="422"/>
        <v>0.48015364916773373</v>
      </c>
      <c r="F1176" s="23">
        <f t="shared" si="418"/>
        <v>2.0826666666666664</v>
      </c>
      <c r="G1176" s="65">
        <f t="shared" si="423"/>
        <v>5.2816901408450709</v>
      </c>
      <c r="H1176" s="266">
        <v>113.6</v>
      </c>
      <c r="I1176" s="71"/>
      <c r="J1176" s="23"/>
      <c r="K1176" s="65"/>
      <c r="L1176" s="21">
        <v>600</v>
      </c>
      <c r="M1176" s="21">
        <v>660</v>
      </c>
      <c r="N1176" s="285"/>
      <c r="O1176" s="285"/>
      <c r="P1176" s="285"/>
      <c r="Q1176" s="285"/>
      <c r="R1176" s="285"/>
      <c r="S1176" s="285"/>
      <c r="T1176" s="285"/>
      <c r="U1176" s="285"/>
      <c r="V1176" s="285"/>
      <c r="W1176" s="285"/>
    </row>
    <row r="1177" spans="1:23" s="26" customFormat="1" ht="32.25" customHeight="1" x14ac:dyDescent="0.2">
      <c r="A1177" s="254" t="s">
        <v>3325</v>
      </c>
      <c r="B1177" s="131" t="s">
        <v>3263</v>
      </c>
      <c r="C1177" s="49" t="s">
        <v>1</v>
      </c>
      <c r="D1177" s="300">
        <v>1</v>
      </c>
      <c r="E1177" s="51">
        <f t="shared" si="422"/>
        <v>0.45991108385712098</v>
      </c>
      <c r="F1177" s="23">
        <f t="shared" si="418"/>
        <v>2.1743333333333332</v>
      </c>
      <c r="G1177" s="65">
        <f t="shared" si="423"/>
        <v>5.0590219224283306</v>
      </c>
      <c r="H1177" s="266">
        <v>118.6</v>
      </c>
      <c r="I1177" s="71"/>
      <c r="J1177" s="23"/>
      <c r="K1177" s="65"/>
      <c r="L1177" s="21">
        <v>600</v>
      </c>
      <c r="M1177" s="21">
        <v>660</v>
      </c>
      <c r="N1177" s="285"/>
      <c r="O1177" s="285"/>
      <c r="P1177" s="285"/>
      <c r="Q1177" s="285"/>
      <c r="R1177" s="285"/>
      <c r="S1177" s="285"/>
      <c r="T1177" s="285"/>
      <c r="U1177" s="285"/>
      <c r="V1177" s="285"/>
      <c r="W1177" s="285"/>
    </row>
    <row r="1178" spans="1:23" s="26" customFormat="1" ht="32.25" customHeight="1" x14ac:dyDescent="0.2">
      <c r="A1178" s="254" t="s">
        <v>3326</v>
      </c>
      <c r="B1178" s="131" t="s">
        <v>3264</v>
      </c>
      <c r="C1178" s="49" t="s">
        <v>1</v>
      </c>
      <c r="D1178" s="300">
        <v>1</v>
      </c>
      <c r="E1178" s="51">
        <f t="shared" si="422"/>
        <v>0.2611079681448279</v>
      </c>
      <c r="F1178" s="23">
        <f t="shared" si="418"/>
        <v>3.8298333333333332</v>
      </c>
      <c r="G1178" s="65">
        <f t="shared" si="423"/>
        <v>2.8721876495931067</v>
      </c>
      <c r="H1178" s="266">
        <v>208.9</v>
      </c>
      <c r="I1178" s="71"/>
      <c r="J1178" s="23"/>
      <c r="K1178" s="65"/>
      <c r="L1178" s="21">
        <v>600</v>
      </c>
      <c r="M1178" s="21">
        <v>660</v>
      </c>
      <c r="N1178" s="285"/>
      <c r="O1178" s="285"/>
      <c r="P1178" s="285"/>
      <c r="Q1178" s="285"/>
      <c r="R1178" s="285"/>
      <c r="S1178" s="285"/>
      <c r="T1178" s="285"/>
      <c r="U1178" s="285"/>
      <c r="V1178" s="285"/>
      <c r="W1178" s="285"/>
    </row>
    <row r="1179" spans="1:23" s="26" customFormat="1" ht="32.25" customHeight="1" x14ac:dyDescent="0.2">
      <c r="A1179" s="254" t="s">
        <v>3327</v>
      </c>
      <c r="B1179" s="131" t="s">
        <v>3265</v>
      </c>
      <c r="C1179" s="49" t="s">
        <v>1</v>
      </c>
      <c r="D1179" s="300">
        <v>1</v>
      </c>
      <c r="E1179" s="51">
        <f t="shared" si="422"/>
        <v>0.22831919022793865</v>
      </c>
      <c r="F1179" s="23">
        <f t="shared" si="418"/>
        <v>4.3798333333333339</v>
      </c>
      <c r="G1179" s="65">
        <f t="shared" si="423"/>
        <v>2.511511092507325</v>
      </c>
      <c r="H1179" s="266">
        <v>238.9</v>
      </c>
      <c r="I1179" s="71"/>
      <c r="J1179" s="23"/>
      <c r="K1179" s="65"/>
      <c r="L1179" s="21">
        <v>600</v>
      </c>
      <c r="M1179" s="21">
        <v>660</v>
      </c>
      <c r="N1179" s="285"/>
      <c r="O1179" s="285"/>
      <c r="P1179" s="285"/>
      <c r="Q1179" s="285"/>
      <c r="R1179" s="285"/>
      <c r="S1179" s="285"/>
      <c r="T1179" s="285"/>
      <c r="U1179" s="285"/>
      <c r="V1179" s="285"/>
      <c r="W1179" s="285"/>
    </row>
    <row r="1180" spans="1:23" s="26" customFormat="1" ht="32.25" customHeight="1" x14ac:dyDescent="0.2">
      <c r="A1180" s="259"/>
      <c r="B1180" s="260" t="s">
        <v>3287</v>
      </c>
      <c r="C1180" s="261"/>
      <c r="D1180" s="300">
        <v>1</v>
      </c>
      <c r="E1180" s="262"/>
      <c r="F1180" s="263"/>
      <c r="G1180" s="264"/>
      <c r="H1180" s="264"/>
      <c r="I1180" s="71"/>
      <c r="J1180" s="23"/>
      <c r="K1180" s="65"/>
      <c r="L1180" s="21">
        <v>600</v>
      </c>
      <c r="M1180" s="21">
        <v>660</v>
      </c>
      <c r="N1180" s="285"/>
      <c r="O1180" s="285"/>
      <c r="P1180" s="285"/>
      <c r="Q1180" s="285"/>
      <c r="R1180" s="285"/>
      <c r="S1180" s="285"/>
      <c r="T1180" s="285"/>
      <c r="U1180" s="285"/>
      <c r="V1180" s="285"/>
      <c r="W1180" s="285"/>
    </row>
    <row r="1181" spans="1:23" s="26" customFormat="1" ht="32.25" customHeight="1" x14ac:dyDescent="0.2">
      <c r="A1181" s="254" t="s">
        <v>3300</v>
      </c>
      <c r="B1181" s="131" t="s">
        <v>3266</v>
      </c>
      <c r="C1181" s="49" t="s">
        <v>1</v>
      </c>
      <c r="D1181" s="300">
        <v>1</v>
      </c>
      <c r="E1181" s="51">
        <f t="shared" ref="E1181:E1182" si="424">G1181/11</f>
        <v>1.2175324675324677</v>
      </c>
      <c r="F1181" s="23">
        <f t="shared" si="418"/>
        <v>0.82133333333333325</v>
      </c>
      <c r="G1181" s="65">
        <f t="shared" ref="G1181:G1182" si="425">L1181/H1181</f>
        <v>13.392857142857144</v>
      </c>
      <c r="H1181" s="266">
        <v>44.8</v>
      </c>
      <c r="I1181" s="71"/>
      <c r="J1181" s="23"/>
      <c r="K1181" s="65"/>
      <c r="L1181" s="21">
        <v>600</v>
      </c>
      <c r="M1181" s="21">
        <v>660</v>
      </c>
      <c r="N1181" s="285"/>
      <c r="O1181" s="285"/>
      <c r="P1181" s="285"/>
      <c r="Q1181" s="285"/>
      <c r="R1181" s="285"/>
      <c r="S1181" s="285"/>
      <c r="T1181" s="285"/>
      <c r="U1181" s="285"/>
      <c r="V1181" s="285"/>
      <c r="W1181" s="285"/>
    </row>
    <row r="1182" spans="1:23" s="26" customFormat="1" ht="32.25" customHeight="1" x14ac:dyDescent="0.2">
      <c r="A1182" s="254" t="s">
        <v>3301</v>
      </c>
      <c r="B1182" s="131" t="s">
        <v>3267</v>
      </c>
      <c r="C1182" s="49" t="s">
        <v>1</v>
      </c>
      <c r="D1182" s="300">
        <v>1</v>
      </c>
      <c r="E1182" s="51">
        <f t="shared" si="424"/>
        <v>1.1679968853416389</v>
      </c>
      <c r="F1182" s="23">
        <f t="shared" si="418"/>
        <v>0.85616666666666674</v>
      </c>
      <c r="G1182" s="65">
        <f t="shared" si="425"/>
        <v>12.847965738758029</v>
      </c>
      <c r="H1182" s="266">
        <v>46.7</v>
      </c>
      <c r="I1182" s="71"/>
      <c r="J1182" s="23"/>
      <c r="K1182" s="65"/>
      <c r="L1182" s="21">
        <v>600</v>
      </c>
      <c r="M1182" s="21">
        <v>660</v>
      </c>
      <c r="N1182" s="285"/>
      <c r="O1182" s="285"/>
      <c r="P1182" s="285"/>
      <c r="Q1182" s="285"/>
      <c r="R1182" s="285"/>
      <c r="S1182" s="285"/>
      <c r="T1182" s="285"/>
      <c r="U1182" s="285"/>
      <c r="V1182" s="285"/>
      <c r="W1182" s="285"/>
    </row>
    <row r="1183" spans="1:23" s="26" customFormat="1" ht="32.25" customHeight="1" x14ac:dyDescent="0.2">
      <c r="A1183" s="254" t="s">
        <v>3302</v>
      </c>
      <c r="B1183" s="131" t="s">
        <v>3268</v>
      </c>
      <c r="C1183" s="49" t="s">
        <v>1</v>
      </c>
      <c r="D1183" s="300">
        <v>1</v>
      </c>
      <c r="E1183" s="51">
        <f t="shared" ref="E1183:E1190" si="426">G1183/11</f>
        <v>1.1363636363636365</v>
      </c>
      <c r="F1183" s="23">
        <f t="shared" si="418"/>
        <v>0.88</v>
      </c>
      <c r="G1183" s="65">
        <f t="shared" ref="G1183:G1190" si="427">L1183/H1183</f>
        <v>12.5</v>
      </c>
      <c r="H1183" s="266">
        <v>48</v>
      </c>
      <c r="I1183" s="71"/>
      <c r="J1183" s="23"/>
      <c r="K1183" s="65"/>
      <c r="L1183" s="21">
        <v>600</v>
      </c>
      <c r="M1183" s="21">
        <v>660</v>
      </c>
      <c r="N1183" s="285"/>
      <c r="O1183" s="285"/>
      <c r="P1183" s="285"/>
      <c r="Q1183" s="285"/>
      <c r="R1183" s="285"/>
      <c r="S1183" s="285"/>
      <c r="T1183" s="285"/>
      <c r="U1183" s="285"/>
      <c r="V1183" s="285"/>
      <c r="W1183" s="285"/>
    </row>
    <row r="1184" spans="1:23" s="26" customFormat="1" ht="32.25" customHeight="1" x14ac:dyDescent="0.2">
      <c r="A1184" s="254" t="s">
        <v>3303</v>
      </c>
      <c r="B1184" s="131" t="s">
        <v>3269</v>
      </c>
      <c r="C1184" s="49" t="s">
        <v>1</v>
      </c>
      <c r="D1184" s="300">
        <v>1</v>
      </c>
      <c r="E1184" s="51">
        <f t="shared" si="426"/>
        <v>0.97402597402597391</v>
      </c>
      <c r="F1184" s="23">
        <f t="shared" si="418"/>
        <v>1.0266666666666668</v>
      </c>
      <c r="G1184" s="65">
        <f t="shared" si="427"/>
        <v>10.714285714285714</v>
      </c>
      <c r="H1184" s="266">
        <v>56</v>
      </c>
      <c r="I1184" s="71"/>
      <c r="J1184" s="23"/>
      <c r="K1184" s="65"/>
      <c r="L1184" s="21">
        <v>600</v>
      </c>
      <c r="M1184" s="21">
        <v>660</v>
      </c>
      <c r="N1184" s="285"/>
      <c r="O1184" s="285"/>
      <c r="P1184" s="285"/>
      <c r="Q1184" s="285"/>
      <c r="R1184" s="285"/>
      <c r="S1184" s="285"/>
      <c r="T1184" s="285"/>
      <c r="U1184" s="285"/>
      <c r="V1184" s="285"/>
      <c r="W1184" s="285"/>
    </row>
    <row r="1185" spans="1:23" s="26" customFormat="1" ht="32.25" customHeight="1" x14ac:dyDescent="0.2">
      <c r="A1185" s="254" t="s">
        <v>3304</v>
      </c>
      <c r="B1185" s="131" t="s">
        <v>3270</v>
      </c>
      <c r="C1185" s="49" t="s">
        <v>1</v>
      </c>
      <c r="D1185" s="300">
        <v>1</v>
      </c>
      <c r="E1185" s="51">
        <f t="shared" si="426"/>
        <v>0.92764378478664189</v>
      </c>
      <c r="F1185" s="23">
        <f t="shared" si="418"/>
        <v>1.0780000000000001</v>
      </c>
      <c r="G1185" s="65">
        <f t="shared" si="427"/>
        <v>10.204081632653061</v>
      </c>
      <c r="H1185" s="266">
        <v>58.8</v>
      </c>
      <c r="I1185" s="71"/>
      <c r="J1185" s="23"/>
      <c r="K1185" s="65"/>
      <c r="L1185" s="21">
        <v>600</v>
      </c>
      <c r="M1185" s="21">
        <v>660</v>
      </c>
      <c r="N1185" s="285"/>
      <c r="O1185" s="285"/>
      <c r="P1185" s="285"/>
      <c r="Q1185" s="285"/>
      <c r="R1185" s="285"/>
      <c r="S1185" s="285"/>
      <c r="T1185" s="285"/>
      <c r="U1185" s="285"/>
      <c r="V1185" s="285"/>
      <c r="W1185" s="285"/>
    </row>
    <row r="1186" spans="1:23" s="26" customFormat="1" ht="32.25" customHeight="1" x14ac:dyDescent="0.2">
      <c r="A1186" s="254" t="s">
        <v>3305</v>
      </c>
      <c r="B1186" s="131" t="s">
        <v>3271</v>
      </c>
      <c r="C1186" s="49" t="s">
        <v>1</v>
      </c>
      <c r="D1186" s="300">
        <v>1</v>
      </c>
      <c r="E1186" s="51">
        <f t="shared" si="426"/>
        <v>0.50692801622169659</v>
      </c>
      <c r="F1186" s="23">
        <f t="shared" si="418"/>
        <v>1.9726666666666663</v>
      </c>
      <c r="G1186" s="65">
        <f t="shared" si="427"/>
        <v>5.5762081784386623</v>
      </c>
      <c r="H1186" s="266">
        <v>107.6</v>
      </c>
      <c r="I1186" s="71"/>
      <c r="J1186" s="23"/>
      <c r="K1186" s="65"/>
      <c r="L1186" s="21">
        <v>600</v>
      </c>
      <c r="M1186" s="21">
        <v>660</v>
      </c>
      <c r="N1186" s="285"/>
      <c r="O1186" s="285"/>
      <c r="P1186" s="285"/>
      <c r="Q1186" s="285"/>
      <c r="R1186" s="285"/>
      <c r="S1186" s="285"/>
      <c r="T1186" s="285"/>
      <c r="U1186" s="285"/>
      <c r="V1186" s="285"/>
      <c r="W1186" s="285"/>
    </row>
    <row r="1187" spans="1:23" s="26" customFormat="1" ht="32.25" customHeight="1" x14ac:dyDescent="0.2">
      <c r="A1187" s="254" t="s">
        <v>3306</v>
      </c>
      <c r="B1187" s="131" t="s">
        <v>3272</v>
      </c>
      <c r="C1187" s="49" t="s">
        <v>1</v>
      </c>
      <c r="D1187" s="300">
        <v>1</v>
      </c>
      <c r="E1187" s="51">
        <f t="shared" si="426"/>
        <v>0.44130626654898503</v>
      </c>
      <c r="F1187" s="23">
        <f t="shared" si="418"/>
        <v>2.2659999999999996</v>
      </c>
      <c r="G1187" s="65">
        <f t="shared" si="427"/>
        <v>4.8543689320388355</v>
      </c>
      <c r="H1187" s="266">
        <v>123.6</v>
      </c>
      <c r="I1187" s="71"/>
      <c r="J1187" s="23"/>
      <c r="K1187" s="65"/>
      <c r="L1187" s="21">
        <v>600</v>
      </c>
      <c r="M1187" s="21">
        <v>660</v>
      </c>
      <c r="N1187" s="285"/>
      <c r="O1187" s="285"/>
      <c r="P1187" s="285"/>
      <c r="Q1187" s="285"/>
      <c r="R1187" s="285"/>
      <c r="S1187" s="285"/>
      <c r="T1187" s="285"/>
      <c r="U1187" s="285"/>
      <c r="V1187" s="285"/>
      <c r="W1187" s="285"/>
    </row>
    <row r="1188" spans="1:23" s="26" customFormat="1" ht="32.25" customHeight="1" x14ac:dyDescent="0.2">
      <c r="A1188" s="254" t="s">
        <v>3307</v>
      </c>
      <c r="B1188" s="131" t="s">
        <v>3273</v>
      </c>
      <c r="C1188" s="49" t="s">
        <v>1</v>
      </c>
      <c r="D1188" s="300">
        <v>1</v>
      </c>
      <c r="E1188" s="51">
        <f t="shared" si="426"/>
        <v>0.42217844075429217</v>
      </c>
      <c r="F1188" s="23">
        <f t="shared" si="418"/>
        <v>2.3686666666666665</v>
      </c>
      <c r="G1188" s="65">
        <f t="shared" si="427"/>
        <v>4.643962848297214</v>
      </c>
      <c r="H1188" s="266">
        <v>129.19999999999999</v>
      </c>
      <c r="I1188" s="71"/>
      <c r="J1188" s="23"/>
      <c r="K1188" s="65"/>
      <c r="L1188" s="21">
        <v>600</v>
      </c>
      <c r="M1188" s="21">
        <v>660</v>
      </c>
      <c r="N1188" s="285"/>
      <c r="O1188" s="285"/>
      <c r="P1188" s="285"/>
      <c r="Q1188" s="285"/>
      <c r="R1188" s="285"/>
      <c r="S1188" s="285"/>
      <c r="T1188" s="285"/>
      <c r="U1188" s="285"/>
      <c r="V1188" s="285"/>
      <c r="W1188" s="285"/>
    </row>
    <row r="1189" spans="1:23" s="26" customFormat="1" ht="32.25" customHeight="1" x14ac:dyDescent="0.2">
      <c r="A1189" s="254" t="s">
        <v>3308</v>
      </c>
      <c r="B1189" s="131" t="s">
        <v>3274</v>
      </c>
      <c r="C1189" s="49" t="s">
        <v>1</v>
      </c>
      <c r="D1189" s="300">
        <v>1</v>
      </c>
      <c r="E1189" s="51">
        <f t="shared" si="426"/>
        <v>0.24039424656436556</v>
      </c>
      <c r="F1189" s="23">
        <f t="shared" si="418"/>
        <v>4.1598333333333333</v>
      </c>
      <c r="G1189" s="65">
        <f t="shared" si="427"/>
        <v>2.644336712208021</v>
      </c>
      <c r="H1189" s="266">
        <v>226.9</v>
      </c>
      <c r="I1189" s="71"/>
      <c r="J1189" s="23"/>
      <c r="K1189" s="65"/>
      <c r="L1189" s="21">
        <v>600</v>
      </c>
      <c r="M1189" s="21">
        <v>660</v>
      </c>
      <c r="N1189" s="285"/>
      <c r="O1189" s="285"/>
      <c r="P1189" s="285"/>
      <c r="Q1189" s="285"/>
      <c r="R1189" s="285"/>
      <c r="S1189" s="285"/>
      <c r="T1189" s="285"/>
      <c r="U1189" s="285"/>
      <c r="V1189" s="285"/>
      <c r="W1189" s="285"/>
    </row>
    <row r="1190" spans="1:23" s="26" customFormat="1" ht="32.25" customHeight="1" x14ac:dyDescent="0.2">
      <c r="A1190" s="254" t="s">
        <v>3309</v>
      </c>
      <c r="B1190" s="131" t="s">
        <v>3275</v>
      </c>
      <c r="C1190" s="49" t="s">
        <v>1</v>
      </c>
      <c r="D1190" s="300">
        <v>1</v>
      </c>
      <c r="E1190" s="51">
        <f t="shared" si="426"/>
        <v>0.21818181818181817</v>
      </c>
      <c r="F1190" s="23">
        <f t="shared" si="418"/>
        <v>4.5833333333333339</v>
      </c>
      <c r="G1190" s="65">
        <f t="shared" si="427"/>
        <v>2.4</v>
      </c>
      <c r="H1190" s="266">
        <v>250</v>
      </c>
      <c r="I1190" s="71"/>
      <c r="J1190" s="23"/>
      <c r="K1190" s="65"/>
      <c r="L1190" s="21">
        <v>600</v>
      </c>
      <c r="M1190" s="21">
        <v>660</v>
      </c>
      <c r="N1190" s="285"/>
      <c r="O1190" s="285"/>
      <c r="P1190" s="285"/>
      <c r="Q1190" s="285"/>
      <c r="R1190" s="285"/>
      <c r="S1190" s="285"/>
      <c r="T1190" s="285"/>
      <c r="U1190" s="285"/>
      <c r="V1190" s="285"/>
      <c r="W1190" s="285"/>
    </row>
    <row r="1191" spans="1:23" s="26" customFormat="1" ht="32.25" customHeight="1" x14ac:dyDescent="0.2">
      <c r="A1191" s="259"/>
      <c r="B1191" s="260" t="s">
        <v>3276</v>
      </c>
      <c r="C1191" s="261"/>
      <c r="D1191" s="300">
        <v>1</v>
      </c>
      <c r="E1191" s="262"/>
      <c r="F1191" s="263"/>
      <c r="G1191" s="264"/>
      <c r="H1191" s="264"/>
      <c r="I1191" s="71"/>
      <c r="J1191" s="23"/>
      <c r="K1191" s="65"/>
      <c r="L1191" s="21">
        <v>600</v>
      </c>
      <c r="M1191" s="21">
        <v>660</v>
      </c>
      <c r="N1191" s="285"/>
      <c r="O1191" s="285"/>
      <c r="P1191" s="285"/>
      <c r="Q1191" s="285"/>
      <c r="R1191" s="285"/>
      <c r="S1191" s="285"/>
      <c r="T1191" s="285"/>
      <c r="U1191" s="285"/>
      <c r="V1191" s="285"/>
      <c r="W1191" s="285"/>
    </row>
    <row r="1192" spans="1:23" s="26" customFormat="1" ht="32.25" customHeight="1" x14ac:dyDescent="0.2">
      <c r="A1192" s="254" t="s">
        <v>3310</v>
      </c>
      <c r="B1192" s="131" t="s">
        <v>3277</v>
      </c>
      <c r="C1192" s="49" t="s">
        <v>1</v>
      </c>
      <c r="D1192" s="300">
        <v>1</v>
      </c>
      <c r="E1192" s="51">
        <f t="shared" ref="E1192:E1193" si="428">G1192/11</f>
        <v>0.99717467176333718</v>
      </c>
      <c r="F1192" s="23">
        <f t="shared" si="418"/>
        <v>1.0028333333333335</v>
      </c>
      <c r="G1192" s="65">
        <f t="shared" ref="G1192:G1193" si="429">L1192/H1192</f>
        <v>10.968921389396709</v>
      </c>
      <c r="H1192" s="266">
        <v>54.7</v>
      </c>
      <c r="I1192" s="71"/>
      <c r="J1192" s="23"/>
      <c r="K1192" s="65"/>
      <c r="L1192" s="21">
        <v>600</v>
      </c>
      <c r="M1192" s="21">
        <v>660</v>
      </c>
      <c r="N1192" s="285"/>
      <c r="O1192" s="285"/>
      <c r="P1192" s="285"/>
      <c r="Q1192" s="285"/>
      <c r="R1192" s="285"/>
      <c r="S1192" s="285"/>
      <c r="T1192" s="285"/>
      <c r="U1192" s="285"/>
      <c r="V1192" s="285"/>
      <c r="W1192" s="285"/>
    </row>
    <row r="1193" spans="1:23" s="26" customFormat="1" ht="32.25" customHeight="1" x14ac:dyDescent="0.2">
      <c r="A1193" s="254" t="s">
        <v>3311</v>
      </c>
      <c r="B1193" s="131" t="s">
        <v>3278</v>
      </c>
      <c r="C1193" s="49" t="s">
        <v>1</v>
      </c>
      <c r="D1193" s="300">
        <v>1</v>
      </c>
      <c r="E1193" s="51">
        <f t="shared" si="428"/>
        <v>0.95693779904306231</v>
      </c>
      <c r="F1193" s="23">
        <f t="shared" si="418"/>
        <v>1.0449999999999999</v>
      </c>
      <c r="G1193" s="65">
        <f t="shared" si="429"/>
        <v>10.526315789473685</v>
      </c>
      <c r="H1193" s="266">
        <v>57</v>
      </c>
      <c r="I1193" s="71"/>
      <c r="J1193" s="23"/>
      <c r="K1193" s="65"/>
      <c r="L1193" s="21">
        <v>600</v>
      </c>
      <c r="M1193" s="21">
        <v>660</v>
      </c>
      <c r="N1193" s="285"/>
      <c r="O1193" s="285"/>
      <c r="P1193" s="285"/>
      <c r="Q1193" s="285"/>
      <c r="R1193" s="285"/>
      <c r="S1193" s="285"/>
      <c r="T1193" s="285"/>
      <c r="U1193" s="285"/>
      <c r="V1193" s="285"/>
      <c r="W1193" s="285"/>
    </row>
    <row r="1194" spans="1:23" s="26" customFormat="1" ht="32.25" customHeight="1" x14ac:dyDescent="0.2">
      <c r="A1194" s="254" t="s">
        <v>3313</v>
      </c>
      <c r="B1194" s="131" t="s">
        <v>3279</v>
      </c>
      <c r="C1194" s="49" t="s">
        <v>1</v>
      </c>
      <c r="D1194" s="300">
        <v>1</v>
      </c>
      <c r="E1194" s="51">
        <f t="shared" ref="E1194:E1201" si="430">G1194/11</f>
        <v>0.930809804529941</v>
      </c>
      <c r="F1194" s="23">
        <f t="shared" si="418"/>
        <v>1.0743333333333334</v>
      </c>
      <c r="G1194" s="65">
        <f t="shared" ref="G1194:G1201" si="431">L1194/H1194</f>
        <v>10.238907849829351</v>
      </c>
      <c r="H1194" s="266">
        <v>58.6</v>
      </c>
      <c r="I1194" s="71"/>
      <c r="J1194" s="23"/>
      <c r="K1194" s="65"/>
      <c r="L1194" s="21">
        <v>600</v>
      </c>
      <c r="M1194" s="21">
        <v>660</v>
      </c>
      <c r="N1194" s="285"/>
      <c r="O1194" s="285"/>
      <c r="P1194" s="285"/>
      <c r="Q1194" s="285"/>
      <c r="R1194" s="285"/>
      <c r="S1194" s="285"/>
      <c r="T1194" s="285"/>
      <c r="U1194" s="285"/>
      <c r="V1194" s="285"/>
      <c r="W1194" s="285"/>
    </row>
    <row r="1195" spans="1:23" s="26" customFormat="1" ht="32.25" customHeight="1" x14ac:dyDescent="0.2">
      <c r="A1195" s="254" t="s">
        <v>3314</v>
      </c>
      <c r="B1195" s="131" t="s">
        <v>3280</v>
      </c>
      <c r="C1195" s="49" t="s">
        <v>1</v>
      </c>
      <c r="D1195" s="300">
        <v>1</v>
      </c>
      <c r="E1195" s="51">
        <f t="shared" si="430"/>
        <v>0.7986157327299348</v>
      </c>
      <c r="F1195" s="23">
        <f t="shared" si="418"/>
        <v>1.2521666666666667</v>
      </c>
      <c r="G1195" s="65">
        <f t="shared" si="431"/>
        <v>8.7847730600292824</v>
      </c>
      <c r="H1195" s="266">
        <v>68.3</v>
      </c>
      <c r="I1195" s="71"/>
      <c r="J1195" s="23"/>
      <c r="K1195" s="65"/>
      <c r="L1195" s="21">
        <v>600</v>
      </c>
      <c r="M1195" s="21">
        <v>660</v>
      </c>
      <c r="N1195" s="285"/>
      <c r="O1195" s="285"/>
      <c r="P1195" s="285"/>
      <c r="Q1195" s="285"/>
      <c r="R1195" s="285"/>
      <c r="S1195" s="285"/>
      <c r="T1195" s="285"/>
      <c r="U1195" s="285"/>
      <c r="V1195" s="285"/>
      <c r="W1195" s="285"/>
    </row>
    <row r="1196" spans="1:23" s="26" customFormat="1" ht="32.25" customHeight="1" x14ac:dyDescent="0.2">
      <c r="A1196" s="254" t="s">
        <v>3315</v>
      </c>
      <c r="B1196" s="131" t="s">
        <v>3281</v>
      </c>
      <c r="C1196" s="49" t="s">
        <v>1</v>
      </c>
      <c r="D1196" s="300">
        <v>1</v>
      </c>
      <c r="E1196" s="51">
        <f t="shared" si="430"/>
        <v>0.7607455306200076</v>
      </c>
      <c r="F1196" s="23">
        <f t="shared" si="418"/>
        <v>1.3145</v>
      </c>
      <c r="G1196" s="65">
        <f t="shared" si="431"/>
        <v>8.3682008368200833</v>
      </c>
      <c r="H1196" s="266">
        <v>71.7</v>
      </c>
      <c r="I1196" s="71"/>
      <c r="J1196" s="23"/>
      <c r="K1196" s="65"/>
      <c r="L1196" s="21">
        <v>600</v>
      </c>
      <c r="M1196" s="21">
        <v>660</v>
      </c>
      <c r="N1196" s="285"/>
      <c r="O1196" s="285"/>
      <c r="P1196" s="285"/>
      <c r="Q1196" s="285"/>
      <c r="R1196" s="285"/>
      <c r="S1196" s="285"/>
      <c r="T1196" s="285"/>
      <c r="U1196" s="285"/>
      <c r="V1196" s="285"/>
      <c r="W1196" s="285"/>
    </row>
    <row r="1197" spans="1:23" s="26" customFormat="1" ht="32.25" customHeight="1" x14ac:dyDescent="0.2">
      <c r="A1197" s="254" t="s">
        <v>3316</v>
      </c>
      <c r="B1197" s="131" t="s">
        <v>3282</v>
      </c>
      <c r="C1197" s="49" t="s">
        <v>1</v>
      </c>
      <c r="D1197" s="300">
        <v>1</v>
      </c>
      <c r="E1197" s="51">
        <f t="shared" si="430"/>
        <v>0.42348955392433646</v>
      </c>
      <c r="F1197" s="23">
        <f t="shared" si="418"/>
        <v>2.3613333333333335</v>
      </c>
      <c r="G1197" s="65">
        <f t="shared" si="431"/>
        <v>4.6583850931677011</v>
      </c>
      <c r="H1197" s="266">
        <v>128.80000000000001</v>
      </c>
      <c r="I1197" s="71"/>
      <c r="J1197" s="23"/>
      <c r="K1197" s="65"/>
      <c r="L1197" s="21">
        <v>600</v>
      </c>
      <c r="M1197" s="21">
        <v>660</v>
      </c>
      <c r="N1197" s="285"/>
      <c r="O1197" s="285"/>
      <c r="P1197" s="285"/>
      <c r="Q1197" s="285"/>
      <c r="R1197" s="285"/>
      <c r="S1197" s="285"/>
      <c r="T1197" s="285"/>
      <c r="U1197" s="285"/>
      <c r="V1197" s="285"/>
      <c r="W1197" s="285"/>
    </row>
    <row r="1198" spans="1:23" s="26" customFormat="1" ht="32.25" customHeight="1" x14ac:dyDescent="0.2">
      <c r="A1198" s="254" t="s">
        <v>3317</v>
      </c>
      <c r="B1198" s="131" t="s">
        <v>3283</v>
      </c>
      <c r="C1198" s="49" t="s">
        <v>1</v>
      </c>
      <c r="D1198" s="300">
        <v>1</v>
      </c>
      <c r="E1198" s="51">
        <f t="shared" si="430"/>
        <v>0.36805299963194699</v>
      </c>
      <c r="F1198" s="23">
        <f t="shared" si="418"/>
        <v>2.7170000000000001</v>
      </c>
      <c r="G1198" s="65">
        <f t="shared" si="431"/>
        <v>4.048582995951417</v>
      </c>
      <c r="H1198" s="266">
        <v>148.19999999999999</v>
      </c>
      <c r="I1198" s="71"/>
      <c r="J1198" s="23"/>
      <c r="K1198" s="65"/>
      <c r="L1198" s="21">
        <v>600</v>
      </c>
      <c r="M1198" s="21">
        <v>660</v>
      </c>
      <c r="N1198" s="285"/>
      <c r="O1198" s="285"/>
      <c r="P1198" s="285"/>
      <c r="Q1198" s="285"/>
      <c r="R1198" s="285"/>
      <c r="S1198" s="285"/>
      <c r="T1198" s="285"/>
      <c r="U1198" s="285"/>
      <c r="V1198" s="285"/>
      <c r="W1198" s="285"/>
    </row>
    <row r="1199" spans="1:23" s="26" customFormat="1" ht="32.25" customHeight="1" x14ac:dyDescent="0.2">
      <c r="A1199" s="254" t="s">
        <v>3318</v>
      </c>
      <c r="B1199" s="131" t="s">
        <v>3284</v>
      </c>
      <c r="C1199" s="49" t="s">
        <v>1</v>
      </c>
      <c r="D1199" s="300">
        <v>1</v>
      </c>
      <c r="E1199" s="51">
        <f t="shared" si="430"/>
        <v>0.35190615835777128</v>
      </c>
      <c r="F1199" s="23">
        <f t="shared" si="418"/>
        <v>2.8416666666666668</v>
      </c>
      <c r="G1199" s="65">
        <f t="shared" si="431"/>
        <v>3.870967741935484</v>
      </c>
      <c r="H1199" s="266">
        <v>155</v>
      </c>
      <c r="I1199" s="71"/>
      <c r="J1199" s="23"/>
      <c r="K1199" s="65"/>
      <c r="L1199" s="21">
        <v>600</v>
      </c>
      <c r="M1199" s="21">
        <v>660</v>
      </c>
      <c r="N1199" s="285"/>
      <c r="O1199" s="285"/>
      <c r="P1199" s="285"/>
      <c r="Q1199" s="285"/>
      <c r="R1199" s="285"/>
      <c r="S1199" s="285"/>
      <c r="T1199" s="285"/>
      <c r="U1199" s="285"/>
      <c r="V1199" s="285"/>
      <c r="W1199" s="285"/>
    </row>
    <row r="1200" spans="1:23" s="26" customFormat="1" ht="32.25" customHeight="1" x14ac:dyDescent="0.2">
      <c r="A1200" s="254" t="s">
        <v>3319</v>
      </c>
      <c r="B1200" s="131" t="s">
        <v>3285</v>
      </c>
      <c r="C1200" s="49" t="s">
        <v>1</v>
      </c>
      <c r="D1200" s="300">
        <v>1</v>
      </c>
      <c r="E1200" s="51">
        <f t="shared" si="430"/>
        <v>0.20254531951524155</v>
      </c>
      <c r="F1200" s="23">
        <f t="shared" si="418"/>
        <v>4.9371666666666671</v>
      </c>
      <c r="G1200" s="65">
        <f t="shared" si="431"/>
        <v>2.2279985146676569</v>
      </c>
      <c r="H1200" s="266">
        <v>269.3</v>
      </c>
      <c r="I1200" s="71"/>
      <c r="J1200" s="23"/>
      <c r="K1200" s="65"/>
      <c r="L1200" s="21">
        <v>600</v>
      </c>
      <c r="M1200" s="21">
        <v>660</v>
      </c>
      <c r="N1200" s="285"/>
      <c r="O1200" s="285"/>
      <c r="P1200" s="285"/>
      <c r="Q1200" s="285"/>
      <c r="R1200" s="285"/>
      <c r="S1200" s="285"/>
      <c r="T1200" s="285"/>
      <c r="U1200" s="285"/>
      <c r="V1200" s="285"/>
      <c r="W1200" s="285"/>
    </row>
    <row r="1201" spans="1:23" s="26" customFormat="1" ht="32.25" customHeight="1" x14ac:dyDescent="0.2">
      <c r="A1201" s="254" t="s">
        <v>3312</v>
      </c>
      <c r="B1201" s="131" t="s">
        <v>3286</v>
      </c>
      <c r="C1201" s="49" t="s">
        <v>1</v>
      </c>
      <c r="D1201" s="300">
        <v>1</v>
      </c>
      <c r="E1201" s="51">
        <f t="shared" si="430"/>
        <v>0.17883755588673622</v>
      </c>
      <c r="F1201" s="23">
        <f t="shared" si="418"/>
        <v>5.5916666666666668</v>
      </c>
      <c r="G1201" s="65">
        <f t="shared" si="431"/>
        <v>1.9672131147540983</v>
      </c>
      <c r="H1201" s="266">
        <v>305</v>
      </c>
      <c r="I1201" s="71"/>
      <c r="J1201" s="23"/>
      <c r="K1201" s="65"/>
      <c r="L1201" s="21">
        <v>600</v>
      </c>
      <c r="M1201" s="21">
        <v>660</v>
      </c>
      <c r="N1201" s="285"/>
      <c r="O1201" s="285"/>
      <c r="P1201" s="285"/>
      <c r="Q1201" s="285"/>
      <c r="R1201" s="285"/>
      <c r="S1201" s="285"/>
      <c r="T1201" s="285"/>
      <c r="U1201" s="285"/>
      <c r="V1201" s="285"/>
      <c r="W1201" s="285"/>
    </row>
    <row r="1202" spans="1:23" s="26" customFormat="1" ht="32.25" customHeight="1" x14ac:dyDescent="0.2">
      <c r="A1202" s="106"/>
      <c r="B1202" s="207" t="s">
        <v>1515</v>
      </c>
      <c r="C1202" s="208"/>
      <c r="D1202" s="300">
        <v>1</v>
      </c>
      <c r="E1202" s="209"/>
      <c r="F1202" s="54"/>
      <c r="G1202" s="82"/>
      <c r="H1202" s="222"/>
      <c r="I1202" s="71"/>
      <c r="J1202" s="23"/>
      <c r="K1202" s="65"/>
      <c r="L1202" s="21"/>
      <c r="M1202" s="21"/>
      <c r="N1202" s="285"/>
      <c r="O1202" s="285"/>
      <c r="P1202" s="285"/>
      <c r="Q1202" s="285"/>
      <c r="R1202" s="285"/>
      <c r="S1202" s="285"/>
      <c r="T1202" s="285"/>
      <c r="U1202" s="285"/>
      <c r="V1202" s="285"/>
      <c r="W1202" s="285"/>
    </row>
    <row r="1203" spans="1:23" s="26" customFormat="1" ht="32.25" customHeight="1" x14ac:dyDescent="0.3">
      <c r="A1203" s="305" t="s">
        <v>3398</v>
      </c>
      <c r="B1203" s="304" t="s">
        <v>3397</v>
      </c>
      <c r="C1203" s="299" t="s">
        <v>729</v>
      </c>
      <c r="D1203" s="300">
        <v>1</v>
      </c>
      <c r="E1203" s="301">
        <f t="shared" ref="E1203" si="432">G1203/11</f>
        <v>16.363636363636363</v>
      </c>
      <c r="F1203" s="298">
        <f t="shared" ref="F1203" si="433">11/G1203</f>
        <v>6.1111111111111109E-2</v>
      </c>
      <c r="G1203" s="302">
        <f>L1203/H1203</f>
        <v>180</v>
      </c>
      <c r="H1203" s="303">
        <v>3.3333333333333335</v>
      </c>
      <c r="I1203" s="71"/>
      <c r="J1203" s="23"/>
      <c r="K1203" s="65"/>
      <c r="L1203" s="297">
        <v>600</v>
      </c>
      <c r="M1203" s="297">
        <v>660</v>
      </c>
      <c r="N1203" s="285"/>
      <c r="O1203" s="285"/>
      <c r="P1203" s="285"/>
      <c r="Q1203" s="285"/>
      <c r="R1203" s="285"/>
      <c r="S1203" s="285"/>
      <c r="T1203" s="285"/>
      <c r="U1203" s="234"/>
      <c r="V1203" s="285"/>
      <c r="W1203" s="285"/>
    </row>
    <row r="1204" spans="1:23" s="26" customFormat="1" ht="30" customHeight="1" x14ac:dyDescent="0.3">
      <c r="A1204" s="106"/>
      <c r="B1204" s="207" t="s">
        <v>1515</v>
      </c>
      <c r="C1204" s="208"/>
      <c r="D1204" s="300">
        <v>1</v>
      </c>
      <c r="E1204" s="209"/>
      <c r="F1204" s="54"/>
      <c r="G1204" s="82"/>
      <c r="H1204" s="222"/>
      <c r="I1204" s="71"/>
      <c r="J1204" s="23"/>
      <c r="K1204" s="65"/>
      <c r="L1204" s="21"/>
      <c r="M1204" s="21"/>
      <c r="N1204" s="285"/>
      <c r="O1204" s="285"/>
      <c r="P1204" s="285"/>
      <c r="Q1204" s="285"/>
      <c r="R1204" s="285"/>
      <c r="S1204" s="285"/>
      <c r="T1204" s="285"/>
      <c r="U1204" s="234"/>
      <c r="V1204" s="285"/>
      <c r="W1204" s="285"/>
    </row>
    <row r="1205" spans="1:23" s="26" customFormat="1" ht="30" customHeight="1" x14ac:dyDescent="0.3">
      <c r="A1205" s="106" t="s">
        <v>2329</v>
      </c>
      <c r="B1205" s="304" t="s">
        <v>1528</v>
      </c>
      <c r="C1205" s="21" t="s">
        <v>1</v>
      </c>
      <c r="D1205" s="300">
        <v>1</v>
      </c>
      <c r="E1205" s="51">
        <f t="shared" ref="E1205" si="434">G1205/11</f>
        <v>1.7045454545454546</v>
      </c>
      <c r="F1205" s="23">
        <f t="shared" ref="F1205" si="435">11/G1205</f>
        <v>0.58666666666666667</v>
      </c>
      <c r="G1205" s="65">
        <f>L1205/H1205</f>
        <v>18.75</v>
      </c>
      <c r="H1205" s="307">
        <v>32</v>
      </c>
      <c r="I1205" s="77">
        <v>36</v>
      </c>
      <c r="J1205" s="23">
        <f t="shared" ref="J1205:J1231" si="436">11/K1205</f>
        <v>19.200000000000003</v>
      </c>
      <c r="K1205" s="65">
        <f t="shared" ref="K1205:K1231" si="437">M1205/(H1205*I1205)</f>
        <v>0.57291666666666663</v>
      </c>
      <c r="L1205" s="21">
        <v>600</v>
      </c>
      <c r="M1205" s="21">
        <v>660</v>
      </c>
      <c r="N1205" s="285"/>
      <c r="O1205" s="285"/>
      <c r="P1205" s="285"/>
      <c r="Q1205" s="285"/>
      <c r="R1205" s="285"/>
      <c r="S1205" s="285"/>
      <c r="T1205" s="285"/>
      <c r="U1205" s="234"/>
      <c r="V1205" s="285"/>
      <c r="W1205" s="285"/>
    </row>
    <row r="1206" spans="1:23" s="26" customFormat="1" ht="30" customHeight="1" x14ac:dyDescent="0.3">
      <c r="A1206" s="106" t="s">
        <v>2330</v>
      </c>
      <c r="B1206" s="304" t="s">
        <v>1529</v>
      </c>
      <c r="C1206" s="21" t="s">
        <v>1</v>
      </c>
      <c r="D1206" s="300">
        <v>1</v>
      </c>
      <c r="E1206" s="51">
        <f t="shared" ref="E1206:E1214" si="438">G1206/11</f>
        <v>1.5151515151515154</v>
      </c>
      <c r="F1206" s="23">
        <f t="shared" ref="F1206:F1214" si="439">11/G1206</f>
        <v>0.65999999999999992</v>
      </c>
      <c r="G1206" s="65">
        <f t="shared" ref="G1206:G1214" si="440">L1206/H1206</f>
        <v>16.666666666666668</v>
      </c>
      <c r="H1206" s="307">
        <v>36</v>
      </c>
      <c r="I1206" s="77">
        <v>40</v>
      </c>
      <c r="J1206" s="23">
        <f t="shared" si="436"/>
        <v>24</v>
      </c>
      <c r="K1206" s="65">
        <f t="shared" si="437"/>
        <v>0.45833333333333331</v>
      </c>
      <c r="L1206" s="21">
        <v>600</v>
      </c>
      <c r="M1206" s="21">
        <v>660</v>
      </c>
      <c r="N1206" s="285"/>
      <c r="O1206" s="285"/>
      <c r="P1206" s="285"/>
      <c r="Q1206" s="285"/>
      <c r="R1206" s="285"/>
      <c r="S1206" s="285"/>
      <c r="T1206" s="285"/>
      <c r="U1206" s="234"/>
      <c r="V1206" s="285"/>
      <c r="W1206" s="285"/>
    </row>
    <row r="1207" spans="1:23" s="26" customFormat="1" ht="30" customHeight="1" x14ac:dyDescent="0.3">
      <c r="A1207" s="106" t="s">
        <v>2331</v>
      </c>
      <c r="B1207" s="304" t="s">
        <v>1474</v>
      </c>
      <c r="C1207" s="21" t="s">
        <v>1</v>
      </c>
      <c r="D1207" s="300">
        <v>1</v>
      </c>
      <c r="E1207" s="51">
        <f t="shared" si="438"/>
        <v>1.3636363636363635</v>
      </c>
      <c r="F1207" s="23">
        <f t="shared" si="439"/>
        <v>0.73333333333333328</v>
      </c>
      <c r="G1207" s="65">
        <f t="shared" si="440"/>
        <v>15</v>
      </c>
      <c r="H1207" s="307">
        <v>40</v>
      </c>
      <c r="I1207" s="77">
        <v>44</v>
      </c>
      <c r="J1207" s="23">
        <f t="shared" si="436"/>
        <v>29.333333333333332</v>
      </c>
      <c r="K1207" s="65">
        <f t="shared" si="437"/>
        <v>0.375</v>
      </c>
      <c r="L1207" s="21">
        <v>600</v>
      </c>
      <c r="M1207" s="21">
        <v>660</v>
      </c>
      <c r="N1207" s="285"/>
      <c r="O1207" s="285"/>
      <c r="P1207" s="285"/>
      <c r="Q1207" s="285"/>
      <c r="R1207" s="285"/>
      <c r="S1207" s="285"/>
      <c r="T1207" s="285"/>
      <c r="U1207" s="234"/>
      <c r="V1207" s="285"/>
      <c r="W1207" s="285"/>
    </row>
    <row r="1208" spans="1:23" s="26" customFormat="1" ht="36" customHeight="1" x14ac:dyDescent="0.3">
      <c r="A1208" s="106" t="s">
        <v>2332</v>
      </c>
      <c r="B1208" s="304" t="s">
        <v>1530</v>
      </c>
      <c r="C1208" s="21" t="s">
        <v>1</v>
      </c>
      <c r="D1208" s="300">
        <v>1</v>
      </c>
      <c r="E1208" s="51">
        <f t="shared" si="438"/>
        <v>1.2121212121212122</v>
      </c>
      <c r="F1208" s="23">
        <f t="shared" si="439"/>
        <v>0.82499999999999996</v>
      </c>
      <c r="G1208" s="65">
        <f t="shared" si="440"/>
        <v>13.333333333333334</v>
      </c>
      <c r="H1208" s="307">
        <v>45</v>
      </c>
      <c r="I1208" s="77">
        <v>49.6</v>
      </c>
      <c r="J1208" s="23">
        <f t="shared" si="436"/>
        <v>37.199999999999996</v>
      </c>
      <c r="K1208" s="65">
        <f t="shared" si="437"/>
        <v>0.29569892473118281</v>
      </c>
      <c r="L1208" s="21">
        <v>600</v>
      </c>
      <c r="M1208" s="21">
        <v>660</v>
      </c>
      <c r="N1208" s="285"/>
      <c r="O1208" s="285"/>
      <c r="P1208" s="285"/>
      <c r="Q1208" s="285"/>
      <c r="R1208" s="285"/>
      <c r="S1208" s="285"/>
      <c r="T1208" s="285"/>
      <c r="U1208" s="234"/>
      <c r="V1208" s="285"/>
      <c r="W1208" s="285"/>
    </row>
    <row r="1209" spans="1:23" s="26" customFormat="1" ht="30" customHeight="1" x14ac:dyDescent="0.3">
      <c r="A1209" s="106" t="s">
        <v>2333</v>
      </c>
      <c r="B1209" s="304" t="s">
        <v>1531</v>
      </c>
      <c r="C1209" s="21" t="s">
        <v>1</v>
      </c>
      <c r="D1209" s="300">
        <v>1</v>
      </c>
      <c r="E1209" s="51">
        <f t="shared" si="438"/>
        <v>1.0909090909090908</v>
      </c>
      <c r="F1209" s="23">
        <f t="shared" si="439"/>
        <v>0.91666666666666663</v>
      </c>
      <c r="G1209" s="65">
        <f t="shared" si="440"/>
        <v>12</v>
      </c>
      <c r="H1209" s="307">
        <v>50</v>
      </c>
      <c r="I1209" s="77">
        <v>57.06666666666667</v>
      </c>
      <c r="J1209" s="23">
        <f t="shared" si="436"/>
        <v>47.555555555555557</v>
      </c>
      <c r="K1209" s="65">
        <f t="shared" si="437"/>
        <v>0.23130841121495327</v>
      </c>
      <c r="L1209" s="21">
        <v>600</v>
      </c>
      <c r="M1209" s="21">
        <v>660</v>
      </c>
      <c r="N1209" s="285"/>
      <c r="O1209" s="285"/>
      <c r="P1209" s="285"/>
      <c r="Q1209" s="285"/>
      <c r="R1209" s="285"/>
      <c r="S1209" s="285"/>
      <c r="T1209" s="285"/>
      <c r="U1209" s="234"/>
      <c r="V1209" s="285"/>
      <c r="W1209" s="285"/>
    </row>
    <row r="1210" spans="1:23" s="26" customFormat="1" ht="30" customHeight="1" x14ac:dyDescent="0.3">
      <c r="A1210" s="106" t="s">
        <v>2334</v>
      </c>
      <c r="B1210" s="304" t="s">
        <v>1532</v>
      </c>
      <c r="C1210" s="21" t="s">
        <v>1</v>
      </c>
      <c r="D1210" s="300">
        <v>1</v>
      </c>
      <c r="E1210" s="51">
        <f t="shared" si="438"/>
        <v>1.4204545454545454</v>
      </c>
      <c r="F1210" s="23">
        <f t="shared" si="439"/>
        <v>0.70399999999999996</v>
      </c>
      <c r="G1210" s="65">
        <f t="shared" si="440"/>
        <v>15.625</v>
      </c>
      <c r="H1210" s="307">
        <v>38.4</v>
      </c>
      <c r="I1210" s="71">
        <f t="shared" ref="I1210:I1231" si="441">M1210/L1210</f>
        <v>1.1000000000000001</v>
      </c>
      <c r="J1210" s="23">
        <f t="shared" si="436"/>
        <v>0.70399999999999996</v>
      </c>
      <c r="K1210" s="65">
        <f t="shared" si="437"/>
        <v>15.625</v>
      </c>
      <c r="L1210" s="21">
        <v>600</v>
      </c>
      <c r="M1210" s="21">
        <v>660</v>
      </c>
      <c r="N1210" s="285"/>
      <c r="O1210" s="285"/>
      <c r="P1210" s="285"/>
      <c r="Q1210" s="285"/>
      <c r="R1210" s="285"/>
      <c r="S1210" s="285"/>
      <c r="T1210" s="285"/>
      <c r="U1210" s="234"/>
      <c r="V1210" s="285"/>
      <c r="W1210" s="285"/>
    </row>
    <row r="1211" spans="1:23" s="26" customFormat="1" ht="30" customHeight="1" x14ac:dyDescent="0.3">
      <c r="A1211" s="106" t="s">
        <v>2335</v>
      </c>
      <c r="B1211" s="304" t="s">
        <v>3069</v>
      </c>
      <c r="C1211" s="21" t="s">
        <v>1</v>
      </c>
      <c r="D1211" s="300">
        <v>1</v>
      </c>
      <c r="E1211" s="51">
        <f t="shared" si="438"/>
        <v>1.2626262626262628</v>
      </c>
      <c r="F1211" s="23">
        <f t="shared" si="439"/>
        <v>0.79199999999999993</v>
      </c>
      <c r="G1211" s="65">
        <f t="shared" si="440"/>
        <v>13.888888888888891</v>
      </c>
      <c r="H1211" s="307">
        <v>43.199999999999996</v>
      </c>
      <c r="I1211" s="71">
        <f t="shared" si="441"/>
        <v>1.1000000000000001</v>
      </c>
      <c r="J1211" s="23">
        <f t="shared" si="436"/>
        <v>0.79199999999999993</v>
      </c>
      <c r="K1211" s="65">
        <f t="shared" si="437"/>
        <v>13.888888888888889</v>
      </c>
      <c r="L1211" s="21">
        <v>600</v>
      </c>
      <c r="M1211" s="21">
        <v>660</v>
      </c>
      <c r="N1211" s="285"/>
      <c r="O1211" s="285"/>
      <c r="P1211" s="285"/>
      <c r="Q1211" s="285"/>
      <c r="R1211" s="285"/>
      <c r="S1211" s="285"/>
      <c r="T1211" s="285"/>
      <c r="U1211" s="234"/>
      <c r="V1211" s="285"/>
      <c r="W1211" s="285"/>
    </row>
    <row r="1212" spans="1:23" s="26" customFormat="1" ht="30" customHeight="1" x14ac:dyDescent="0.3">
      <c r="A1212" s="106" t="s">
        <v>2336</v>
      </c>
      <c r="B1212" s="304" t="s">
        <v>3070</v>
      </c>
      <c r="C1212" s="21" t="s">
        <v>1</v>
      </c>
      <c r="D1212" s="300">
        <v>1</v>
      </c>
      <c r="E1212" s="51">
        <f t="shared" si="438"/>
        <v>1.1363636363636365</v>
      </c>
      <c r="F1212" s="23">
        <f t="shared" si="439"/>
        <v>0.88</v>
      </c>
      <c r="G1212" s="65">
        <f t="shared" si="440"/>
        <v>12.5</v>
      </c>
      <c r="H1212" s="307">
        <v>48</v>
      </c>
      <c r="I1212" s="71">
        <f t="shared" si="441"/>
        <v>1.1000000000000001</v>
      </c>
      <c r="J1212" s="23">
        <f t="shared" si="436"/>
        <v>0.88000000000000012</v>
      </c>
      <c r="K1212" s="65">
        <f t="shared" si="437"/>
        <v>12.499999999999998</v>
      </c>
      <c r="L1212" s="21">
        <v>600</v>
      </c>
      <c r="M1212" s="21">
        <v>660</v>
      </c>
      <c r="N1212" s="285"/>
      <c r="O1212" s="285"/>
      <c r="P1212" s="285"/>
      <c r="Q1212" s="285"/>
      <c r="R1212" s="285"/>
      <c r="S1212" s="285"/>
      <c r="T1212" s="285"/>
      <c r="U1212" s="234"/>
      <c r="V1212" s="285"/>
      <c r="W1212" s="285"/>
    </row>
    <row r="1213" spans="1:23" s="26" customFormat="1" ht="30" customHeight="1" x14ac:dyDescent="0.3">
      <c r="A1213" s="106" t="s">
        <v>2337</v>
      </c>
      <c r="B1213" s="304" t="s">
        <v>1533</v>
      </c>
      <c r="C1213" s="21" t="s">
        <v>1</v>
      </c>
      <c r="D1213" s="300">
        <v>1</v>
      </c>
      <c r="E1213" s="51">
        <f t="shared" si="438"/>
        <v>1.0101010101010102</v>
      </c>
      <c r="F1213" s="23">
        <f t="shared" si="439"/>
        <v>0.99</v>
      </c>
      <c r="G1213" s="65">
        <f t="shared" si="440"/>
        <v>11.111111111111111</v>
      </c>
      <c r="H1213" s="307">
        <v>54</v>
      </c>
      <c r="I1213" s="71">
        <f t="shared" si="441"/>
        <v>1.1000000000000001</v>
      </c>
      <c r="J1213" s="23">
        <f t="shared" si="436"/>
        <v>0.99</v>
      </c>
      <c r="K1213" s="65">
        <f t="shared" si="437"/>
        <v>11.111111111111111</v>
      </c>
      <c r="L1213" s="21">
        <v>600</v>
      </c>
      <c r="M1213" s="21">
        <v>660</v>
      </c>
      <c r="N1213" s="285"/>
      <c r="O1213" s="285"/>
      <c r="P1213" s="285"/>
      <c r="Q1213" s="285"/>
      <c r="R1213" s="285"/>
      <c r="S1213" s="285"/>
      <c r="T1213" s="285"/>
      <c r="U1213" s="234"/>
      <c r="V1213" s="285"/>
      <c r="W1213" s="285"/>
    </row>
    <row r="1214" spans="1:23" s="26" customFormat="1" ht="30" customHeight="1" x14ac:dyDescent="0.3">
      <c r="A1214" s="106" t="s">
        <v>2338</v>
      </c>
      <c r="B1214" s="304" t="s">
        <v>1534</v>
      </c>
      <c r="C1214" s="21" t="s">
        <v>1</v>
      </c>
      <c r="D1214" s="300">
        <v>1</v>
      </c>
      <c r="E1214" s="51">
        <f t="shared" si="438"/>
        <v>0.90909090909090906</v>
      </c>
      <c r="F1214" s="23">
        <f t="shared" si="439"/>
        <v>1.1000000000000001</v>
      </c>
      <c r="G1214" s="65">
        <f t="shared" si="440"/>
        <v>10</v>
      </c>
      <c r="H1214" s="307">
        <v>60</v>
      </c>
      <c r="I1214" s="71">
        <f t="shared" si="441"/>
        <v>1.1000000000000001</v>
      </c>
      <c r="J1214" s="23">
        <f t="shared" si="436"/>
        <v>1.1000000000000001</v>
      </c>
      <c r="K1214" s="65">
        <f t="shared" si="437"/>
        <v>10</v>
      </c>
      <c r="L1214" s="21">
        <v>600</v>
      </c>
      <c r="M1214" s="21">
        <v>660</v>
      </c>
      <c r="N1214" s="285"/>
      <c r="O1214" s="285"/>
      <c r="P1214" s="285"/>
      <c r="Q1214" s="285"/>
      <c r="R1214" s="285"/>
      <c r="S1214" s="285"/>
      <c r="T1214" s="285"/>
      <c r="U1214" s="234"/>
      <c r="V1214" s="285"/>
      <c r="W1214" s="285"/>
    </row>
    <row r="1215" spans="1:23" s="26" customFormat="1" ht="30" customHeight="1" x14ac:dyDescent="0.3">
      <c r="A1215" s="106" t="s">
        <v>2339</v>
      </c>
      <c r="B1215" s="131" t="s">
        <v>1535</v>
      </c>
      <c r="C1215" s="21" t="s">
        <v>1</v>
      </c>
      <c r="D1215" s="300">
        <v>1</v>
      </c>
      <c r="E1215" s="51">
        <f t="shared" ref="E1215:E1231" si="442">G1215/11</f>
        <v>1.512462692586916</v>
      </c>
      <c r="F1215" s="23">
        <f t="shared" ref="F1215:F1230" si="443">11/G1215</f>
        <v>0.66117333333333339</v>
      </c>
      <c r="G1215" s="65">
        <f t="shared" ref="G1215:G1231" si="444">L1215/H1215</f>
        <v>16.637089618456077</v>
      </c>
      <c r="H1215" s="303">
        <v>36.064</v>
      </c>
      <c r="I1215" s="71">
        <f t="shared" si="441"/>
        <v>1.1000000000000001</v>
      </c>
      <c r="J1215" s="23">
        <f t="shared" si="436"/>
        <v>0.66117333333333339</v>
      </c>
      <c r="K1215" s="65">
        <f t="shared" si="437"/>
        <v>16.637089618456077</v>
      </c>
      <c r="L1215" s="21">
        <v>600</v>
      </c>
      <c r="M1215" s="21">
        <v>660</v>
      </c>
      <c r="N1215" s="285"/>
      <c r="O1215" s="285"/>
      <c r="P1215" s="285"/>
      <c r="Q1215" s="285"/>
      <c r="R1215" s="285"/>
      <c r="S1215" s="285"/>
      <c r="T1215" s="285"/>
      <c r="U1215" s="234"/>
      <c r="V1215" s="285"/>
      <c r="W1215" s="285"/>
    </row>
    <row r="1216" spans="1:23" s="26" customFormat="1" ht="30" customHeight="1" x14ac:dyDescent="0.3">
      <c r="A1216" s="106" t="s">
        <v>2340</v>
      </c>
      <c r="B1216" s="131" t="s">
        <v>3071</v>
      </c>
      <c r="C1216" s="21" t="s">
        <v>1</v>
      </c>
      <c r="D1216" s="300">
        <v>1</v>
      </c>
      <c r="E1216" s="51">
        <f t="shared" si="442"/>
        <v>1.3914656771799629</v>
      </c>
      <c r="F1216" s="23">
        <f t="shared" si="443"/>
        <v>0.71866666666666668</v>
      </c>
      <c r="G1216" s="65">
        <f t="shared" si="444"/>
        <v>15.306122448979592</v>
      </c>
      <c r="H1216" s="303">
        <v>39.200000000000003</v>
      </c>
      <c r="I1216" s="71">
        <f t="shared" si="441"/>
        <v>1.1000000000000001</v>
      </c>
      <c r="J1216" s="23">
        <f t="shared" si="436"/>
        <v>0.71866666666666679</v>
      </c>
      <c r="K1216" s="65">
        <f t="shared" si="437"/>
        <v>15.30612244897959</v>
      </c>
      <c r="L1216" s="21">
        <v>600</v>
      </c>
      <c r="M1216" s="21">
        <v>660</v>
      </c>
      <c r="N1216" s="285"/>
      <c r="O1216" s="285"/>
      <c r="P1216" s="285"/>
      <c r="Q1216" s="285"/>
      <c r="R1216" s="285"/>
      <c r="S1216" s="285"/>
      <c r="T1216" s="285"/>
      <c r="U1216" s="234"/>
      <c r="V1216" s="285"/>
      <c r="W1216" s="285"/>
    </row>
    <row r="1217" spans="1:23" s="26" customFormat="1" ht="30" customHeight="1" x14ac:dyDescent="0.3">
      <c r="A1217" s="106" t="s">
        <v>2341</v>
      </c>
      <c r="B1217" s="131" t="s">
        <v>3072</v>
      </c>
      <c r="C1217" s="21" t="s">
        <v>1</v>
      </c>
      <c r="D1217" s="300">
        <v>1</v>
      </c>
      <c r="E1217" s="51">
        <f t="shared" si="442"/>
        <v>1.2883941455370027</v>
      </c>
      <c r="F1217" s="23">
        <f t="shared" si="443"/>
        <v>0.77615999999999996</v>
      </c>
      <c r="G1217" s="65">
        <f t="shared" si="444"/>
        <v>14.172335600907029</v>
      </c>
      <c r="H1217" s="303">
        <v>42.335999999999999</v>
      </c>
      <c r="I1217" s="71">
        <f t="shared" si="441"/>
        <v>1.1000000000000001</v>
      </c>
      <c r="J1217" s="23">
        <f t="shared" si="436"/>
        <v>0.77615999999999996</v>
      </c>
      <c r="K1217" s="65">
        <f t="shared" si="437"/>
        <v>14.172335600907029</v>
      </c>
      <c r="L1217" s="21">
        <v>600</v>
      </c>
      <c r="M1217" s="21">
        <v>660</v>
      </c>
      <c r="N1217" s="285"/>
      <c r="O1217" s="285"/>
      <c r="P1217" s="285"/>
      <c r="Q1217" s="285"/>
      <c r="R1217" s="285"/>
      <c r="S1217" s="285"/>
      <c r="T1217" s="285"/>
      <c r="U1217" s="234"/>
      <c r="V1217" s="285"/>
      <c r="W1217" s="285"/>
    </row>
    <row r="1218" spans="1:23" s="26" customFormat="1" ht="30" customHeight="1" x14ac:dyDescent="0.3">
      <c r="A1218" s="106" t="s">
        <v>2342</v>
      </c>
      <c r="B1218" s="131" t="s">
        <v>1536</v>
      </c>
      <c r="C1218" s="21" t="s">
        <v>1</v>
      </c>
      <c r="D1218" s="300">
        <v>1</v>
      </c>
      <c r="E1218" s="51">
        <f t="shared" si="442"/>
        <v>1.1969597223053443</v>
      </c>
      <c r="F1218" s="23">
        <f t="shared" si="443"/>
        <v>0.83545000000000003</v>
      </c>
      <c r="G1218" s="65">
        <f t="shared" si="444"/>
        <v>13.166556945358789</v>
      </c>
      <c r="H1218" s="303">
        <v>45.57</v>
      </c>
      <c r="I1218" s="71">
        <f t="shared" si="441"/>
        <v>1.1000000000000001</v>
      </c>
      <c r="J1218" s="23">
        <f t="shared" si="436"/>
        <v>0.83545000000000003</v>
      </c>
      <c r="K1218" s="65">
        <f t="shared" si="437"/>
        <v>13.166556945358789</v>
      </c>
      <c r="L1218" s="21">
        <v>600</v>
      </c>
      <c r="M1218" s="21">
        <v>660</v>
      </c>
      <c r="N1218" s="285"/>
      <c r="O1218" s="285"/>
      <c r="P1218" s="285"/>
      <c r="Q1218" s="285"/>
      <c r="R1218" s="285"/>
      <c r="S1218" s="285"/>
      <c r="T1218" s="285"/>
      <c r="U1218" s="234"/>
      <c r="V1218" s="285"/>
      <c r="W1218" s="285"/>
    </row>
    <row r="1219" spans="1:23" s="26" customFormat="1" ht="30" customHeight="1" x14ac:dyDescent="0.3">
      <c r="A1219" s="106" t="s">
        <v>2343</v>
      </c>
      <c r="B1219" s="131" t="s">
        <v>1537</v>
      </c>
      <c r="C1219" s="21" t="s">
        <v>1</v>
      </c>
      <c r="D1219" s="300">
        <v>1</v>
      </c>
      <c r="E1219" s="51">
        <f t="shared" si="442"/>
        <v>1.0403481698541779</v>
      </c>
      <c r="F1219" s="23">
        <f t="shared" si="443"/>
        <v>0.96121666666666661</v>
      </c>
      <c r="G1219" s="65">
        <f t="shared" si="444"/>
        <v>11.443829868395957</v>
      </c>
      <c r="H1219" s="303">
        <v>52.43</v>
      </c>
      <c r="I1219" s="71">
        <f t="shared" si="441"/>
        <v>1.1000000000000001</v>
      </c>
      <c r="J1219" s="23">
        <f t="shared" si="436"/>
        <v>0.96121666666666661</v>
      </c>
      <c r="K1219" s="65">
        <f t="shared" si="437"/>
        <v>11.443829868395957</v>
      </c>
      <c r="L1219" s="21">
        <v>600</v>
      </c>
      <c r="M1219" s="21">
        <v>660</v>
      </c>
      <c r="N1219" s="285"/>
      <c r="O1219" s="285"/>
      <c r="P1219" s="285"/>
      <c r="Q1219" s="285"/>
      <c r="R1219" s="285"/>
      <c r="S1219" s="285"/>
      <c r="T1219" s="285"/>
      <c r="U1219" s="234"/>
      <c r="V1219" s="285"/>
      <c r="W1219" s="285"/>
    </row>
    <row r="1220" spans="1:23" s="26" customFormat="1" ht="30" customHeight="1" x14ac:dyDescent="0.3">
      <c r="A1220" s="106" t="s">
        <v>2344</v>
      </c>
      <c r="B1220" s="131" t="s">
        <v>1538</v>
      </c>
      <c r="C1220" s="21" t="s">
        <v>1</v>
      </c>
      <c r="D1220" s="300">
        <v>1</v>
      </c>
      <c r="E1220" s="51">
        <f t="shared" si="442"/>
        <v>1.0803304947049404</v>
      </c>
      <c r="F1220" s="23">
        <f t="shared" si="443"/>
        <v>0.9256426666666665</v>
      </c>
      <c r="G1220" s="65">
        <f t="shared" si="444"/>
        <v>11.883635441754343</v>
      </c>
      <c r="H1220" s="77">
        <v>50.489599999999996</v>
      </c>
      <c r="I1220" s="71">
        <f t="shared" si="441"/>
        <v>1.1000000000000001</v>
      </c>
      <c r="J1220" s="23">
        <f t="shared" si="436"/>
        <v>0.92564266666666661</v>
      </c>
      <c r="K1220" s="65">
        <f t="shared" si="437"/>
        <v>11.883635441754341</v>
      </c>
      <c r="L1220" s="21">
        <v>600</v>
      </c>
      <c r="M1220" s="21">
        <v>660</v>
      </c>
      <c r="N1220" s="285"/>
      <c r="O1220" s="285"/>
      <c r="P1220" s="285"/>
      <c r="Q1220" s="285"/>
      <c r="R1220" s="285"/>
      <c r="S1220" s="285"/>
      <c r="T1220" s="285"/>
      <c r="U1220" s="234"/>
      <c r="V1220" s="285"/>
      <c r="W1220" s="285"/>
    </row>
    <row r="1221" spans="1:23" s="26" customFormat="1" ht="30" customHeight="1" x14ac:dyDescent="0.3">
      <c r="A1221" s="106" t="s">
        <v>2345</v>
      </c>
      <c r="B1221" s="131" t="s">
        <v>3074</v>
      </c>
      <c r="C1221" s="21" t="s">
        <v>1</v>
      </c>
      <c r="D1221" s="300">
        <v>1</v>
      </c>
      <c r="E1221" s="51">
        <f t="shared" si="442"/>
        <v>0.99390405512854485</v>
      </c>
      <c r="F1221" s="23">
        <f t="shared" si="443"/>
        <v>1.0061333333333333</v>
      </c>
      <c r="G1221" s="65">
        <f t="shared" si="444"/>
        <v>10.932944606413994</v>
      </c>
      <c r="H1221" s="303">
        <v>54.88</v>
      </c>
      <c r="I1221" s="71">
        <f t="shared" si="441"/>
        <v>1.1000000000000001</v>
      </c>
      <c r="J1221" s="23">
        <f t="shared" si="436"/>
        <v>1.0061333333333335</v>
      </c>
      <c r="K1221" s="65">
        <f t="shared" si="437"/>
        <v>10.932944606413992</v>
      </c>
      <c r="L1221" s="21">
        <v>600</v>
      </c>
      <c r="M1221" s="21">
        <v>660</v>
      </c>
      <c r="N1221" s="285"/>
      <c r="O1221" s="285"/>
      <c r="P1221" s="285"/>
      <c r="Q1221" s="285"/>
      <c r="R1221" s="285"/>
      <c r="S1221" s="285"/>
      <c r="T1221" s="285"/>
      <c r="U1221" s="234"/>
      <c r="V1221" s="285"/>
      <c r="W1221" s="285"/>
    </row>
    <row r="1222" spans="1:23" s="26" customFormat="1" ht="30" customHeight="1" x14ac:dyDescent="0.3">
      <c r="A1222" s="106" t="s">
        <v>2346</v>
      </c>
      <c r="B1222" s="131" t="s">
        <v>3073</v>
      </c>
      <c r="C1222" s="21" t="s">
        <v>1</v>
      </c>
      <c r="D1222" s="300">
        <v>1</v>
      </c>
      <c r="E1222" s="51">
        <f t="shared" si="442"/>
        <v>0.92028153252643063</v>
      </c>
      <c r="F1222" s="23">
        <f t="shared" si="443"/>
        <v>1.0866239999999998</v>
      </c>
      <c r="G1222" s="65">
        <f t="shared" si="444"/>
        <v>10.123096857790737</v>
      </c>
      <c r="H1222" s="303">
        <v>59.270399999999995</v>
      </c>
      <c r="I1222" s="71">
        <f t="shared" si="441"/>
        <v>1.1000000000000001</v>
      </c>
      <c r="J1222" s="23">
        <f t="shared" si="436"/>
        <v>1.086624</v>
      </c>
      <c r="K1222" s="65">
        <f t="shared" si="437"/>
        <v>10.123096857790735</v>
      </c>
      <c r="L1222" s="21">
        <v>600</v>
      </c>
      <c r="M1222" s="21">
        <v>660</v>
      </c>
      <c r="N1222" s="285"/>
      <c r="O1222" s="285"/>
      <c r="P1222" s="285"/>
      <c r="Q1222" s="285"/>
      <c r="R1222" s="285"/>
      <c r="S1222" s="285"/>
      <c r="T1222" s="285"/>
      <c r="U1222" s="234"/>
      <c r="V1222" s="285"/>
      <c r="W1222" s="285"/>
    </row>
    <row r="1223" spans="1:23" s="26" customFormat="1" ht="30" customHeight="1" x14ac:dyDescent="0.3">
      <c r="A1223" s="106" t="s">
        <v>2347</v>
      </c>
      <c r="B1223" s="131" t="s">
        <v>1539</v>
      </c>
      <c r="C1223" s="21" t="s">
        <v>1</v>
      </c>
      <c r="D1223" s="300">
        <v>1</v>
      </c>
      <c r="E1223" s="51">
        <f t="shared" si="442"/>
        <v>0.85497123021810317</v>
      </c>
      <c r="F1223" s="23">
        <f t="shared" si="443"/>
        <v>1.1696299999999999</v>
      </c>
      <c r="G1223" s="65">
        <f t="shared" si="444"/>
        <v>9.4046835323991349</v>
      </c>
      <c r="H1223" s="303">
        <v>63.797999999999995</v>
      </c>
      <c r="I1223" s="71">
        <f t="shared" si="441"/>
        <v>1.1000000000000001</v>
      </c>
      <c r="J1223" s="23">
        <f t="shared" si="436"/>
        <v>1.1696299999999999</v>
      </c>
      <c r="K1223" s="65">
        <f t="shared" si="437"/>
        <v>9.4046835323991349</v>
      </c>
      <c r="L1223" s="21">
        <v>600</v>
      </c>
      <c r="M1223" s="21">
        <v>660</v>
      </c>
      <c r="N1223" s="285"/>
      <c r="O1223" s="285"/>
      <c r="P1223" s="285"/>
      <c r="Q1223" s="285"/>
      <c r="R1223" s="285"/>
      <c r="S1223" s="285"/>
      <c r="T1223" s="285"/>
      <c r="U1223" s="234"/>
      <c r="V1223" s="285"/>
      <c r="W1223" s="285"/>
    </row>
    <row r="1224" spans="1:23" s="26" customFormat="1" ht="30" customHeight="1" x14ac:dyDescent="0.3">
      <c r="A1224" s="106" t="s">
        <v>2348</v>
      </c>
      <c r="B1224" s="131" t="s">
        <v>1540</v>
      </c>
      <c r="C1224" s="21" t="s">
        <v>1</v>
      </c>
      <c r="D1224" s="300">
        <v>1</v>
      </c>
      <c r="E1224" s="51">
        <f t="shared" si="442"/>
        <v>0.74310583561012711</v>
      </c>
      <c r="F1224" s="23">
        <f t="shared" si="443"/>
        <v>1.3457033333333333</v>
      </c>
      <c r="G1224" s="65">
        <f t="shared" si="444"/>
        <v>8.1741641917113981</v>
      </c>
      <c r="H1224" s="303">
        <v>73.402000000000001</v>
      </c>
      <c r="I1224" s="71">
        <f t="shared" si="441"/>
        <v>1.1000000000000001</v>
      </c>
      <c r="J1224" s="23">
        <f t="shared" si="436"/>
        <v>1.3457033333333335</v>
      </c>
      <c r="K1224" s="65">
        <f t="shared" si="437"/>
        <v>8.1741641917113963</v>
      </c>
      <c r="L1224" s="21">
        <v>600</v>
      </c>
      <c r="M1224" s="21">
        <v>660</v>
      </c>
      <c r="N1224" s="285"/>
      <c r="O1224" s="285"/>
      <c r="P1224" s="285"/>
      <c r="Q1224" s="285"/>
      <c r="R1224" s="285"/>
      <c r="S1224" s="285"/>
      <c r="T1224" s="285"/>
      <c r="U1224" s="234"/>
      <c r="V1224" s="285"/>
      <c r="W1224" s="285"/>
    </row>
    <row r="1225" spans="1:23" s="26" customFormat="1" ht="30" customHeight="1" x14ac:dyDescent="0.3">
      <c r="A1225" s="106" t="s">
        <v>2349</v>
      </c>
      <c r="B1225" s="131" t="s">
        <v>1541</v>
      </c>
      <c r="C1225" s="21" t="s">
        <v>1</v>
      </c>
      <c r="D1225" s="300">
        <v>1</v>
      </c>
      <c r="E1225" s="51">
        <f t="shared" si="442"/>
        <v>1.4822134387351775</v>
      </c>
      <c r="F1225" s="23">
        <f t="shared" si="443"/>
        <v>0.67466666666666675</v>
      </c>
      <c r="G1225" s="65">
        <f t="shared" si="444"/>
        <v>16.304347826086953</v>
      </c>
      <c r="H1225" s="77">
        <v>36.800000000000004</v>
      </c>
      <c r="I1225" s="71">
        <f t="shared" si="441"/>
        <v>1.1000000000000001</v>
      </c>
      <c r="J1225" s="23">
        <f t="shared" si="436"/>
        <v>0.67466666666666675</v>
      </c>
      <c r="K1225" s="65">
        <f t="shared" si="437"/>
        <v>16.304347826086953</v>
      </c>
      <c r="L1225" s="21">
        <v>600</v>
      </c>
      <c r="M1225" s="21">
        <v>660</v>
      </c>
      <c r="N1225" s="285"/>
      <c r="O1225" s="285"/>
      <c r="P1225" s="285"/>
      <c r="Q1225" s="285"/>
      <c r="R1225" s="285"/>
      <c r="S1225" s="285"/>
      <c r="T1225" s="285"/>
      <c r="U1225" s="234"/>
      <c r="V1225" s="285"/>
      <c r="W1225" s="285"/>
    </row>
    <row r="1226" spans="1:23" s="26" customFormat="1" ht="30" customHeight="1" x14ac:dyDescent="0.3">
      <c r="A1226" s="106" t="s">
        <v>2350</v>
      </c>
      <c r="B1226" s="131" t="s">
        <v>3076</v>
      </c>
      <c r="C1226" s="21" t="s">
        <v>1</v>
      </c>
      <c r="D1226" s="300">
        <v>1</v>
      </c>
      <c r="E1226" s="51">
        <f t="shared" si="442"/>
        <v>1.3636363636363635</v>
      </c>
      <c r="F1226" s="23">
        <f t="shared" si="443"/>
        <v>0.73333333333333328</v>
      </c>
      <c r="G1226" s="65">
        <f t="shared" si="444"/>
        <v>15</v>
      </c>
      <c r="H1226" s="77">
        <v>40</v>
      </c>
      <c r="I1226" s="71">
        <f t="shared" si="441"/>
        <v>1.1000000000000001</v>
      </c>
      <c r="J1226" s="23">
        <f t="shared" si="436"/>
        <v>0.73333333333333328</v>
      </c>
      <c r="K1226" s="65">
        <f t="shared" si="437"/>
        <v>15</v>
      </c>
      <c r="L1226" s="21">
        <v>600</v>
      </c>
      <c r="M1226" s="21">
        <v>660</v>
      </c>
      <c r="N1226" s="285"/>
      <c r="O1226" s="285"/>
      <c r="P1226" s="285"/>
      <c r="Q1226" s="285"/>
      <c r="R1226" s="285"/>
      <c r="S1226" s="285"/>
      <c r="T1226" s="285"/>
      <c r="U1226" s="234"/>
      <c r="V1226" s="285"/>
      <c r="W1226" s="285"/>
    </row>
    <row r="1227" spans="1:23" s="26" customFormat="1" ht="30" customHeight="1" x14ac:dyDescent="0.3">
      <c r="A1227" s="106" t="s">
        <v>2351</v>
      </c>
      <c r="B1227" s="131" t="s">
        <v>3075</v>
      </c>
      <c r="C1227" s="21" t="s">
        <v>1</v>
      </c>
      <c r="D1227" s="300">
        <v>1</v>
      </c>
      <c r="E1227" s="51">
        <f t="shared" si="442"/>
        <v>1.2626262626262625</v>
      </c>
      <c r="F1227" s="23">
        <f t="shared" si="443"/>
        <v>0.79200000000000004</v>
      </c>
      <c r="G1227" s="65">
        <f t="shared" si="444"/>
        <v>13.888888888888888</v>
      </c>
      <c r="H1227" s="77">
        <v>43.2</v>
      </c>
      <c r="I1227" s="71">
        <f t="shared" si="441"/>
        <v>1.1000000000000001</v>
      </c>
      <c r="J1227" s="23">
        <f t="shared" si="436"/>
        <v>0.79200000000000015</v>
      </c>
      <c r="K1227" s="65">
        <f t="shared" si="437"/>
        <v>13.888888888888886</v>
      </c>
      <c r="L1227" s="21">
        <v>600</v>
      </c>
      <c r="M1227" s="21">
        <v>660</v>
      </c>
      <c r="N1227" s="285"/>
      <c r="O1227" s="285"/>
      <c r="P1227" s="285"/>
      <c r="Q1227" s="285"/>
      <c r="R1227" s="285"/>
      <c r="S1227" s="285"/>
      <c r="T1227" s="285"/>
      <c r="U1227" s="234"/>
      <c r="V1227" s="285"/>
      <c r="W1227" s="285"/>
    </row>
    <row r="1228" spans="1:23" s="26" customFormat="1" ht="30" customHeight="1" x14ac:dyDescent="0.3">
      <c r="A1228" s="106" t="s">
        <v>2352</v>
      </c>
      <c r="B1228" s="131" t="s">
        <v>1542</v>
      </c>
      <c r="C1228" s="21" t="s">
        <v>1</v>
      </c>
      <c r="D1228" s="300">
        <v>1</v>
      </c>
      <c r="E1228" s="51">
        <f t="shared" si="442"/>
        <v>1.1730205278592374</v>
      </c>
      <c r="F1228" s="23">
        <f t="shared" si="443"/>
        <v>0.85250000000000004</v>
      </c>
      <c r="G1228" s="65">
        <f t="shared" si="444"/>
        <v>12.903225806451612</v>
      </c>
      <c r="H1228" s="77">
        <v>46.5</v>
      </c>
      <c r="I1228" s="71">
        <f t="shared" si="441"/>
        <v>1.1000000000000001</v>
      </c>
      <c r="J1228" s="23">
        <f t="shared" si="436"/>
        <v>0.85250000000000004</v>
      </c>
      <c r="K1228" s="65">
        <f t="shared" si="437"/>
        <v>12.903225806451612</v>
      </c>
      <c r="L1228" s="21">
        <v>600</v>
      </c>
      <c r="M1228" s="21">
        <v>660</v>
      </c>
      <c r="N1228" s="285"/>
      <c r="O1228" s="285"/>
      <c r="P1228" s="285"/>
      <c r="Q1228" s="285"/>
      <c r="R1228" s="285"/>
      <c r="S1228" s="285"/>
      <c r="T1228" s="285"/>
      <c r="U1228" s="234"/>
      <c r="V1228" s="285"/>
      <c r="W1228" s="285"/>
    </row>
    <row r="1229" spans="1:23" s="26" customFormat="1" ht="30" customHeight="1" x14ac:dyDescent="0.3">
      <c r="A1229" s="106" t="s">
        <v>2353</v>
      </c>
      <c r="B1229" s="131" t="s">
        <v>1543</v>
      </c>
      <c r="C1229" s="21" t="s">
        <v>1</v>
      </c>
      <c r="D1229" s="300">
        <v>1</v>
      </c>
      <c r="E1229" s="51">
        <f t="shared" si="442"/>
        <v>1.0195412064570943</v>
      </c>
      <c r="F1229" s="23">
        <f t="shared" si="443"/>
        <v>0.98083333333333333</v>
      </c>
      <c r="G1229" s="65">
        <f t="shared" si="444"/>
        <v>11.214953271028037</v>
      </c>
      <c r="H1229" s="77">
        <v>53.5</v>
      </c>
      <c r="I1229" s="71">
        <f t="shared" si="441"/>
        <v>1.1000000000000001</v>
      </c>
      <c r="J1229" s="23">
        <f t="shared" si="436"/>
        <v>0.98083333333333333</v>
      </c>
      <c r="K1229" s="65">
        <f t="shared" si="437"/>
        <v>11.214953271028037</v>
      </c>
      <c r="L1229" s="21">
        <v>600</v>
      </c>
      <c r="M1229" s="21">
        <v>660</v>
      </c>
      <c r="N1229" s="285"/>
      <c r="O1229" s="285"/>
      <c r="P1229" s="285"/>
      <c r="Q1229" s="285"/>
      <c r="R1229" s="285"/>
      <c r="S1229" s="285"/>
      <c r="T1229" s="285"/>
      <c r="U1229" s="234"/>
      <c r="V1229" s="285"/>
      <c r="W1229" s="285"/>
    </row>
    <row r="1230" spans="1:23" s="26" customFormat="1" ht="30" customHeight="1" x14ac:dyDescent="0.3">
      <c r="A1230" s="106" t="s">
        <v>2991</v>
      </c>
      <c r="B1230" s="131" t="s">
        <v>2989</v>
      </c>
      <c r="C1230" s="21" t="s">
        <v>1</v>
      </c>
      <c r="D1230" s="300">
        <v>1</v>
      </c>
      <c r="E1230" s="51">
        <f t="shared" si="442"/>
        <v>0.54545454545454541</v>
      </c>
      <c r="F1230" s="23">
        <f t="shared" si="443"/>
        <v>1.8333333333333333</v>
      </c>
      <c r="G1230" s="65">
        <f t="shared" si="444"/>
        <v>6</v>
      </c>
      <c r="H1230" s="77">
        <v>100</v>
      </c>
      <c r="I1230" s="71">
        <f t="shared" si="441"/>
        <v>1.1000000000000001</v>
      </c>
      <c r="J1230" s="23">
        <f t="shared" si="436"/>
        <v>1.8333333333333337</v>
      </c>
      <c r="K1230" s="65">
        <f t="shared" si="437"/>
        <v>5.9999999999999991</v>
      </c>
      <c r="L1230" s="21">
        <v>600</v>
      </c>
      <c r="M1230" s="21">
        <v>660</v>
      </c>
      <c r="N1230" s="285"/>
      <c r="O1230" s="285"/>
      <c r="P1230" s="285"/>
      <c r="Q1230" s="285"/>
      <c r="R1230" s="285"/>
      <c r="S1230" s="285"/>
      <c r="T1230" s="285"/>
      <c r="U1230" s="234"/>
      <c r="V1230" s="285"/>
      <c r="W1230" s="285"/>
    </row>
    <row r="1231" spans="1:23" s="26" customFormat="1" ht="30" customHeight="1" x14ac:dyDescent="0.3">
      <c r="A1231" s="106" t="s">
        <v>2992</v>
      </c>
      <c r="B1231" s="131" t="s">
        <v>2990</v>
      </c>
      <c r="C1231" s="21" t="s">
        <v>1</v>
      </c>
      <c r="D1231" s="300">
        <v>1</v>
      </c>
      <c r="E1231" s="51">
        <f t="shared" si="442"/>
        <v>0.43636363636363634</v>
      </c>
      <c r="F1231" s="23">
        <f>11/G1231</f>
        <v>2.291666666666667</v>
      </c>
      <c r="G1231" s="65">
        <f t="shared" si="444"/>
        <v>4.8</v>
      </c>
      <c r="H1231" s="77">
        <v>125</v>
      </c>
      <c r="I1231" s="71">
        <f t="shared" si="441"/>
        <v>1.1000000000000001</v>
      </c>
      <c r="J1231" s="23">
        <f t="shared" si="436"/>
        <v>2.291666666666667</v>
      </c>
      <c r="K1231" s="65">
        <f t="shared" si="437"/>
        <v>4.8</v>
      </c>
      <c r="L1231" s="21">
        <v>600</v>
      </c>
      <c r="M1231" s="21">
        <v>660</v>
      </c>
      <c r="N1231" s="285"/>
      <c r="O1231" s="285"/>
      <c r="P1231" s="285"/>
      <c r="Q1231" s="285"/>
      <c r="R1231" s="285"/>
      <c r="S1231" s="285"/>
      <c r="T1231" s="285"/>
      <c r="U1231" s="234"/>
      <c r="V1231" s="285"/>
      <c r="W1231" s="285"/>
    </row>
    <row r="1232" spans="1:23" s="26" customFormat="1" ht="30" customHeight="1" x14ac:dyDescent="0.3">
      <c r="A1232" s="106"/>
      <c r="B1232" s="112" t="s">
        <v>1478</v>
      </c>
      <c r="C1232" s="210"/>
      <c r="D1232" s="300">
        <v>1</v>
      </c>
      <c r="E1232" s="209"/>
      <c r="F1232" s="54"/>
      <c r="G1232" s="82"/>
      <c r="H1232" s="222"/>
      <c r="I1232" s="71"/>
      <c r="J1232" s="23"/>
      <c r="K1232" s="65"/>
      <c r="L1232" s="21"/>
      <c r="M1232" s="21"/>
      <c r="N1232" s="285"/>
      <c r="O1232" s="285"/>
      <c r="P1232" s="285"/>
      <c r="Q1232" s="285"/>
      <c r="R1232" s="285"/>
      <c r="S1232" s="285"/>
      <c r="T1232" s="285"/>
      <c r="U1232" s="234"/>
      <c r="V1232" s="285"/>
      <c r="W1232" s="285"/>
    </row>
    <row r="1233" spans="1:23" s="26" customFormat="1" ht="30" customHeight="1" x14ac:dyDescent="0.3">
      <c r="A1233" s="106" t="s">
        <v>2354</v>
      </c>
      <c r="B1233" s="304" t="s">
        <v>1479</v>
      </c>
      <c r="C1233" s="21" t="s">
        <v>1</v>
      </c>
      <c r="D1233" s="300">
        <v>1</v>
      </c>
      <c r="E1233" s="51">
        <f t="shared" ref="E1233" si="445">G1233/11</f>
        <v>0.73313782991202348</v>
      </c>
      <c r="F1233" s="23">
        <f>11/G1233</f>
        <v>1.3640000000000001</v>
      </c>
      <c r="G1233" s="65">
        <f>L1233/H1233</f>
        <v>8.064516129032258</v>
      </c>
      <c r="H1233" s="303">
        <v>74.400000000000006</v>
      </c>
      <c r="I1233" s="71">
        <f t="shared" ref="I1233:I1257" si="446">M1233/L1233</f>
        <v>1.1000000000000001</v>
      </c>
      <c r="J1233" s="23">
        <f t="shared" ref="J1233:J1257" si="447">11/K1233</f>
        <v>1.3640000000000003</v>
      </c>
      <c r="K1233" s="65">
        <f t="shared" ref="K1233:K1257" si="448">M1233/(H1233*I1233)</f>
        <v>8.0645161290322562</v>
      </c>
      <c r="L1233" s="21">
        <v>600</v>
      </c>
      <c r="M1233" s="21">
        <v>660</v>
      </c>
      <c r="N1233" s="285"/>
      <c r="O1233" s="285"/>
      <c r="P1233" s="285"/>
      <c r="Q1233" s="285"/>
      <c r="R1233" s="285"/>
      <c r="S1233" s="285"/>
      <c r="T1233" s="285"/>
      <c r="U1233" s="234"/>
      <c r="V1233" s="285"/>
      <c r="W1233" s="285"/>
    </row>
    <row r="1234" spans="1:23" s="26" customFormat="1" ht="30" customHeight="1" x14ac:dyDescent="0.3">
      <c r="A1234" s="106" t="s">
        <v>2355</v>
      </c>
      <c r="B1234" s="304" t="s">
        <v>1480</v>
      </c>
      <c r="C1234" s="21" t="s">
        <v>1</v>
      </c>
      <c r="D1234" s="300">
        <v>1</v>
      </c>
      <c r="E1234" s="51">
        <f t="shared" ref="E1234:E1250" si="449">G1234/11</f>
        <v>0.65167807103290976</v>
      </c>
      <c r="F1234" s="23">
        <f t="shared" ref="F1234:F1302" si="450">11/G1234</f>
        <v>1.5345</v>
      </c>
      <c r="G1234" s="65">
        <f t="shared" ref="G1234:G1250" si="451">L1234/H1234</f>
        <v>7.1684587813620073</v>
      </c>
      <c r="H1234" s="303">
        <v>83.7</v>
      </c>
      <c r="I1234" s="71">
        <f t="shared" si="446"/>
        <v>1.1000000000000001</v>
      </c>
      <c r="J1234" s="23">
        <f t="shared" si="447"/>
        <v>1.5345000000000002</v>
      </c>
      <c r="K1234" s="65">
        <f t="shared" si="448"/>
        <v>7.1684587813620064</v>
      </c>
      <c r="L1234" s="21">
        <v>600</v>
      </c>
      <c r="M1234" s="21">
        <v>660</v>
      </c>
      <c r="N1234" s="285"/>
      <c r="O1234" s="285"/>
      <c r="P1234" s="285"/>
      <c r="Q1234" s="285"/>
      <c r="R1234" s="285"/>
      <c r="S1234" s="285"/>
      <c r="T1234" s="285"/>
      <c r="U1234" s="234"/>
      <c r="V1234" s="285"/>
      <c r="W1234" s="285"/>
    </row>
    <row r="1235" spans="1:23" s="26" customFormat="1" ht="30" customHeight="1" x14ac:dyDescent="0.3">
      <c r="A1235" s="106" t="s">
        <v>2356</v>
      </c>
      <c r="B1235" s="304" t="s">
        <v>1481</v>
      </c>
      <c r="C1235" s="21" t="s">
        <v>1</v>
      </c>
      <c r="D1235" s="300">
        <v>1</v>
      </c>
      <c r="E1235" s="51">
        <f t="shared" si="449"/>
        <v>0.58651026392961869</v>
      </c>
      <c r="F1235" s="23">
        <f t="shared" si="450"/>
        <v>1.7050000000000001</v>
      </c>
      <c r="G1235" s="65">
        <f>L1235/H1235</f>
        <v>6.4516129032258061</v>
      </c>
      <c r="H1235" s="303">
        <v>93</v>
      </c>
      <c r="I1235" s="71">
        <f t="shared" si="446"/>
        <v>1.1000000000000001</v>
      </c>
      <c r="J1235" s="23">
        <f t="shared" si="447"/>
        <v>1.7050000000000001</v>
      </c>
      <c r="K1235" s="65">
        <f t="shared" si="448"/>
        <v>6.4516129032258061</v>
      </c>
      <c r="L1235" s="21">
        <v>600</v>
      </c>
      <c r="M1235" s="21">
        <v>660</v>
      </c>
      <c r="N1235" s="285"/>
      <c r="O1235" s="285"/>
      <c r="P1235" s="285"/>
      <c r="Q1235" s="285"/>
      <c r="R1235" s="285"/>
      <c r="S1235" s="285"/>
      <c r="T1235" s="285"/>
      <c r="U1235" s="234"/>
      <c r="V1235" s="285"/>
      <c r="W1235" s="285"/>
    </row>
    <row r="1236" spans="1:23" s="26" customFormat="1" ht="30" customHeight="1" x14ac:dyDescent="0.3">
      <c r="A1236" s="106" t="s">
        <v>2357</v>
      </c>
      <c r="B1236" s="304" t="s">
        <v>1482</v>
      </c>
      <c r="C1236" s="21" t="s">
        <v>1</v>
      </c>
      <c r="D1236" s="300">
        <v>1</v>
      </c>
      <c r="E1236" s="51">
        <f t="shared" si="449"/>
        <v>0.36656891495601174</v>
      </c>
      <c r="F1236" s="23">
        <f t="shared" si="450"/>
        <v>2.7280000000000002</v>
      </c>
      <c r="G1236" s="65">
        <f>L1236/H1236</f>
        <v>4.032258064516129</v>
      </c>
      <c r="H1236" s="303">
        <v>148.80000000000001</v>
      </c>
      <c r="I1236" s="71">
        <f t="shared" si="446"/>
        <v>1.1000000000000001</v>
      </c>
      <c r="J1236" s="23">
        <f t="shared" si="447"/>
        <v>2.7280000000000006</v>
      </c>
      <c r="K1236" s="65">
        <f t="shared" si="448"/>
        <v>4.0322580645161281</v>
      </c>
      <c r="L1236" s="21">
        <v>600</v>
      </c>
      <c r="M1236" s="21">
        <v>660</v>
      </c>
      <c r="N1236" s="285"/>
      <c r="O1236" s="285"/>
      <c r="P1236" s="285"/>
      <c r="Q1236" s="285"/>
      <c r="R1236" s="285"/>
      <c r="S1236" s="285"/>
      <c r="T1236" s="285"/>
      <c r="U1236" s="234"/>
      <c r="V1236" s="285"/>
      <c r="W1236" s="285"/>
    </row>
    <row r="1237" spans="1:23" s="26" customFormat="1" ht="30" customHeight="1" x14ac:dyDescent="0.3">
      <c r="A1237" s="106" t="s">
        <v>2358</v>
      </c>
      <c r="B1237" s="304" t="s">
        <v>1483</v>
      </c>
      <c r="C1237" s="21" t="s">
        <v>1</v>
      </c>
      <c r="D1237" s="300">
        <v>1</v>
      </c>
      <c r="E1237" s="51">
        <f t="shared" si="449"/>
        <v>0.32583903551645488</v>
      </c>
      <c r="F1237" s="23">
        <f t="shared" si="450"/>
        <v>3.069</v>
      </c>
      <c r="G1237" s="65">
        <f t="shared" si="451"/>
        <v>3.5842293906810037</v>
      </c>
      <c r="H1237" s="303">
        <v>167.4</v>
      </c>
      <c r="I1237" s="71">
        <f t="shared" si="446"/>
        <v>1.1000000000000001</v>
      </c>
      <c r="J1237" s="23">
        <f t="shared" si="447"/>
        <v>3.0690000000000004</v>
      </c>
      <c r="K1237" s="65">
        <f t="shared" si="448"/>
        <v>3.5842293906810032</v>
      </c>
      <c r="L1237" s="21">
        <v>600</v>
      </c>
      <c r="M1237" s="21">
        <v>660</v>
      </c>
      <c r="N1237" s="285"/>
      <c r="O1237" s="285"/>
      <c r="P1237" s="285"/>
      <c r="Q1237" s="285"/>
      <c r="R1237" s="285"/>
      <c r="S1237" s="285"/>
      <c r="T1237" s="285"/>
      <c r="U1237" s="234"/>
      <c r="V1237" s="285"/>
      <c r="W1237" s="285"/>
    </row>
    <row r="1238" spans="1:23" s="26" customFormat="1" ht="30" customHeight="1" x14ac:dyDescent="0.3">
      <c r="A1238" s="106" t="s">
        <v>2359</v>
      </c>
      <c r="B1238" s="304" t="s">
        <v>1516</v>
      </c>
      <c r="C1238" s="21" t="s">
        <v>1</v>
      </c>
      <c r="D1238" s="300">
        <v>1</v>
      </c>
      <c r="E1238" s="51">
        <f t="shared" si="449"/>
        <v>0.56818181818181823</v>
      </c>
      <c r="F1238" s="23">
        <f t="shared" si="450"/>
        <v>1.76</v>
      </c>
      <c r="G1238" s="65">
        <f t="shared" si="451"/>
        <v>6.25</v>
      </c>
      <c r="H1238" s="79">
        <v>96</v>
      </c>
      <c r="I1238" s="71">
        <f t="shared" si="446"/>
        <v>1.1000000000000001</v>
      </c>
      <c r="J1238" s="23">
        <f t="shared" si="447"/>
        <v>1.7600000000000002</v>
      </c>
      <c r="K1238" s="65">
        <f t="shared" si="448"/>
        <v>6.2499999999999991</v>
      </c>
      <c r="L1238" s="21">
        <v>600</v>
      </c>
      <c r="M1238" s="21">
        <v>660</v>
      </c>
      <c r="N1238" s="285"/>
      <c r="O1238" s="285"/>
      <c r="P1238" s="285"/>
      <c r="Q1238" s="285"/>
      <c r="R1238" s="285"/>
      <c r="S1238" s="285"/>
      <c r="T1238" s="285"/>
      <c r="U1238" s="234"/>
      <c r="V1238" s="285"/>
      <c r="W1238" s="285"/>
    </row>
    <row r="1239" spans="1:23" s="26" customFormat="1" ht="30" customHeight="1" x14ac:dyDescent="0.3">
      <c r="A1239" s="106" t="s">
        <v>2360</v>
      </c>
      <c r="B1239" s="304" t="s">
        <v>1517</v>
      </c>
      <c r="C1239" s="21" t="s">
        <v>1</v>
      </c>
      <c r="D1239" s="300">
        <v>1</v>
      </c>
      <c r="E1239" s="51">
        <f t="shared" si="449"/>
        <v>0.50505050505050508</v>
      </c>
      <c r="F1239" s="23">
        <f t="shared" si="450"/>
        <v>1.98</v>
      </c>
      <c r="G1239" s="65">
        <f t="shared" si="451"/>
        <v>5.5555555555555554</v>
      </c>
      <c r="H1239" s="79">
        <v>108</v>
      </c>
      <c r="I1239" s="71">
        <f t="shared" si="446"/>
        <v>1.1000000000000001</v>
      </c>
      <c r="J1239" s="23">
        <f t="shared" si="447"/>
        <v>1.98</v>
      </c>
      <c r="K1239" s="65">
        <f t="shared" si="448"/>
        <v>5.5555555555555554</v>
      </c>
      <c r="L1239" s="21">
        <v>600</v>
      </c>
      <c r="M1239" s="21">
        <v>660</v>
      </c>
      <c r="N1239" s="285"/>
      <c r="O1239" s="285"/>
      <c r="P1239" s="285"/>
      <c r="Q1239" s="285"/>
      <c r="R1239" s="285"/>
      <c r="S1239" s="285"/>
      <c r="T1239" s="285"/>
      <c r="U1239" s="234"/>
      <c r="V1239" s="285"/>
      <c r="W1239" s="285"/>
    </row>
    <row r="1240" spans="1:23" s="26" customFormat="1" ht="30" customHeight="1" x14ac:dyDescent="0.3">
      <c r="A1240" s="106" t="s">
        <v>2361</v>
      </c>
      <c r="B1240" s="304" t="s">
        <v>1518</v>
      </c>
      <c r="C1240" s="21" t="s">
        <v>1</v>
      </c>
      <c r="D1240" s="300">
        <v>1</v>
      </c>
      <c r="E1240" s="51">
        <f t="shared" si="449"/>
        <v>0.45454545454545453</v>
      </c>
      <c r="F1240" s="23">
        <f t="shared" si="450"/>
        <v>2.2000000000000002</v>
      </c>
      <c r="G1240" s="65">
        <f>L1240/H1240</f>
        <v>5</v>
      </c>
      <c r="H1240" s="79">
        <v>120</v>
      </c>
      <c r="I1240" s="71">
        <f t="shared" si="446"/>
        <v>1.1000000000000001</v>
      </c>
      <c r="J1240" s="23">
        <f t="shared" si="447"/>
        <v>2.2000000000000002</v>
      </c>
      <c r="K1240" s="65">
        <f t="shared" si="448"/>
        <v>5</v>
      </c>
      <c r="L1240" s="21">
        <v>600</v>
      </c>
      <c r="M1240" s="21">
        <v>660</v>
      </c>
      <c r="N1240" s="285"/>
      <c r="O1240" s="285"/>
      <c r="P1240" s="285"/>
      <c r="Q1240" s="285"/>
      <c r="R1240" s="285"/>
      <c r="S1240" s="285"/>
      <c r="T1240" s="285"/>
      <c r="U1240" s="234"/>
      <c r="V1240" s="285"/>
      <c r="W1240" s="285"/>
    </row>
    <row r="1241" spans="1:23" s="26" customFormat="1" ht="30" customHeight="1" x14ac:dyDescent="0.3">
      <c r="A1241" s="106" t="s">
        <v>2362</v>
      </c>
      <c r="B1241" s="304" t="s">
        <v>1519</v>
      </c>
      <c r="C1241" s="21" t="s">
        <v>1</v>
      </c>
      <c r="D1241" s="300">
        <v>1</v>
      </c>
      <c r="E1241" s="51">
        <f t="shared" si="449"/>
        <v>0.28409090909090912</v>
      </c>
      <c r="F1241" s="23">
        <f t="shared" si="450"/>
        <v>3.52</v>
      </c>
      <c r="G1241" s="65">
        <f t="shared" si="451"/>
        <v>3.125</v>
      </c>
      <c r="H1241" s="79">
        <v>192</v>
      </c>
      <c r="I1241" s="71">
        <f t="shared" si="446"/>
        <v>1.1000000000000001</v>
      </c>
      <c r="J1241" s="23">
        <f t="shared" si="447"/>
        <v>3.5200000000000005</v>
      </c>
      <c r="K1241" s="65">
        <f t="shared" si="448"/>
        <v>3.1249999999999996</v>
      </c>
      <c r="L1241" s="21">
        <v>600</v>
      </c>
      <c r="M1241" s="21">
        <v>660</v>
      </c>
      <c r="N1241" s="285"/>
      <c r="O1241" s="285"/>
      <c r="P1241" s="285"/>
      <c r="Q1241" s="285"/>
      <c r="R1241" s="285"/>
      <c r="S1241" s="285"/>
      <c r="T1241" s="285"/>
      <c r="U1241" s="234"/>
      <c r="V1241" s="285"/>
      <c r="W1241" s="285"/>
    </row>
    <row r="1242" spans="1:23" s="26" customFormat="1" ht="30" customHeight="1" x14ac:dyDescent="0.3">
      <c r="A1242" s="106" t="s">
        <v>2363</v>
      </c>
      <c r="B1242" s="304" t="s">
        <v>1520</v>
      </c>
      <c r="C1242" s="21" t="s">
        <v>1</v>
      </c>
      <c r="D1242" s="300">
        <v>1</v>
      </c>
      <c r="E1242" s="51">
        <f t="shared" si="449"/>
        <v>0.25252525252525254</v>
      </c>
      <c r="F1242" s="23">
        <f t="shared" si="450"/>
        <v>3.96</v>
      </c>
      <c r="G1242" s="65">
        <f t="shared" si="451"/>
        <v>2.7777777777777777</v>
      </c>
      <c r="H1242" s="79">
        <v>216</v>
      </c>
      <c r="I1242" s="71">
        <f t="shared" si="446"/>
        <v>1.1000000000000001</v>
      </c>
      <c r="J1242" s="23">
        <f t="shared" si="447"/>
        <v>3.96</v>
      </c>
      <c r="K1242" s="65">
        <f t="shared" si="448"/>
        <v>2.7777777777777777</v>
      </c>
      <c r="L1242" s="21">
        <v>600</v>
      </c>
      <c r="M1242" s="21">
        <v>660</v>
      </c>
      <c r="N1242" s="285"/>
      <c r="O1242" s="285"/>
      <c r="P1242" s="285"/>
      <c r="Q1242" s="285"/>
      <c r="R1242" s="285"/>
      <c r="S1242" s="285"/>
      <c r="T1242" s="285"/>
      <c r="U1242" s="234"/>
      <c r="V1242" s="285"/>
      <c r="W1242" s="285"/>
    </row>
    <row r="1243" spans="1:23" s="26" customFormat="1" ht="30" customHeight="1" x14ac:dyDescent="0.3">
      <c r="A1243" s="106" t="s">
        <v>2364</v>
      </c>
      <c r="B1243" s="304" t="s">
        <v>1521</v>
      </c>
      <c r="C1243" s="21" t="s">
        <v>1</v>
      </c>
      <c r="D1243" s="300">
        <v>1</v>
      </c>
      <c r="E1243" s="51">
        <f t="shared" si="449"/>
        <v>0.69569703065457977</v>
      </c>
      <c r="F1243" s="23">
        <f t="shared" si="450"/>
        <v>1.4374073137254908</v>
      </c>
      <c r="G1243" s="65">
        <f t="shared" si="451"/>
        <v>7.652667337200378</v>
      </c>
      <c r="H1243" s="303">
        <v>78.404035294117676</v>
      </c>
      <c r="I1243" s="71">
        <f t="shared" si="446"/>
        <v>1.1000000000000001</v>
      </c>
      <c r="J1243" s="23">
        <f t="shared" si="447"/>
        <v>1.4374073137254908</v>
      </c>
      <c r="K1243" s="65">
        <f>M1243/(H1243*I1243)</f>
        <v>7.652667337200378</v>
      </c>
      <c r="L1243" s="21">
        <v>600</v>
      </c>
      <c r="M1243" s="21">
        <v>660</v>
      </c>
      <c r="N1243" s="285"/>
      <c r="O1243" s="285"/>
      <c r="P1243" s="285"/>
      <c r="Q1243" s="285"/>
      <c r="R1243" s="285"/>
      <c r="S1243" s="285"/>
      <c r="T1243" s="285"/>
      <c r="U1243" s="234"/>
      <c r="V1243" s="285"/>
      <c r="W1243" s="285"/>
    </row>
    <row r="1244" spans="1:23" s="26" customFormat="1" ht="30" customHeight="1" x14ac:dyDescent="0.3">
      <c r="A1244" s="106" t="s">
        <v>2365</v>
      </c>
      <c r="B1244" s="304" t="s">
        <v>1522</v>
      </c>
      <c r="C1244" s="21" t="s">
        <v>1</v>
      </c>
      <c r="D1244" s="300">
        <v>1</v>
      </c>
      <c r="E1244" s="51">
        <f t="shared" si="449"/>
        <v>0.63943007973128896</v>
      </c>
      <c r="F1244" s="23">
        <f t="shared" si="450"/>
        <v>1.5638926470588232</v>
      </c>
      <c r="G1244" s="65">
        <f t="shared" si="451"/>
        <v>7.0337308770441789</v>
      </c>
      <c r="H1244" s="303">
        <v>85.303235294117641</v>
      </c>
      <c r="I1244" s="71">
        <f t="shared" si="446"/>
        <v>1.1000000000000001</v>
      </c>
      <c r="J1244" s="23">
        <f t="shared" si="447"/>
        <v>1.5638926470588235</v>
      </c>
      <c r="K1244" s="65">
        <f t="shared" si="448"/>
        <v>7.033730877044178</v>
      </c>
      <c r="L1244" s="21">
        <v>600</v>
      </c>
      <c r="M1244" s="21">
        <v>660</v>
      </c>
      <c r="N1244" s="285"/>
      <c r="O1244" s="285"/>
      <c r="P1244" s="285"/>
      <c r="Q1244" s="285"/>
      <c r="R1244" s="285"/>
      <c r="S1244" s="285"/>
      <c r="T1244" s="285"/>
      <c r="U1244" s="234"/>
      <c r="V1244" s="285"/>
      <c r="W1244" s="285"/>
    </row>
    <row r="1245" spans="1:23" s="26" customFormat="1" ht="30" customHeight="1" x14ac:dyDescent="0.3">
      <c r="A1245" s="106" t="s">
        <v>2366</v>
      </c>
      <c r="B1245" s="304" t="s">
        <v>1544</v>
      </c>
      <c r="C1245" s="21" t="s">
        <v>1</v>
      </c>
      <c r="D1245" s="300">
        <v>1</v>
      </c>
      <c r="E1245" s="51">
        <f t="shared" si="449"/>
        <v>0.59158366448195587</v>
      </c>
      <c r="F1245" s="23">
        <f t="shared" si="450"/>
        <v>1.690377980392157</v>
      </c>
      <c r="G1245" s="65">
        <f t="shared" si="451"/>
        <v>6.5074203093015148</v>
      </c>
      <c r="H1245" s="303">
        <v>92.202435294117649</v>
      </c>
      <c r="I1245" s="71">
        <f t="shared" si="446"/>
        <v>1.1000000000000001</v>
      </c>
      <c r="J1245" s="23">
        <f t="shared" si="447"/>
        <v>1.690377980392157</v>
      </c>
      <c r="K1245" s="65">
        <f t="shared" si="448"/>
        <v>6.5074203093015148</v>
      </c>
      <c r="L1245" s="21">
        <v>600</v>
      </c>
      <c r="M1245" s="21">
        <v>660</v>
      </c>
      <c r="N1245" s="285"/>
      <c r="O1245" s="285"/>
      <c r="P1245" s="285"/>
      <c r="Q1245" s="285"/>
      <c r="R1245" s="285"/>
      <c r="S1245" s="285"/>
      <c r="T1245" s="285"/>
      <c r="U1245" s="234"/>
      <c r="V1245" s="285"/>
      <c r="W1245" s="285"/>
    </row>
    <row r="1246" spans="1:23" s="26" customFormat="1" ht="30" customHeight="1" x14ac:dyDescent="0.3">
      <c r="A1246" s="106" t="s">
        <v>2367</v>
      </c>
      <c r="B1246" s="304" t="s">
        <v>1523</v>
      </c>
      <c r="C1246" s="21" t="s">
        <v>1</v>
      </c>
      <c r="D1246" s="300">
        <v>1</v>
      </c>
      <c r="E1246" s="51">
        <f t="shared" si="449"/>
        <v>0.27590332574680337</v>
      </c>
      <c r="F1246" s="23">
        <f t="shared" si="450"/>
        <v>3.6244579411764706</v>
      </c>
      <c r="G1246" s="65">
        <f t="shared" si="451"/>
        <v>3.0349365832148369</v>
      </c>
      <c r="H1246" s="303">
        <v>197.69770588235295</v>
      </c>
      <c r="I1246" s="71">
        <f t="shared" si="446"/>
        <v>1.1000000000000001</v>
      </c>
      <c r="J1246" s="23">
        <f t="shared" si="447"/>
        <v>3.624457941176471</v>
      </c>
      <c r="K1246" s="65">
        <f t="shared" si="448"/>
        <v>3.0349365832148365</v>
      </c>
      <c r="L1246" s="21">
        <v>600</v>
      </c>
      <c r="M1246" s="21">
        <v>660</v>
      </c>
      <c r="N1246" s="285"/>
      <c r="O1246" s="285"/>
      <c r="P1246" s="285"/>
      <c r="Q1246" s="285"/>
      <c r="R1246" s="285"/>
      <c r="S1246" s="285"/>
      <c r="T1246" s="285"/>
      <c r="U1246" s="234"/>
      <c r="V1246" s="285"/>
      <c r="W1246" s="285"/>
    </row>
    <row r="1247" spans="1:23" s="26" customFormat="1" ht="30" customHeight="1" x14ac:dyDescent="0.3">
      <c r="A1247" s="106" t="s">
        <v>2368</v>
      </c>
      <c r="B1247" s="304" t="s">
        <v>1524</v>
      </c>
      <c r="C1247" s="21" t="s">
        <v>1</v>
      </c>
      <c r="D1247" s="300">
        <v>1</v>
      </c>
      <c r="E1247" s="51">
        <f t="shared" si="449"/>
        <v>0.23935863712383468</v>
      </c>
      <c r="F1247" s="23">
        <f t="shared" si="450"/>
        <v>4.1778312745098045</v>
      </c>
      <c r="G1247" s="65">
        <f t="shared" si="451"/>
        <v>2.6329450083621815</v>
      </c>
      <c r="H1247" s="303">
        <v>227.88170588235297</v>
      </c>
      <c r="I1247" s="71">
        <f t="shared" si="446"/>
        <v>1.1000000000000001</v>
      </c>
      <c r="J1247" s="23">
        <f t="shared" si="447"/>
        <v>4.1778312745098054</v>
      </c>
      <c r="K1247" s="65">
        <f t="shared" si="448"/>
        <v>2.632945008362181</v>
      </c>
      <c r="L1247" s="21">
        <v>600</v>
      </c>
      <c r="M1247" s="21">
        <v>660</v>
      </c>
      <c r="N1247" s="285"/>
      <c r="O1247" s="285"/>
      <c r="P1247" s="285"/>
      <c r="Q1247" s="285"/>
      <c r="R1247" s="285"/>
      <c r="S1247" s="285"/>
      <c r="T1247" s="285"/>
      <c r="U1247" s="234"/>
      <c r="V1247" s="285"/>
      <c r="W1247" s="285"/>
    </row>
    <row r="1248" spans="1:23" s="26" customFormat="1" ht="30" customHeight="1" x14ac:dyDescent="0.3">
      <c r="A1248" s="106" t="s">
        <v>2369</v>
      </c>
      <c r="B1248" s="304" t="s">
        <v>3077</v>
      </c>
      <c r="C1248" s="297" t="s">
        <v>1</v>
      </c>
      <c r="D1248" s="300">
        <v>1</v>
      </c>
      <c r="E1248" s="51">
        <f t="shared" si="449"/>
        <v>0.46014076626321532</v>
      </c>
      <c r="F1248" s="23">
        <f t="shared" si="450"/>
        <v>2.1732479999999996</v>
      </c>
      <c r="G1248" s="65">
        <f t="shared" si="451"/>
        <v>5.0615484288953683</v>
      </c>
      <c r="H1248" s="303">
        <v>118.54079999999999</v>
      </c>
      <c r="I1248" s="71">
        <f t="shared" si="446"/>
        <v>1.1000000000000001</v>
      </c>
      <c r="J1248" s="23">
        <f t="shared" si="447"/>
        <v>2.1732480000000001</v>
      </c>
      <c r="K1248" s="65">
        <f t="shared" si="448"/>
        <v>5.0615484288953674</v>
      </c>
      <c r="L1248" s="21">
        <v>600</v>
      </c>
      <c r="M1248" s="21">
        <v>660</v>
      </c>
      <c r="N1248" s="285"/>
      <c r="O1248" s="285"/>
      <c r="P1248" s="285"/>
      <c r="Q1248" s="285"/>
      <c r="R1248" s="285"/>
      <c r="S1248" s="285"/>
      <c r="T1248" s="285"/>
      <c r="U1248" s="234"/>
      <c r="V1248" s="285"/>
      <c r="W1248" s="285"/>
    </row>
    <row r="1249" spans="1:23" s="26" customFormat="1" ht="30" customHeight="1" x14ac:dyDescent="0.3">
      <c r="A1249" s="106" t="s">
        <v>2370</v>
      </c>
      <c r="B1249" s="304" t="s">
        <v>3078</v>
      </c>
      <c r="C1249" s="297" t="s">
        <v>1</v>
      </c>
      <c r="D1249" s="300">
        <v>1</v>
      </c>
      <c r="E1249" s="51">
        <f t="shared" si="449"/>
        <v>0.42748561510905159</v>
      </c>
      <c r="F1249" s="23">
        <f t="shared" si="450"/>
        <v>2.3392599999999999</v>
      </c>
      <c r="G1249" s="65">
        <f t="shared" si="451"/>
        <v>4.7023417661995675</v>
      </c>
      <c r="H1249" s="303">
        <v>127.59599999999999</v>
      </c>
      <c r="I1249" s="71">
        <f t="shared" si="446"/>
        <v>1.1000000000000001</v>
      </c>
      <c r="J1249" s="23">
        <f t="shared" si="447"/>
        <v>2.3392599999999999</v>
      </c>
      <c r="K1249" s="65">
        <f t="shared" si="448"/>
        <v>4.7023417661995675</v>
      </c>
      <c r="L1249" s="21">
        <v>600</v>
      </c>
      <c r="M1249" s="21">
        <v>660</v>
      </c>
      <c r="N1249" s="285"/>
      <c r="O1249" s="285"/>
      <c r="P1249" s="285"/>
      <c r="Q1249" s="285"/>
      <c r="R1249" s="285"/>
      <c r="S1249" s="285"/>
      <c r="T1249" s="285"/>
      <c r="U1249" s="234"/>
      <c r="V1249" s="285"/>
      <c r="W1249" s="285"/>
    </row>
    <row r="1250" spans="1:23" s="26" customFormat="1" ht="30" customHeight="1" x14ac:dyDescent="0.3">
      <c r="A1250" s="106" t="s">
        <v>2371</v>
      </c>
      <c r="B1250" s="304" t="s">
        <v>3079</v>
      </c>
      <c r="C1250" s="297" t="s">
        <v>1</v>
      </c>
      <c r="D1250" s="300">
        <v>1</v>
      </c>
      <c r="E1250" s="51">
        <f t="shared" si="449"/>
        <v>0.37155291780506355</v>
      </c>
      <c r="F1250" s="23">
        <f t="shared" si="450"/>
        <v>2.6914066666666665</v>
      </c>
      <c r="G1250" s="65">
        <f t="shared" si="451"/>
        <v>4.087082095855699</v>
      </c>
      <c r="H1250" s="303">
        <v>146.804</v>
      </c>
      <c r="I1250" s="71">
        <f t="shared" si="446"/>
        <v>1.1000000000000001</v>
      </c>
      <c r="J1250" s="23">
        <f t="shared" si="447"/>
        <v>2.6914066666666669</v>
      </c>
      <c r="K1250" s="65">
        <f t="shared" si="448"/>
        <v>4.0870820958556981</v>
      </c>
      <c r="L1250" s="21">
        <v>600</v>
      </c>
      <c r="M1250" s="21">
        <v>660</v>
      </c>
      <c r="N1250" s="285"/>
      <c r="O1250" s="285"/>
      <c r="P1250" s="285"/>
      <c r="Q1250" s="285"/>
      <c r="R1250" s="285"/>
      <c r="S1250" s="285"/>
      <c r="T1250" s="285"/>
      <c r="U1250" s="234"/>
      <c r="V1250" s="285"/>
      <c r="W1250" s="285"/>
    </row>
    <row r="1251" spans="1:23" s="26" customFormat="1" ht="30" customHeight="1" x14ac:dyDescent="0.3">
      <c r="A1251" s="106" t="s">
        <v>2372</v>
      </c>
      <c r="B1251" s="304" t="s">
        <v>3080</v>
      </c>
      <c r="C1251" s="297" t="s">
        <v>1</v>
      </c>
      <c r="D1251" s="300">
        <v>1</v>
      </c>
      <c r="E1251" s="51">
        <f t="shared" ref="E1251:E1254" si="452">G1251/11</f>
        <v>0.20915489375600693</v>
      </c>
      <c r="F1251" s="23">
        <f t="shared" si="450"/>
        <v>4.7811455999999994</v>
      </c>
      <c r="G1251" s="65">
        <f t="shared" ref="G1251:G1254" si="453">L1251/H1251</f>
        <v>2.3007038313160764</v>
      </c>
      <c r="H1251" s="303">
        <v>260.78976</v>
      </c>
      <c r="I1251" s="71">
        <f t="shared" si="446"/>
        <v>1.1000000000000001</v>
      </c>
      <c r="J1251" s="23">
        <f t="shared" si="447"/>
        <v>4.7811456000000003</v>
      </c>
      <c r="K1251" s="65">
        <f t="shared" si="448"/>
        <v>2.3007038313160759</v>
      </c>
      <c r="L1251" s="21">
        <v>600</v>
      </c>
      <c r="M1251" s="21">
        <v>660</v>
      </c>
      <c r="N1251" s="285"/>
      <c r="O1251" s="285"/>
      <c r="P1251" s="285"/>
      <c r="Q1251" s="285"/>
      <c r="R1251" s="285"/>
      <c r="S1251" s="285"/>
      <c r="T1251" s="285"/>
      <c r="U1251" s="234"/>
      <c r="V1251" s="285"/>
      <c r="W1251" s="285"/>
    </row>
    <row r="1252" spans="1:23" s="26" customFormat="1" ht="30" customHeight="1" x14ac:dyDescent="0.3">
      <c r="A1252" s="106" t="s">
        <v>2373</v>
      </c>
      <c r="B1252" s="304" t="s">
        <v>3081</v>
      </c>
      <c r="C1252" s="297" t="s">
        <v>1</v>
      </c>
      <c r="D1252" s="300">
        <v>1</v>
      </c>
      <c r="E1252" s="51">
        <f t="shared" si="452"/>
        <v>0.19431164323138708</v>
      </c>
      <c r="F1252" s="23">
        <f t="shared" si="450"/>
        <v>5.1463719999999995</v>
      </c>
      <c r="G1252" s="65">
        <f t="shared" si="453"/>
        <v>2.1374280755452579</v>
      </c>
      <c r="H1252" s="303">
        <v>280.71120000000002</v>
      </c>
      <c r="I1252" s="71">
        <f t="shared" si="446"/>
        <v>1.1000000000000001</v>
      </c>
      <c r="J1252" s="23">
        <f t="shared" si="447"/>
        <v>5.1463719999999995</v>
      </c>
      <c r="K1252" s="65">
        <f t="shared" si="448"/>
        <v>2.1374280755452579</v>
      </c>
      <c r="L1252" s="21">
        <v>600</v>
      </c>
      <c r="M1252" s="21">
        <v>660</v>
      </c>
      <c r="N1252" s="285"/>
      <c r="O1252" s="285"/>
      <c r="P1252" s="285"/>
      <c r="Q1252" s="285"/>
      <c r="R1252" s="285"/>
      <c r="S1252" s="285"/>
      <c r="T1252" s="285"/>
      <c r="U1252" s="234"/>
      <c r="V1252" s="285"/>
      <c r="W1252" s="285"/>
    </row>
    <row r="1253" spans="1:23" s="26" customFormat="1" ht="30" customHeight="1" x14ac:dyDescent="0.3">
      <c r="A1253" s="106" t="s">
        <v>2374</v>
      </c>
      <c r="B1253" s="131" t="s">
        <v>1505</v>
      </c>
      <c r="C1253" s="21" t="s">
        <v>1</v>
      </c>
      <c r="D1253" s="300">
        <v>1</v>
      </c>
      <c r="E1253" s="51">
        <f t="shared" si="452"/>
        <v>0.68178309004148829</v>
      </c>
      <c r="F1253" s="23">
        <f t="shared" si="450"/>
        <v>1.4667421568627454</v>
      </c>
      <c r="G1253" s="65">
        <f t="shared" si="453"/>
        <v>7.4996139904563712</v>
      </c>
      <c r="H1253" s="256">
        <v>80.004117647058848</v>
      </c>
      <c r="I1253" s="71">
        <f t="shared" si="446"/>
        <v>1.1000000000000001</v>
      </c>
      <c r="J1253" s="23">
        <f t="shared" si="447"/>
        <v>1.4667421568627454</v>
      </c>
      <c r="K1253" s="65">
        <f t="shared" si="448"/>
        <v>7.4996139904563712</v>
      </c>
      <c r="L1253" s="21">
        <v>600</v>
      </c>
      <c r="M1253" s="21">
        <v>660</v>
      </c>
      <c r="N1253" s="285"/>
      <c r="O1253" s="285"/>
      <c r="P1253" s="285"/>
      <c r="Q1253" s="285"/>
      <c r="R1253" s="285"/>
      <c r="S1253" s="285"/>
      <c r="T1253" s="285"/>
      <c r="U1253" s="234"/>
      <c r="V1253" s="285"/>
      <c r="W1253" s="285"/>
    </row>
    <row r="1254" spans="1:23" s="26" customFormat="1" ht="30" customHeight="1" x14ac:dyDescent="0.3">
      <c r="A1254" s="106" t="s">
        <v>2375</v>
      </c>
      <c r="B1254" s="131" t="s">
        <v>1506</v>
      </c>
      <c r="C1254" s="21" t="s">
        <v>1</v>
      </c>
      <c r="D1254" s="300">
        <v>1</v>
      </c>
      <c r="E1254" s="51">
        <f t="shared" si="452"/>
        <v>0.62664147813666304</v>
      </c>
      <c r="F1254" s="23">
        <f t="shared" si="450"/>
        <v>1.5958088235294119</v>
      </c>
      <c r="G1254" s="65">
        <f t="shared" si="453"/>
        <v>6.893056259503294</v>
      </c>
      <c r="H1254" s="256">
        <v>87.044117647058826</v>
      </c>
      <c r="I1254" s="71">
        <f t="shared" si="446"/>
        <v>1.1000000000000001</v>
      </c>
      <c r="J1254" s="23">
        <f t="shared" si="447"/>
        <v>1.5958088235294121</v>
      </c>
      <c r="K1254" s="65">
        <f t="shared" si="448"/>
        <v>6.8930562595032931</v>
      </c>
      <c r="L1254" s="21">
        <v>600</v>
      </c>
      <c r="M1254" s="21">
        <v>660</v>
      </c>
      <c r="N1254" s="285"/>
      <c r="O1254" s="285"/>
      <c r="P1254" s="285"/>
      <c r="Q1254" s="285"/>
      <c r="R1254" s="285"/>
      <c r="S1254" s="285"/>
      <c r="T1254" s="285"/>
      <c r="U1254" s="234"/>
      <c r="V1254" s="285"/>
      <c r="W1254" s="285"/>
    </row>
    <row r="1255" spans="1:23" s="26" customFormat="1" ht="30" customHeight="1" x14ac:dyDescent="0.3">
      <c r="A1255" s="106" t="s">
        <v>2376</v>
      </c>
      <c r="B1255" s="131" t="s">
        <v>1507</v>
      </c>
      <c r="C1255" s="21" t="s">
        <v>1</v>
      </c>
      <c r="D1255" s="300">
        <v>1</v>
      </c>
      <c r="E1255" s="51">
        <f t="shared" ref="E1255:E1314" si="454">G1255/11</f>
        <v>0.57975199119231668</v>
      </c>
      <c r="F1255" s="23">
        <f t="shared" si="450"/>
        <v>1.7248754901960786</v>
      </c>
      <c r="G1255" s="65">
        <f t="shared" ref="G1255:G1314" si="455">L1255/H1255</f>
        <v>6.3772719031154841</v>
      </c>
      <c r="H1255" s="256">
        <v>94.084117647058832</v>
      </c>
      <c r="I1255" s="71">
        <f t="shared" si="446"/>
        <v>1.1000000000000001</v>
      </c>
      <c r="J1255" s="23">
        <f t="shared" si="447"/>
        <v>1.7248754901960786</v>
      </c>
      <c r="K1255" s="65">
        <f t="shared" si="448"/>
        <v>6.3772719031154841</v>
      </c>
      <c r="L1255" s="21">
        <v>600</v>
      </c>
      <c r="M1255" s="21">
        <v>660</v>
      </c>
      <c r="N1255" s="285"/>
      <c r="O1255" s="285"/>
      <c r="P1255" s="285"/>
      <c r="Q1255" s="285"/>
      <c r="R1255" s="285"/>
      <c r="S1255" s="285"/>
      <c r="T1255" s="285"/>
      <c r="U1255" s="234"/>
      <c r="V1255" s="285"/>
      <c r="W1255" s="285"/>
    </row>
    <row r="1256" spans="1:23" s="26" customFormat="1" ht="30" customHeight="1" x14ac:dyDescent="0.3">
      <c r="A1256" s="106" t="s">
        <v>2377</v>
      </c>
      <c r="B1256" s="131" t="s">
        <v>1504</v>
      </c>
      <c r="C1256" s="21" t="s">
        <v>1</v>
      </c>
      <c r="D1256" s="300">
        <v>1</v>
      </c>
      <c r="E1256" s="51">
        <f t="shared" si="454"/>
        <v>0.27038525923186724</v>
      </c>
      <c r="F1256" s="23">
        <f t="shared" si="450"/>
        <v>3.6984264705882355</v>
      </c>
      <c r="G1256" s="65">
        <f t="shared" si="455"/>
        <v>2.9742378515505399</v>
      </c>
      <c r="H1256" s="256">
        <v>201.73235294117649</v>
      </c>
      <c r="I1256" s="71">
        <f t="shared" si="446"/>
        <v>1.1000000000000001</v>
      </c>
      <c r="J1256" s="23">
        <f t="shared" si="447"/>
        <v>3.6984264705882355</v>
      </c>
      <c r="K1256" s="65">
        <f t="shared" si="448"/>
        <v>2.9742378515505399</v>
      </c>
      <c r="L1256" s="21">
        <v>600</v>
      </c>
      <c r="M1256" s="21">
        <v>660</v>
      </c>
      <c r="N1256" s="285"/>
      <c r="O1256" s="285"/>
      <c r="P1256" s="285"/>
      <c r="Q1256" s="285"/>
      <c r="R1256" s="285"/>
      <c r="S1256" s="285"/>
      <c r="T1256" s="285"/>
      <c r="U1256" s="234"/>
      <c r="V1256" s="285"/>
      <c r="W1256" s="285"/>
    </row>
    <row r="1257" spans="1:23" s="26" customFormat="1" ht="30" customHeight="1" x14ac:dyDescent="0.3">
      <c r="A1257" s="106" t="s">
        <v>2378</v>
      </c>
      <c r="B1257" s="131" t="s">
        <v>1508</v>
      </c>
      <c r="C1257" s="21" t="s">
        <v>1</v>
      </c>
      <c r="D1257" s="300">
        <v>1</v>
      </c>
      <c r="E1257" s="51">
        <f t="shared" si="454"/>
        <v>0.23457146438135801</v>
      </c>
      <c r="F1257" s="23">
        <f t="shared" si="450"/>
        <v>4.2630931372549021</v>
      </c>
      <c r="G1257" s="65">
        <f t="shared" si="455"/>
        <v>2.580286108194938</v>
      </c>
      <c r="H1257" s="256">
        <v>232.5323529411765</v>
      </c>
      <c r="I1257" s="71">
        <f t="shared" si="446"/>
        <v>1.1000000000000001</v>
      </c>
      <c r="J1257" s="23">
        <f t="shared" si="447"/>
        <v>4.263093137254903</v>
      </c>
      <c r="K1257" s="65">
        <f t="shared" si="448"/>
        <v>2.5802861081949375</v>
      </c>
      <c r="L1257" s="21">
        <v>600</v>
      </c>
      <c r="M1257" s="21">
        <v>660</v>
      </c>
      <c r="N1257" s="285"/>
      <c r="O1257" s="285"/>
      <c r="P1257" s="285"/>
      <c r="Q1257" s="285"/>
      <c r="R1257" s="285"/>
      <c r="S1257" s="285"/>
      <c r="T1257" s="285"/>
      <c r="U1257" s="234"/>
      <c r="V1257" s="285"/>
      <c r="W1257" s="285"/>
    </row>
    <row r="1258" spans="1:23" s="26" customFormat="1" ht="30" customHeight="1" x14ac:dyDescent="0.3">
      <c r="A1258" s="305" t="s">
        <v>3517</v>
      </c>
      <c r="B1258" s="304" t="s">
        <v>3513</v>
      </c>
      <c r="C1258" s="297" t="s">
        <v>1</v>
      </c>
      <c r="D1258" s="300">
        <v>1</v>
      </c>
      <c r="E1258" s="301">
        <f t="shared" si="454"/>
        <v>0.45454545454545453</v>
      </c>
      <c r="F1258" s="298">
        <f t="shared" ref="F1258:F1262" si="456">11/G1258</f>
        <v>2.2000000000000002</v>
      </c>
      <c r="G1258" s="302">
        <f t="shared" si="455"/>
        <v>5</v>
      </c>
      <c r="H1258" s="303">
        <v>120</v>
      </c>
      <c r="I1258" s="71">
        <f t="shared" ref="I1258:I1262" si="457">M1258/L1258</f>
        <v>1.1000000000000001</v>
      </c>
      <c r="J1258" s="298">
        <f t="shared" ref="J1258:J1262" si="458">11/K1258</f>
        <v>2.2000000000000002</v>
      </c>
      <c r="K1258" s="302">
        <f>M1258/(H1258*I1258)</f>
        <v>5</v>
      </c>
      <c r="L1258" s="297">
        <v>600</v>
      </c>
      <c r="M1258" s="297">
        <v>660</v>
      </c>
      <c r="N1258" s="285"/>
      <c r="O1258" s="285"/>
      <c r="P1258" s="285"/>
      <c r="Q1258" s="285"/>
      <c r="R1258" s="285"/>
      <c r="S1258" s="285"/>
      <c r="T1258" s="285"/>
      <c r="U1258" s="234"/>
      <c r="V1258" s="285"/>
      <c r="W1258" s="285"/>
    </row>
    <row r="1259" spans="1:23" s="26" customFormat="1" ht="30" customHeight="1" x14ac:dyDescent="0.3">
      <c r="A1259" s="305" t="s">
        <v>3518</v>
      </c>
      <c r="B1259" s="304" t="s">
        <v>3514</v>
      </c>
      <c r="C1259" s="297" t="s">
        <v>1</v>
      </c>
      <c r="D1259" s="300">
        <v>1</v>
      </c>
      <c r="E1259" s="301">
        <f t="shared" si="454"/>
        <v>0.40705563093622793</v>
      </c>
      <c r="F1259" s="298">
        <f t="shared" si="456"/>
        <v>2.456666666666667</v>
      </c>
      <c r="G1259" s="302">
        <f t="shared" si="455"/>
        <v>4.4776119402985071</v>
      </c>
      <c r="H1259" s="303">
        <v>134</v>
      </c>
      <c r="I1259" s="71">
        <f t="shared" si="457"/>
        <v>1.1000000000000001</v>
      </c>
      <c r="J1259" s="298">
        <f t="shared" si="458"/>
        <v>2.456666666666667</v>
      </c>
      <c r="K1259" s="302">
        <f t="shared" ref="K1259:K1262" si="459">M1259/(H1259*I1259)</f>
        <v>4.4776119402985071</v>
      </c>
      <c r="L1259" s="297">
        <v>600</v>
      </c>
      <c r="M1259" s="297">
        <v>660</v>
      </c>
      <c r="N1259" s="285"/>
      <c r="O1259" s="285"/>
      <c r="P1259" s="285"/>
      <c r="Q1259" s="285"/>
      <c r="R1259" s="285"/>
      <c r="S1259" s="285"/>
      <c r="T1259" s="285"/>
      <c r="U1259" s="234"/>
      <c r="V1259" s="285"/>
      <c r="W1259" s="285"/>
    </row>
    <row r="1260" spans="1:23" s="26" customFormat="1" ht="30" customHeight="1" x14ac:dyDescent="0.3">
      <c r="A1260" s="305" t="s">
        <v>3519</v>
      </c>
      <c r="B1260" s="304" t="s">
        <v>3515</v>
      </c>
      <c r="C1260" s="297" t="s">
        <v>1</v>
      </c>
      <c r="D1260" s="300">
        <v>1</v>
      </c>
      <c r="E1260" s="301">
        <f t="shared" si="454"/>
        <v>0.3685503685503686</v>
      </c>
      <c r="F1260" s="298">
        <f t="shared" si="456"/>
        <v>2.7133333333333329</v>
      </c>
      <c r="G1260" s="302">
        <f t="shared" si="455"/>
        <v>4.0540540540540544</v>
      </c>
      <c r="H1260" s="303">
        <v>148</v>
      </c>
      <c r="I1260" s="71">
        <f t="shared" si="457"/>
        <v>1.1000000000000001</v>
      </c>
      <c r="J1260" s="298">
        <f t="shared" si="458"/>
        <v>2.7133333333333338</v>
      </c>
      <c r="K1260" s="302">
        <f t="shared" si="459"/>
        <v>4.0540540540540535</v>
      </c>
      <c r="L1260" s="297">
        <v>600</v>
      </c>
      <c r="M1260" s="297">
        <v>660</v>
      </c>
      <c r="N1260" s="285"/>
      <c r="O1260" s="285"/>
      <c r="P1260" s="285"/>
      <c r="Q1260" s="285"/>
      <c r="R1260" s="285"/>
      <c r="S1260" s="285"/>
      <c r="T1260" s="285"/>
      <c r="U1260" s="234"/>
      <c r="V1260" s="285"/>
      <c r="W1260" s="285"/>
    </row>
    <row r="1261" spans="1:23" s="26" customFormat="1" ht="30" customHeight="1" x14ac:dyDescent="0.3">
      <c r="A1261" s="305" t="s">
        <v>3520</v>
      </c>
      <c r="B1261" s="304" t="s">
        <v>3512</v>
      </c>
      <c r="C1261" s="297" t="s">
        <v>1</v>
      </c>
      <c r="D1261" s="300">
        <v>1</v>
      </c>
      <c r="E1261" s="301">
        <f t="shared" si="454"/>
        <v>0.27272727272727271</v>
      </c>
      <c r="F1261" s="298">
        <f t="shared" si="456"/>
        <v>3.6666666666666665</v>
      </c>
      <c r="G1261" s="302">
        <f>L1261/H1261</f>
        <v>3</v>
      </c>
      <c r="H1261" s="303">
        <v>200</v>
      </c>
      <c r="I1261" s="71">
        <f t="shared" si="457"/>
        <v>1.1000000000000001</v>
      </c>
      <c r="J1261" s="298">
        <f t="shared" si="458"/>
        <v>3.6666666666666674</v>
      </c>
      <c r="K1261" s="302">
        <f t="shared" si="459"/>
        <v>2.9999999999999996</v>
      </c>
      <c r="L1261" s="297">
        <v>600</v>
      </c>
      <c r="M1261" s="297">
        <v>660</v>
      </c>
      <c r="N1261" s="285"/>
      <c r="O1261" s="285"/>
      <c r="P1261" s="285"/>
      <c r="Q1261" s="285"/>
      <c r="R1261" s="285"/>
      <c r="S1261" s="285"/>
      <c r="T1261" s="285"/>
      <c r="U1261" s="234"/>
      <c r="V1261" s="285"/>
      <c r="W1261" s="285"/>
    </row>
    <row r="1262" spans="1:23" s="26" customFormat="1" ht="30" customHeight="1" x14ac:dyDescent="0.3">
      <c r="A1262" s="305" t="s">
        <v>3521</v>
      </c>
      <c r="B1262" s="304" t="s">
        <v>3516</v>
      </c>
      <c r="C1262" s="297" t="s">
        <v>1</v>
      </c>
      <c r="D1262" s="300">
        <v>1</v>
      </c>
      <c r="E1262" s="301">
        <f t="shared" si="454"/>
        <v>0.23510971786833856</v>
      </c>
      <c r="F1262" s="298">
        <f t="shared" si="456"/>
        <v>4.253333333333333</v>
      </c>
      <c r="G1262" s="302">
        <f t="shared" si="455"/>
        <v>2.5862068965517242</v>
      </c>
      <c r="H1262" s="303">
        <v>232</v>
      </c>
      <c r="I1262" s="71">
        <f t="shared" si="457"/>
        <v>1.1000000000000001</v>
      </c>
      <c r="J1262" s="298">
        <f t="shared" si="458"/>
        <v>4.2533333333333339</v>
      </c>
      <c r="K1262" s="302">
        <f t="shared" si="459"/>
        <v>2.5862068965517238</v>
      </c>
      <c r="L1262" s="297">
        <v>600</v>
      </c>
      <c r="M1262" s="297">
        <v>660</v>
      </c>
      <c r="N1262" s="285"/>
      <c r="O1262" s="285"/>
      <c r="P1262" s="285"/>
      <c r="Q1262" s="285"/>
      <c r="R1262" s="285"/>
      <c r="S1262" s="285"/>
      <c r="T1262" s="285"/>
      <c r="U1262" s="234"/>
      <c r="V1262" s="285"/>
      <c r="W1262" s="285"/>
    </row>
    <row r="1263" spans="1:23" s="26" customFormat="1" ht="59.25" customHeight="1" x14ac:dyDescent="0.3">
      <c r="A1263" s="106"/>
      <c r="B1263" s="112" t="s">
        <v>1514</v>
      </c>
      <c r="C1263" s="222"/>
      <c r="D1263" s="300">
        <v>1</v>
      </c>
      <c r="E1263" s="222"/>
      <c r="F1263" s="222"/>
      <c r="G1263" s="222"/>
      <c r="H1263" s="306"/>
      <c r="I1263" s="71"/>
      <c r="J1263" s="23"/>
      <c r="K1263" s="65"/>
      <c r="L1263" s="21"/>
      <c r="M1263" s="21"/>
      <c r="N1263" s="285"/>
      <c r="O1263" s="285"/>
      <c r="P1263" s="285"/>
      <c r="Q1263" s="285"/>
      <c r="R1263" s="285"/>
      <c r="S1263" s="285"/>
      <c r="T1263" s="285"/>
      <c r="U1263" s="234"/>
      <c r="V1263" s="285"/>
      <c r="W1263" s="285"/>
    </row>
    <row r="1264" spans="1:23" s="26" customFormat="1" ht="30" customHeight="1" x14ac:dyDescent="0.3">
      <c r="A1264" s="106" t="s">
        <v>2379</v>
      </c>
      <c r="B1264" s="304" t="s">
        <v>1490</v>
      </c>
      <c r="C1264" s="21" t="s">
        <v>1</v>
      </c>
      <c r="D1264" s="300">
        <v>1</v>
      </c>
      <c r="E1264" s="51">
        <f t="shared" si="454"/>
        <v>1.4204545454545454</v>
      </c>
      <c r="F1264" s="23">
        <f t="shared" si="450"/>
        <v>0.70399999999999996</v>
      </c>
      <c r="G1264" s="65">
        <f t="shared" si="455"/>
        <v>15.625</v>
      </c>
      <c r="H1264" s="303">
        <v>38.4</v>
      </c>
      <c r="I1264" s="71">
        <f t="shared" ref="I1264:I1288" si="460">M1264/L1264</f>
        <v>1.1000000000000001</v>
      </c>
      <c r="J1264" s="23">
        <f t="shared" ref="J1264:J1288" si="461">11/K1264</f>
        <v>0.70399999999999996</v>
      </c>
      <c r="K1264" s="65">
        <f t="shared" ref="K1264:K1288" si="462">M1264/(H1264*I1264)</f>
        <v>15.625</v>
      </c>
      <c r="L1264" s="21">
        <v>600</v>
      </c>
      <c r="M1264" s="21">
        <v>660</v>
      </c>
      <c r="N1264" s="285"/>
      <c r="O1264" s="285"/>
      <c r="P1264" s="285"/>
      <c r="Q1264" s="285"/>
      <c r="R1264" s="285"/>
      <c r="S1264" s="285"/>
      <c r="T1264" s="285"/>
      <c r="U1264" s="234"/>
      <c r="V1264" s="285"/>
      <c r="W1264" s="285"/>
    </row>
    <row r="1265" spans="1:23" s="26" customFormat="1" ht="30" customHeight="1" x14ac:dyDescent="0.3">
      <c r="A1265" s="106" t="s">
        <v>2380</v>
      </c>
      <c r="B1265" s="304" t="s">
        <v>1491</v>
      </c>
      <c r="C1265" s="21" t="s">
        <v>1</v>
      </c>
      <c r="D1265" s="300">
        <v>1</v>
      </c>
      <c r="E1265" s="51">
        <f t="shared" si="454"/>
        <v>1.2626262626262628</v>
      </c>
      <c r="F1265" s="23">
        <f t="shared" si="450"/>
        <v>0.79199999999999993</v>
      </c>
      <c r="G1265" s="65">
        <f t="shared" si="455"/>
        <v>13.888888888888891</v>
      </c>
      <c r="H1265" s="303">
        <v>43.199999999999996</v>
      </c>
      <c r="I1265" s="71">
        <f t="shared" si="460"/>
        <v>1.1000000000000001</v>
      </c>
      <c r="J1265" s="23">
        <f t="shared" si="461"/>
        <v>0.79199999999999993</v>
      </c>
      <c r="K1265" s="65">
        <f t="shared" si="462"/>
        <v>13.888888888888889</v>
      </c>
      <c r="L1265" s="21">
        <v>600</v>
      </c>
      <c r="M1265" s="21">
        <v>660</v>
      </c>
      <c r="N1265" s="285"/>
      <c r="O1265" s="285"/>
      <c r="P1265" s="285"/>
      <c r="Q1265" s="285"/>
      <c r="R1265" s="285"/>
      <c r="S1265" s="285"/>
      <c r="T1265" s="285"/>
      <c r="U1265" s="234"/>
      <c r="V1265" s="285"/>
      <c r="W1265" s="285"/>
    </row>
    <row r="1266" spans="1:23" s="26" customFormat="1" ht="30" customHeight="1" x14ac:dyDescent="0.3">
      <c r="A1266" s="106" t="s">
        <v>2381</v>
      </c>
      <c r="B1266" s="304" t="s">
        <v>1475</v>
      </c>
      <c r="C1266" s="21" t="s">
        <v>1</v>
      </c>
      <c r="D1266" s="300">
        <v>1</v>
      </c>
      <c r="E1266" s="51">
        <f t="shared" si="454"/>
        <v>1.1363636363636365</v>
      </c>
      <c r="F1266" s="23">
        <f t="shared" si="450"/>
        <v>0.88</v>
      </c>
      <c r="G1266" s="65">
        <f t="shared" si="455"/>
        <v>12.5</v>
      </c>
      <c r="H1266" s="303">
        <v>48</v>
      </c>
      <c r="I1266" s="71">
        <f t="shared" si="460"/>
        <v>1.1000000000000001</v>
      </c>
      <c r="J1266" s="23">
        <f t="shared" si="461"/>
        <v>0.88000000000000012</v>
      </c>
      <c r="K1266" s="65">
        <f t="shared" si="462"/>
        <v>12.499999999999998</v>
      </c>
      <c r="L1266" s="21">
        <v>600</v>
      </c>
      <c r="M1266" s="21">
        <v>660</v>
      </c>
      <c r="N1266" s="285"/>
      <c r="O1266" s="285"/>
      <c r="P1266" s="285"/>
      <c r="Q1266" s="285"/>
      <c r="R1266" s="285"/>
      <c r="S1266" s="285"/>
      <c r="T1266" s="285"/>
      <c r="U1266" s="234"/>
      <c r="V1266" s="285"/>
      <c r="W1266" s="285"/>
    </row>
    <row r="1267" spans="1:23" s="26" customFormat="1" ht="35.25" customHeight="1" x14ac:dyDescent="0.3">
      <c r="A1267" s="106" t="s">
        <v>2382</v>
      </c>
      <c r="B1267" s="304" t="s">
        <v>1492</v>
      </c>
      <c r="C1267" s="21" t="s">
        <v>1</v>
      </c>
      <c r="D1267" s="300">
        <v>1</v>
      </c>
      <c r="E1267" s="51">
        <f t="shared" si="454"/>
        <v>1.0101010101010102</v>
      </c>
      <c r="F1267" s="23">
        <f t="shared" si="450"/>
        <v>0.99</v>
      </c>
      <c r="G1267" s="65">
        <f t="shared" si="455"/>
        <v>11.111111111111111</v>
      </c>
      <c r="H1267" s="303">
        <v>54</v>
      </c>
      <c r="I1267" s="71">
        <f t="shared" si="460"/>
        <v>1.1000000000000001</v>
      </c>
      <c r="J1267" s="23">
        <f t="shared" si="461"/>
        <v>0.99</v>
      </c>
      <c r="K1267" s="65">
        <f t="shared" si="462"/>
        <v>11.111111111111111</v>
      </c>
      <c r="L1267" s="21">
        <v>600</v>
      </c>
      <c r="M1267" s="21">
        <v>660</v>
      </c>
      <c r="N1267" s="285"/>
      <c r="O1267" s="285"/>
      <c r="P1267" s="285"/>
      <c r="Q1267" s="285"/>
      <c r="R1267" s="285"/>
      <c r="S1267" s="285"/>
      <c r="T1267" s="285"/>
      <c r="U1267" s="234"/>
      <c r="V1267" s="285"/>
      <c r="W1267" s="285"/>
    </row>
    <row r="1268" spans="1:23" s="26" customFormat="1" ht="30" customHeight="1" x14ac:dyDescent="0.3">
      <c r="A1268" s="106" t="s">
        <v>2383</v>
      </c>
      <c r="B1268" s="304" t="s">
        <v>1493</v>
      </c>
      <c r="C1268" s="21" t="s">
        <v>1</v>
      </c>
      <c r="D1268" s="300">
        <v>1</v>
      </c>
      <c r="E1268" s="51">
        <f t="shared" si="454"/>
        <v>0.90909090909090906</v>
      </c>
      <c r="F1268" s="23">
        <f t="shared" si="450"/>
        <v>1.1000000000000001</v>
      </c>
      <c r="G1268" s="65">
        <f t="shared" si="455"/>
        <v>10</v>
      </c>
      <c r="H1268" s="303">
        <v>60</v>
      </c>
      <c r="I1268" s="71">
        <f t="shared" si="460"/>
        <v>1.1000000000000001</v>
      </c>
      <c r="J1268" s="23">
        <f t="shared" si="461"/>
        <v>1.1000000000000001</v>
      </c>
      <c r="K1268" s="65">
        <f t="shared" si="462"/>
        <v>10</v>
      </c>
      <c r="L1268" s="21">
        <v>600</v>
      </c>
      <c r="M1268" s="21">
        <v>660</v>
      </c>
      <c r="N1268" s="285"/>
      <c r="O1268" s="285"/>
      <c r="P1268" s="285"/>
      <c r="Q1268" s="285"/>
      <c r="R1268" s="285"/>
      <c r="S1268" s="285"/>
      <c r="T1268" s="285"/>
      <c r="U1268" s="234"/>
      <c r="V1268" s="285"/>
      <c r="W1268" s="285"/>
    </row>
    <row r="1269" spans="1:23" s="26" customFormat="1" ht="30" customHeight="1" x14ac:dyDescent="0.3">
      <c r="A1269" s="106" t="s">
        <v>2384</v>
      </c>
      <c r="B1269" s="304" t="s">
        <v>1494</v>
      </c>
      <c r="C1269" s="21" t="s">
        <v>1</v>
      </c>
      <c r="D1269" s="300">
        <v>1</v>
      </c>
      <c r="E1269" s="51">
        <f t="shared" si="454"/>
        <v>1.1837121212121213</v>
      </c>
      <c r="F1269" s="23">
        <f t="shared" si="450"/>
        <v>0.8448</v>
      </c>
      <c r="G1269" s="65">
        <f t="shared" si="455"/>
        <v>13.020833333333334</v>
      </c>
      <c r="H1269" s="303">
        <v>46.08</v>
      </c>
      <c r="I1269" s="71">
        <f t="shared" si="460"/>
        <v>1.1000000000000001</v>
      </c>
      <c r="J1269" s="23">
        <f t="shared" si="461"/>
        <v>0.84480000000000011</v>
      </c>
      <c r="K1269" s="65">
        <f t="shared" si="462"/>
        <v>13.020833333333332</v>
      </c>
      <c r="L1269" s="21">
        <v>600</v>
      </c>
      <c r="M1269" s="21">
        <v>660</v>
      </c>
      <c r="N1269" s="285"/>
      <c r="O1269" s="285"/>
      <c r="P1269" s="285"/>
      <c r="Q1269" s="285"/>
      <c r="R1269" s="285"/>
      <c r="S1269" s="285"/>
      <c r="T1269" s="285"/>
      <c r="U1269" s="234"/>
      <c r="V1269" s="285"/>
      <c r="W1269" s="285"/>
    </row>
    <row r="1270" spans="1:23" s="26" customFormat="1" ht="30" customHeight="1" x14ac:dyDescent="0.3">
      <c r="A1270" s="106" t="s">
        <v>2385</v>
      </c>
      <c r="B1270" s="304" t="s">
        <v>3082</v>
      </c>
      <c r="C1270" s="21" t="s">
        <v>1</v>
      </c>
      <c r="D1270" s="300">
        <v>1</v>
      </c>
      <c r="E1270" s="51">
        <f t="shared" si="454"/>
        <v>1.0521885521885521</v>
      </c>
      <c r="F1270" s="23">
        <f t="shared" si="450"/>
        <v>0.95040000000000002</v>
      </c>
      <c r="G1270" s="65">
        <f t="shared" si="455"/>
        <v>11.574074074074074</v>
      </c>
      <c r="H1270" s="303">
        <v>51.839999999999996</v>
      </c>
      <c r="I1270" s="71">
        <f t="shared" si="460"/>
        <v>1.1000000000000001</v>
      </c>
      <c r="J1270" s="23">
        <f t="shared" si="461"/>
        <v>0.95040000000000002</v>
      </c>
      <c r="K1270" s="65">
        <f t="shared" si="462"/>
        <v>11.574074074074074</v>
      </c>
      <c r="L1270" s="21">
        <v>600</v>
      </c>
      <c r="M1270" s="21">
        <v>660</v>
      </c>
      <c r="N1270" s="285"/>
      <c r="O1270" s="285"/>
      <c r="P1270" s="285"/>
      <c r="Q1270" s="285"/>
      <c r="R1270" s="285"/>
      <c r="S1270" s="285"/>
      <c r="T1270" s="285"/>
      <c r="U1270" s="234"/>
      <c r="V1270" s="285"/>
      <c r="W1270" s="285"/>
    </row>
    <row r="1271" spans="1:23" s="26" customFormat="1" ht="30" customHeight="1" x14ac:dyDescent="0.2">
      <c r="A1271" s="106" t="s">
        <v>2386</v>
      </c>
      <c r="B1271" s="304" t="s">
        <v>3083</v>
      </c>
      <c r="C1271" s="21" t="s">
        <v>1</v>
      </c>
      <c r="D1271" s="300">
        <v>1</v>
      </c>
      <c r="E1271" s="51">
        <f t="shared" si="454"/>
        <v>0.94696969696969713</v>
      </c>
      <c r="F1271" s="23">
        <f t="shared" si="450"/>
        <v>1.0559999999999998</v>
      </c>
      <c r="G1271" s="65">
        <f t="shared" si="455"/>
        <v>10.416666666666668</v>
      </c>
      <c r="H1271" s="303">
        <v>57.599999999999994</v>
      </c>
      <c r="I1271" s="71">
        <f t="shared" si="460"/>
        <v>1.1000000000000001</v>
      </c>
      <c r="J1271" s="23">
        <f t="shared" si="461"/>
        <v>1.056</v>
      </c>
      <c r="K1271" s="65">
        <f t="shared" si="462"/>
        <v>10.416666666666666</v>
      </c>
      <c r="L1271" s="21">
        <v>600</v>
      </c>
      <c r="M1271" s="21">
        <v>660</v>
      </c>
      <c r="N1271" s="285"/>
      <c r="O1271" s="285"/>
      <c r="P1271" s="285"/>
      <c r="Q1271" s="285"/>
      <c r="R1271" s="285"/>
      <c r="S1271" s="285"/>
      <c r="T1271" s="285"/>
      <c r="U1271" s="285"/>
      <c r="V1271" s="285"/>
      <c r="W1271" s="285"/>
    </row>
    <row r="1272" spans="1:23" s="26" customFormat="1" ht="30" customHeight="1" x14ac:dyDescent="0.2">
      <c r="A1272" s="106" t="s">
        <v>2387</v>
      </c>
      <c r="B1272" s="304" t="s">
        <v>1495</v>
      </c>
      <c r="C1272" s="21" t="s">
        <v>1</v>
      </c>
      <c r="D1272" s="300">
        <v>1</v>
      </c>
      <c r="E1272" s="51">
        <f t="shared" si="454"/>
        <v>0.84175084175084181</v>
      </c>
      <c r="F1272" s="23">
        <f t="shared" si="450"/>
        <v>1.1879999999999999</v>
      </c>
      <c r="G1272" s="65">
        <f t="shared" si="455"/>
        <v>9.2592592592592595</v>
      </c>
      <c r="H1272" s="303">
        <v>64.8</v>
      </c>
      <c r="I1272" s="71">
        <f t="shared" si="460"/>
        <v>1.1000000000000001</v>
      </c>
      <c r="J1272" s="23">
        <f t="shared" si="461"/>
        <v>1.1879999999999999</v>
      </c>
      <c r="K1272" s="65">
        <f t="shared" si="462"/>
        <v>9.2592592592592595</v>
      </c>
      <c r="L1272" s="21">
        <v>600</v>
      </c>
      <c r="M1272" s="21">
        <v>660</v>
      </c>
      <c r="N1272" s="285"/>
      <c r="O1272" s="285"/>
      <c r="P1272" s="285"/>
      <c r="Q1272" s="285"/>
      <c r="R1272" s="285"/>
      <c r="S1272" s="285"/>
      <c r="T1272" s="285"/>
      <c r="U1272" s="285"/>
      <c r="V1272" s="285"/>
      <c r="W1272" s="285"/>
    </row>
    <row r="1273" spans="1:23" s="26" customFormat="1" ht="30" customHeight="1" x14ac:dyDescent="0.2">
      <c r="A1273" s="106" t="s">
        <v>2388</v>
      </c>
      <c r="B1273" s="304" t="s">
        <v>1496</v>
      </c>
      <c r="C1273" s="21" t="s">
        <v>1</v>
      </c>
      <c r="D1273" s="300">
        <v>1</v>
      </c>
      <c r="E1273" s="51">
        <f t="shared" si="454"/>
        <v>0.75757575757575768</v>
      </c>
      <c r="F1273" s="23">
        <f t="shared" si="450"/>
        <v>1.3199999999999998</v>
      </c>
      <c r="G1273" s="65">
        <f t="shared" si="455"/>
        <v>8.3333333333333339</v>
      </c>
      <c r="H1273" s="303">
        <v>72</v>
      </c>
      <c r="I1273" s="71">
        <f t="shared" si="460"/>
        <v>1.1000000000000001</v>
      </c>
      <c r="J1273" s="23">
        <f t="shared" si="461"/>
        <v>1.3200000000000003</v>
      </c>
      <c r="K1273" s="65">
        <f t="shared" si="462"/>
        <v>8.3333333333333321</v>
      </c>
      <c r="L1273" s="21">
        <v>600</v>
      </c>
      <c r="M1273" s="21">
        <v>660</v>
      </c>
      <c r="N1273" s="285"/>
      <c r="O1273" s="285"/>
      <c r="P1273" s="285"/>
      <c r="Q1273" s="285"/>
      <c r="R1273" s="285"/>
      <c r="S1273" s="285"/>
      <c r="T1273" s="285"/>
      <c r="U1273" s="285"/>
      <c r="V1273" s="285"/>
      <c r="W1273" s="285"/>
    </row>
    <row r="1274" spans="1:23" s="26" customFormat="1" ht="30" customHeight="1" x14ac:dyDescent="0.2">
      <c r="A1274" s="106" t="s">
        <v>2389</v>
      </c>
      <c r="B1274" s="131" t="s">
        <v>1497</v>
      </c>
      <c r="C1274" s="21" t="s">
        <v>1</v>
      </c>
      <c r="D1274" s="300">
        <v>1</v>
      </c>
      <c r="E1274" s="51">
        <f t="shared" si="454"/>
        <v>1.2603855771557635</v>
      </c>
      <c r="F1274" s="23">
        <f t="shared" si="450"/>
        <v>0.793408</v>
      </c>
      <c r="G1274" s="65">
        <f t="shared" si="455"/>
        <v>13.864241348713398</v>
      </c>
      <c r="H1274" s="303">
        <v>43.276800000000001</v>
      </c>
      <c r="I1274" s="71">
        <f t="shared" si="460"/>
        <v>1.1000000000000001</v>
      </c>
      <c r="J1274" s="23">
        <f t="shared" si="461"/>
        <v>0.793408</v>
      </c>
      <c r="K1274" s="65">
        <f t="shared" si="462"/>
        <v>13.864241348713398</v>
      </c>
      <c r="L1274" s="21">
        <v>600</v>
      </c>
      <c r="M1274" s="21">
        <v>660</v>
      </c>
      <c r="N1274" s="285"/>
      <c r="O1274" s="285"/>
      <c r="P1274" s="285"/>
      <c r="Q1274" s="285"/>
      <c r="R1274" s="285"/>
      <c r="S1274" s="285"/>
      <c r="T1274" s="285"/>
      <c r="U1274" s="285"/>
      <c r="V1274" s="285"/>
      <c r="W1274" s="285"/>
    </row>
    <row r="1275" spans="1:23" s="26" customFormat="1" ht="30" customHeight="1" x14ac:dyDescent="0.2">
      <c r="A1275" s="106" t="s">
        <v>2390</v>
      </c>
      <c r="B1275" s="131" t="s">
        <v>3084</v>
      </c>
      <c r="C1275" s="21" t="s">
        <v>1</v>
      </c>
      <c r="D1275" s="300">
        <v>1</v>
      </c>
      <c r="E1275" s="51">
        <f t="shared" si="454"/>
        <v>1.1595547309833025</v>
      </c>
      <c r="F1275" s="23">
        <f t="shared" si="450"/>
        <v>0.86239999999999994</v>
      </c>
      <c r="G1275" s="65">
        <f t="shared" si="455"/>
        <v>12.755102040816327</v>
      </c>
      <c r="H1275" s="303">
        <v>47.04</v>
      </c>
      <c r="I1275" s="71">
        <f t="shared" si="460"/>
        <v>1.1000000000000001</v>
      </c>
      <c r="J1275" s="23">
        <f t="shared" si="461"/>
        <v>0.86239999999999994</v>
      </c>
      <c r="K1275" s="65">
        <f t="shared" si="462"/>
        <v>12.755102040816327</v>
      </c>
      <c r="L1275" s="21">
        <v>600</v>
      </c>
      <c r="M1275" s="21">
        <v>660</v>
      </c>
      <c r="N1275" s="285"/>
      <c r="O1275" s="285"/>
      <c r="P1275" s="285"/>
      <c r="Q1275" s="285"/>
      <c r="R1275" s="285"/>
      <c r="S1275" s="285"/>
      <c r="T1275" s="285"/>
      <c r="U1275" s="285"/>
      <c r="V1275" s="285"/>
      <c r="W1275" s="285"/>
    </row>
    <row r="1276" spans="1:23" s="26" customFormat="1" ht="30" customHeight="1" x14ac:dyDescent="0.2">
      <c r="A1276" s="106" t="s">
        <v>2391</v>
      </c>
      <c r="B1276" s="131" t="s">
        <v>3085</v>
      </c>
      <c r="C1276" s="21" t="s">
        <v>1</v>
      </c>
      <c r="D1276" s="300">
        <v>1</v>
      </c>
      <c r="E1276" s="51">
        <f t="shared" si="454"/>
        <v>1.0736617879475023</v>
      </c>
      <c r="F1276" s="23">
        <f t="shared" si="450"/>
        <v>0.93139199999999989</v>
      </c>
      <c r="G1276" s="65">
        <f t="shared" si="455"/>
        <v>11.810279667422526</v>
      </c>
      <c r="H1276" s="303">
        <v>50.803199999999997</v>
      </c>
      <c r="I1276" s="71">
        <f t="shared" si="460"/>
        <v>1.1000000000000001</v>
      </c>
      <c r="J1276" s="23">
        <f t="shared" si="461"/>
        <v>0.93139200000000011</v>
      </c>
      <c r="K1276" s="65">
        <f t="shared" si="462"/>
        <v>11.810279667422524</v>
      </c>
      <c r="L1276" s="21">
        <v>600</v>
      </c>
      <c r="M1276" s="21">
        <v>660</v>
      </c>
      <c r="N1276" s="285"/>
      <c r="O1276" s="285"/>
      <c r="P1276" s="285"/>
      <c r="Q1276" s="285"/>
      <c r="R1276" s="285"/>
      <c r="S1276" s="285"/>
      <c r="T1276" s="285"/>
      <c r="U1276" s="285"/>
      <c r="V1276" s="285"/>
      <c r="W1276" s="285"/>
    </row>
    <row r="1277" spans="1:23" s="26" customFormat="1" ht="30" customHeight="1" x14ac:dyDescent="0.2">
      <c r="A1277" s="106" t="s">
        <v>2392</v>
      </c>
      <c r="B1277" s="131" t="s">
        <v>1498</v>
      </c>
      <c r="C1277" s="21" t="s">
        <v>1</v>
      </c>
      <c r="D1277" s="300">
        <v>1</v>
      </c>
      <c r="E1277" s="51">
        <f t="shared" si="454"/>
        <v>0.99746643525445366</v>
      </c>
      <c r="F1277" s="23">
        <f t="shared" si="450"/>
        <v>1.00254</v>
      </c>
      <c r="G1277" s="65">
        <f t="shared" si="455"/>
        <v>10.97213078779899</v>
      </c>
      <c r="H1277" s="303">
        <v>54.683999999999997</v>
      </c>
      <c r="I1277" s="71">
        <f t="shared" si="460"/>
        <v>1.1000000000000001</v>
      </c>
      <c r="J1277" s="23">
        <f t="shared" si="461"/>
        <v>1.00254</v>
      </c>
      <c r="K1277" s="65">
        <f t="shared" si="462"/>
        <v>10.97213078779899</v>
      </c>
      <c r="L1277" s="21">
        <v>600</v>
      </c>
      <c r="M1277" s="21">
        <v>660</v>
      </c>
      <c r="N1277" s="285"/>
      <c r="O1277" s="285"/>
      <c r="P1277" s="285"/>
      <c r="Q1277" s="285"/>
      <c r="R1277" s="285"/>
      <c r="S1277" s="285"/>
      <c r="T1277" s="285"/>
      <c r="U1277" s="285"/>
      <c r="V1277" s="285"/>
      <c r="W1277" s="285"/>
    </row>
    <row r="1278" spans="1:23" s="26" customFormat="1" ht="30" customHeight="1" x14ac:dyDescent="0.2">
      <c r="A1278" s="106" t="s">
        <v>2393</v>
      </c>
      <c r="B1278" s="131" t="s">
        <v>1499</v>
      </c>
      <c r="C1278" s="21" t="s">
        <v>1</v>
      </c>
      <c r="D1278" s="300">
        <v>1</v>
      </c>
      <c r="E1278" s="51">
        <f t="shared" si="454"/>
        <v>0.86695680821181498</v>
      </c>
      <c r="F1278" s="23">
        <f t="shared" si="450"/>
        <v>1.1534599999999999</v>
      </c>
      <c r="G1278" s="65">
        <f t="shared" si="455"/>
        <v>9.5365248903299644</v>
      </c>
      <c r="H1278" s="303">
        <v>62.915999999999997</v>
      </c>
      <c r="I1278" s="71">
        <f t="shared" si="460"/>
        <v>1.1000000000000001</v>
      </c>
      <c r="J1278" s="23">
        <f t="shared" si="461"/>
        <v>1.1534599999999999</v>
      </c>
      <c r="K1278" s="65">
        <f t="shared" si="462"/>
        <v>9.5365248903299644</v>
      </c>
      <c r="L1278" s="21">
        <v>600</v>
      </c>
      <c r="M1278" s="21">
        <v>660</v>
      </c>
      <c r="N1278" s="285"/>
      <c r="O1278" s="285"/>
      <c r="P1278" s="285"/>
      <c r="Q1278" s="285"/>
      <c r="R1278" s="285"/>
      <c r="S1278" s="285"/>
      <c r="T1278" s="285"/>
      <c r="U1278" s="285"/>
      <c r="V1278" s="285"/>
      <c r="W1278" s="285"/>
    </row>
    <row r="1279" spans="1:23" s="26" customFormat="1" ht="30" customHeight="1" x14ac:dyDescent="0.2">
      <c r="A1279" s="106" t="s">
        <v>2394</v>
      </c>
      <c r="B1279" s="131" t="s">
        <v>1500</v>
      </c>
      <c r="C1279" s="21" t="s">
        <v>1</v>
      </c>
      <c r="D1279" s="300">
        <v>1</v>
      </c>
      <c r="E1279" s="51">
        <f t="shared" si="454"/>
        <v>0.90027541225411689</v>
      </c>
      <c r="F1279" s="23">
        <f t="shared" si="450"/>
        <v>1.1107711999999998</v>
      </c>
      <c r="G1279" s="65">
        <f t="shared" si="455"/>
        <v>9.9030295347952855</v>
      </c>
      <c r="H1279" s="303">
        <v>60.587519999999991</v>
      </c>
      <c r="I1279" s="71">
        <f t="shared" si="460"/>
        <v>1.1000000000000001</v>
      </c>
      <c r="J1279" s="23">
        <f t="shared" si="461"/>
        <v>1.1107711999999998</v>
      </c>
      <c r="K1279" s="65">
        <f t="shared" si="462"/>
        <v>9.9030295347952855</v>
      </c>
      <c r="L1279" s="21">
        <v>600</v>
      </c>
      <c r="M1279" s="21">
        <v>660</v>
      </c>
      <c r="N1279" s="285"/>
      <c r="O1279" s="285"/>
      <c r="P1279" s="285"/>
      <c r="Q1279" s="285"/>
      <c r="R1279" s="285"/>
      <c r="S1279" s="285"/>
      <c r="T1279" s="285"/>
      <c r="U1279" s="285"/>
      <c r="V1279" s="285"/>
      <c r="W1279" s="285"/>
    </row>
    <row r="1280" spans="1:23" s="26" customFormat="1" ht="30" customHeight="1" x14ac:dyDescent="0.2">
      <c r="A1280" s="106" t="s">
        <v>2395</v>
      </c>
      <c r="B1280" s="131" t="s">
        <v>1501</v>
      </c>
      <c r="C1280" s="21" t="s">
        <v>1</v>
      </c>
      <c r="D1280" s="300">
        <v>1</v>
      </c>
      <c r="E1280" s="51">
        <f t="shared" si="454"/>
        <v>0.8282533792737875</v>
      </c>
      <c r="F1280" s="23">
        <f t="shared" si="450"/>
        <v>1.20736</v>
      </c>
      <c r="G1280" s="65">
        <f t="shared" si="455"/>
        <v>9.110787172011662</v>
      </c>
      <c r="H1280" s="303">
        <v>65.855999999999995</v>
      </c>
      <c r="I1280" s="71">
        <f t="shared" si="460"/>
        <v>1.1000000000000001</v>
      </c>
      <c r="J1280" s="23">
        <f t="shared" si="461"/>
        <v>1.20736</v>
      </c>
      <c r="K1280" s="65">
        <f t="shared" si="462"/>
        <v>9.110787172011662</v>
      </c>
      <c r="L1280" s="21">
        <v>600</v>
      </c>
      <c r="M1280" s="21">
        <v>660</v>
      </c>
      <c r="N1280" s="285"/>
      <c r="O1280" s="285"/>
      <c r="P1280" s="285"/>
      <c r="Q1280" s="285"/>
      <c r="R1280" s="285"/>
      <c r="S1280" s="285"/>
      <c r="T1280" s="285"/>
      <c r="U1280" s="285"/>
      <c r="V1280" s="285"/>
      <c r="W1280" s="285"/>
    </row>
    <row r="1281" spans="1:23" s="26" customFormat="1" ht="30" customHeight="1" x14ac:dyDescent="0.2">
      <c r="A1281" s="106" t="s">
        <v>2396</v>
      </c>
      <c r="B1281" s="131" t="s">
        <v>1476</v>
      </c>
      <c r="C1281" s="21" t="s">
        <v>1</v>
      </c>
      <c r="D1281" s="300">
        <v>1</v>
      </c>
      <c r="E1281" s="51">
        <f t="shared" si="454"/>
        <v>0.76690127710535883</v>
      </c>
      <c r="F1281" s="23">
        <f t="shared" si="450"/>
        <v>1.3039487999999999</v>
      </c>
      <c r="G1281" s="65">
        <f t="shared" si="455"/>
        <v>8.4359140481589474</v>
      </c>
      <c r="H1281" s="303">
        <v>71.124479999999991</v>
      </c>
      <c r="I1281" s="71">
        <f t="shared" si="460"/>
        <v>1.1000000000000001</v>
      </c>
      <c r="J1281" s="23">
        <f t="shared" si="461"/>
        <v>1.3039487999999999</v>
      </c>
      <c r="K1281" s="65">
        <f t="shared" si="462"/>
        <v>8.4359140481589474</v>
      </c>
      <c r="L1281" s="21">
        <v>600</v>
      </c>
      <c r="M1281" s="21">
        <v>660</v>
      </c>
      <c r="N1281" s="285"/>
      <c r="O1281" s="285"/>
      <c r="P1281" s="285"/>
      <c r="Q1281" s="285"/>
      <c r="R1281" s="285"/>
      <c r="S1281" s="285"/>
      <c r="T1281" s="285"/>
      <c r="U1281" s="285"/>
      <c r="V1281" s="285"/>
      <c r="W1281" s="285"/>
    </row>
    <row r="1282" spans="1:23" s="26" customFormat="1" ht="30" customHeight="1" x14ac:dyDescent="0.2">
      <c r="A1282" s="106" t="s">
        <v>2397</v>
      </c>
      <c r="B1282" s="131" t="s">
        <v>1502</v>
      </c>
      <c r="C1282" s="21" t="s">
        <v>1</v>
      </c>
      <c r="D1282" s="300">
        <v>1</v>
      </c>
      <c r="E1282" s="51">
        <f t="shared" si="454"/>
        <v>0.71247602518175268</v>
      </c>
      <c r="F1282" s="23">
        <f t="shared" si="450"/>
        <v>1.403556</v>
      </c>
      <c r="G1282" s="65">
        <f t="shared" si="455"/>
        <v>7.8372362769992794</v>
      </c>
      <c r="H1282" s="303">
        <v>76.557599999999994</v>
      </c>
      <c r="I1282" s="71">
        <f t="shared" si="460"/>
        <v>1.1000000000000001</v>
      </c>
      <c r="J1282" s="23">
        <f t="shared" si="461"/>
        <v>1.403556</v>
      </c>
      <c r="K1282" s="65">
        <f t="shared" si="462"/>
        <v>7.8372362769992794</v>
      </c>
      <c r="L1282" s="21">
        <v>600</v>
      </c>
      <c r="M1282" s="21">
        <v>660</v>
      </c>
      <c r="N1282" s="285"/>
      <c r="O1282" s="285"/>
      <c r="P1282" s="285"/>
      <c r="Q1282" s="285"/>
      <c r="R1282" s="285"/>
      <c r="S1282" s="285"/>
      <c r="T1282" s="285"/>
      <c r="U1282" s="285"/>
      <c r="V1282" s="285"/>
      <c r="W1282" s="285"/>
    </row>
    <row r="1283" spans="1:23" s="26" customFormat="1" ht="30" customHeight="1" x14ac:dyDescent="0.2">
      <c r="A1283" s="106" t="s">
        <v>2398</v>
      </c>
      <c r="B1283" s="131" t="s">
        <v>1503</v>
      </c>
      <c r="C1283" s="21" t="s">
        <v>1</v>
      </c>
      <c r="D1283" s="300">
        <v>1</v>
      </c>
      <c r="E1283" s="51">
        <f t="shared" si="454"/>
        <v>0.61925486300843924</v>
      </c>
      <c r="F1283" s="23">
        <f t="shared" si="450"/>
        <v>1.6148439999999999</v>
      </c>
      <c r="G1283" s="65">
        <f t="shared" si="455"/>
        <v>6.8118034930928317</v>
      </c>
      <c r="H1283" s="303">
        <v>88.082399999999993</v>
      </c>
      <c r="I1283" s="71">
        <f t="shared" si="460"/>
        <v>1.1000000000000001</v>
      </c>
      <c r="J1283" s="23">
        <f t="shared" si="461"/>
        <v>1.6148440000000002</v>
      </c>
      <c r="K1283" s="65">
        <f t="shared" si="462"/>
        <v>6.8118034930928308</v>
      </c>
      <c r="L1283" s="21">
        <v>600</v>
      </c>
      <c r="M1283" s="21">
        <v>660</v>
      </c>
      <c r="N1283" s="285"/>
      <c r="O1283" s="285"/>
      <c r="P1283" s="285"/>
      <c r="Q1283" s="285"/>
      <c r="R1283" s="285"/>
      <c r="S1283" s="285"/>
      <c r="T1283" s="285"/>
      <c r="U1283" s="285"/>
      <c r="V1283" s="285"/>
      <c r="W1283" s="285"/>
    </row>
    <row r="1284" spans="1:23" s="26" customFormat="1" ht="30" customHeight="1" x14ac:dyDescent="0.2">
      <c r="A1284" s="106" t="s">
        <v>2399</v>
      </c>
      <c r="B1284" s="131" t="s">
        <v>1525</v>
      </c>
      <c r="C1284" s="21" t="s">
        <v>1</v>
      </c>
      <c r="D1284" s="300">
        <v>1</v>
      </c>
      <c r="E1284" s="51">
        <f t="shared" si="454"/>
        <v>1.2351778656126482</v>
      </c>
      <c r="F1284" s="23">
        <f t="shared" si="450"/>
        <v>0.8096000000000001</v>
      </c>
      <c r="G1284" s="65">
        <f t="shared" si="455"/>
        <v>13.586956521739129</v>
      </c>
      <c r="H1284" s="303">
        <v>44.160000000000004</v>
      </c>
      <c r="I1284" s="71">
        <f t="shared" si="460"/>
        <v>1.1000000000000001</v>
      </c>
      <c r="J1284" s="23">
        <f t="shared" si="461"/>
        <v>0.8096000000000001</v>
      </c>
      <c r="K1284" s="65">
        <f t="shared" si="462"/>
        <v>13.586956521739129</v>
      </c>
      <c r="L1284" s="21">
        <v>600</v>
      </c>
      <c r="M1284" s="21">
        <v>660</v>
      </c>
      <c r="N1284" s="285"/>
      <c r="O1284" s="285"/>
      <c r="P1284" s="285"/>
      <c r="Q1284" s="285"/>
      <c r="R1284" s="285"/>
      <c r="S1284" s="285"/>
      <c r="T1284" s="285"/>
      <c r="U1284" s="285"/>
      <c r="V1284" s="285"/>
      <c r="W1284" s="285"/>
    </row>
    <row r="1285" spans="1:23" s="26" customFormat="1" ht="30" customHeight="1" x14ac:dyDescent="0.2">
      <c r="A1285" s="106" t="s">
        <v>2400</v>
      </c>
      <c r="B1285" s="131" t="s">
        <v>3086</v>
      </c>
      <c r="C1285" s="21" t="s">
        <v>1</v>
      </c>
      <c r="D1285" s="300">
        <v>1</v>
      </c>
      <c r="E1285" s="51">
        <f t="shared" si="454"/>
        <v>1.1363636363636365</v>
      </c>
      <c r="F1285" s="23">
        <f t="shared" si="450"/>
        <v>0.88</v>
      </c>
      <c r="G1285" s="65">
        <f t="shared" si="455"/>
        <v>12.5</v>
      </c>
      <c r="H1285" s="303">
        <v>48</v>
      </c>
      <c r="I1285" s="71">
        <f t="shared" si="460"/>
        <v>1.1000000000000001</v>
      </c>
      <c r="J1285" s="23">
        <f t="shared" si="461"/>
        <v>0.88000000000000012</v>
      </c>
      <c r="K1285" s="65">
        <f t="shared" si="462"/>
        <v>12.499999999999998</v>
      </c>
      <c r="L1285" s="21">
        <v>600</v>
      </c>
      <c r="M1285" s="21">
        <v>660</v>
      </c>
      <c r="N1285" s="285"/>
      <c r="O1285" s="285"/>
      <c r="P1285" s="285"/>
      <c r="Q1285" s="285"/>
      <c r="R1285" s="285"/>
      <c r="S1285" s="285"/>
      <c r="T1285" s="285"/>
      <c r="U1285" s="285"/>
      <c r="V1285" s="285"/>
      <c r="W1285" s="285"/>
    </row>
    <row r="1286" spans="1:23" s="26" customFormat="1" ht="30" customHeight="1" x14ac:dyDescent="0.2">
      <c r="A1286" s="106" t="s">
        <v>2401</v>
      </c>
      <c r="B1286" s="131" t="s">
        <v>3087</v>
      </c>
      <c r="C1286" s="21" t="s">
        <v>1</v>
      </c>
      <c r="D1286" s="300">
        <v>1</v>
      </c>
      <c r="E1286" s="51">
        <f t="shared" si="454"/>
        <v>1.0521885521885521</v>
      </c>
      <c r="F1286" s="23">
        <f t="shared" si="450"/>
        <v>0.95040000000000013</v>
      </c>
      <c r="G1286" s="65">
        <f t="shared" si="455"/>
        <v>11.574074074074073</v>
      </c>
      <c r="H1286" s="303">
        <v>51.84</v>
      </c>
      <c r="I1286" s="71">
        <f t="shared" si="460"/>
        <v>1.1000000000000001</v>
      </c>
      <c r="J1286" s="23">
        <f t="shared" si="461"/>
        <v>0.95040000000000013</v>
      </c>
      <c r="K1286" s="65">
        <f t="shared" si="462"/>
        <v>11.574074074074073</v>
      </c>
      <c r="L1286" s="21">
        <v>600</v>
      </c>
      <c r="M1286" s="21">
        <v>660</v>
      </c>
      <c r="N1286" s="285"/>
      <c r="O1286" s="285"/>
      <c r="P1286" s="285"/>
      <c r="Q1286" s="285"/>
      <c r="R1286" s="285"/>
      <c r="S1286" s="285"/>
      <c r="T1286" s="285"/>
      <c r="U1286" s="285"/>
      <c r="V1286" s="285"/>
      <c r="W1286" s="285"/>
    </row>
    <row r="1287" spans="1:23" s="26" customFormat="1" ht="30" customHeight="1" x14ac:dyDescent="0.2">
      <c r="A1287" s="106" t="s">
        <v>2402</v>
      </c>
      <c r="B1287" s="131" t="s">
        <v>1526</v>
      </c>
      <c r="C1287" s="21" t="s">
        <v>1</v>
      </c>
      <c r="D1287" s="300">
        <v>1</v>
      </c>
      <c r="E1287" s="51">
        <f t="shared" si="454"/>
        <v>0.93841642228738997</v>
      </c>
      <c r="F1287" s="23">
        <f t="shared" si="450"/>
        <v>1.065625</v>
      </c>
      <c r="G1287" s="65">
        <f t="shared" si="455"/>
        <v>10.32258064516129</v>
      </c>
      <c r="H1287" s="303">
        <v>58.125</v>
      </c>
      <c r="I1287" s="71">
        <f t="shared" si="460"/>
        <v>1.1000000000000001</v>
      </c>
      <c r="J1287" s="23">
        <f t="shared" si="461"/>
        <v>1.065625</v>
      </c>
      <c r="K1287" s="65">
        <f t="shared" si="462"/>
        <v>10.32258064516129</v>
      </c>
      <c r="L1287" s="21">
        <v>600</v>
      </c>
      <c r="M1287" s="21">
        <v>660</v>
      </c>
      <c r="N1287" s="285"/>
      <c r="O1287" s="285"/>
      <c r="P1287" s="285"/>
      <c r="Q1287" s="285"/>
      <c r="R1287" s="285"/>
      <c r="S1287" s="285"/>
      <c r="T1287" s="285"/>
      <c r="U1287" s="285"/>
      <c r="V1287" s="285"/>
      <c r="W1287" s="285"/>
    </row>
    <row r="1288" spans="1:23" s="26" customFormat="1" ht="30" customHeight="1" x14ac:dyDescent="0.2">
      <c r="A1288" s="106" t="s">
        <v>2403</v>
      </c>
      <c r="B1288" s="131" t="s">
        <v>1527</v>
      </c>
      <c r="C1288" s="21" t="s">
        <v>1</v>
      </c>
      <c r="D1288" s="300">
        <v>1</v>
      </c>
      <c r="E1288" s="51">
        <f t="shared" si="454"/>
        <v>0.81563296516567541</v>
      </c>
      <c r="F1288" s="23">
        <f t="shared" si="450"/>
        <v>1.2260416666666667</v>
      </c>
      <c r="G1288" s="65">
        <f t="shared" si="455"/>
        <v>8.9719626168224291</v>
      </c>
      <c r="H1288" s="303">
        <v>66.875</v>
      </c>
      <c r="I1288" s="71">
        <f t="shared" si="460"/>
        <v>1.1000000000000001</v>
      </c>
      <c r="J1288" s="23">
        <f t="shared" si="461"/>
        <v>1.2260416666666667</v>
      </c>
      <c r="K1288" s="65">
        <f t="shared" si="462"/>
        <v>8.9719626168224291</v>
      </c>
      <c r="L1288" s="21">
        <v>600</v>
      </c>
      <c r="M1288" s="21">
        <v>660</v>
      </c>
      <c r="N1288" s="285"/>
      <c r="O1288" s="285"/>
      <c r="P1288" s="285"/>
      <c r="Q1288" s="285"/>
      <c r="R1288" s="285"/>
      <c r="S1288" s="285"/>
      <c r="T1288" s="285"/>
      <c r="U1288" s="285"/>
      <c r="V1288" s="285"/>
      <c r="W1288" s="285"/>
    </row>
    <row r="1289" spans="1:23" s="26" customFormat="1" ht="30" customHeight="1" x14ac:dyDescent="0.2">
      <c r="A1289" s="106"/>
      <c r="B1289" s="112" t="s">
        <v>1484</v>
      </c>
      <c r="C1289" s="222"/>
      <c r="D1289" s="300">
        <v>1</v>
      </c>
      <c r="E1289" s="222"/>
      <c r="F1289" s="222"/>
      <c r="G1289" s="222"/>
      <c r="H1289" s="222"/>
      <c r="I1289" s="71"/>
      <c r="J1289" s="23"/>
      <c r="K1289" s="65"/>
      <c r="L1289" s="21"/>
      <c r="M1289" s="21"/>
      <c r="N1289" s="285"/>
      <c r="O1289" s="285"/>
      <c r="P1289" s="285"/>
      <c r="Q1289" s="285"/>
      <c r="R1289" s="285"/>
      <c r="S1289" s="285"/>
      <c r="T1289" s="285"/>
      <c r="U1289" s="285"/>
      <c r="V1289" s="285"/>
      <c r="W1289" s="285"/>
    </row>
    <row r="1290" spans="1:23" s="26" customFormat="1" ht="30" customHeight="1" x14ac:dyDescent="0.2">
      <c r="A1290" s="106" t="s">
        <v>2404</v>
      </c>
      <c r="B1290" s="304" t="s">
        <v>1485</v>
      </c>
      <c r="C1290" s="21" t="s">
        <v>1</v>
      </c>
      <c r="D1290" s="300">
        <v>1</v>
      </c>
      <c r="E1290" s="51">
        <f t="shared" si="454"/>
        <v>0.6109481915933529</v>
      </c>
      <c r="F1290" s="23">
        <f t="shared" si="450"/>
        <v>1.6368</v>
      </c>
      <c r="G1290" s="65">
        <f t="shared" si="455"/>
        <v>6.720430107526882</v>
      </c>
      <c r="H1290" s="303">
        <v>89.28</v>
      </c>
      <c r="I1290" s="71">
        <f t="shared" ref="I1290:I1314" si="463">M1290/L1290</f>
        <v>1.1000000000000001</v>
      </c>
      <c r="J1290" s="23">
        <f t="shared" ref="J1290:J1314" si="464">11/K1290</f>
        <v>1.6368000000000003</v>
      </c>
      <c r="K1290" s="65">
        <f t="shared" ref="K1290:K1314" si="465">M1290/(H1290*I1290)</f>
        <v>6.7204301075268811</v>
      </c>
      <c r="L1290" s="21">
        <v>600</v>
      </c>
      <c r="M1290" s="21">
        <v>660</v>
      </c>
      <c r="N1290" s="285"/>
      <c r="O1290" s="285"/>
      <c r="P1290" s="285"/>
      <c r="Q1290" s="285"/>
      <c r="R1290" s="285"/>
      <c r="S1290" s="285"/>
      <c r="T1290" s="285"/>
      <c r="U1290" s="285"/>
      <c r="V1290" s="285"/>
      <c r="W1290" s="285"/>
    </row>
    <row r="1291" spans="1:23" s="26" customFormat="1" ht="30" customHeight="1" x14ac:dyDescent="0.2">
      <c r="A1291" s="106" t="s">
        <v>2405</v>
      </c>
      <c r="B1291" s="304" t="s">
        <v>1486</v>
      </c>
      <c r="C1291" s="21" t="s">
        <v>1</v>
      </c>
      <c r="D1291" s="300">
        <v>1</v>
      </c>
      <c r="E1291" s="51">
        <f t="shared" si="454"/>
        <v>0.54306505919409143</v>
      </c>
      <c r="F1291" s="23">
        <f t="shared" si="450"/>
        <v>1.8414000000000001</v>
      </c>
      <c r="G1291" s="65">
        <f t="shared" si="455"/>
        <v>5.9737156511350058</v>
      </c>
      <c r="H1291" s="303">
        <v>100.44</v>
      </c>
      <c r="I1291" s="71">
        <f t="shared" si="463"/>
        <v>1.1000000000000001</v>
      </c>
      <c r="J1291" s="23">
        <f t="shared" si="464"/>
        <v>1.8414000000000001</v>
      </c>
      <c r="K1291" s="65">
        <f t="shared" si="465"/>
        <v>5.9737156511350058</v>
      </c>
      <c r="L1291" s="21">
        <v>600</v>
      </c>
      <c r="M1291" s="21">
        <v>660</v>
      </c>
      <c r="N1291" s="285"/>
      <c r="O1291" s="285"/>
      <c r="P1291" s="285"/>
      <c r="Q1291" s="285"/>
      <c r="R1291" s="285"/>
      <c r="S1291" s="285"/>
      <c r="T1291" s="285"/>
      <c r="U1291" s="285"/>
      <c r="V1291" s="285"/>
      <c r="W1291" s="285"/>
    </row>
    <row r="1292" spans="1:23" s="26" customFormat="1" ht="30" customHeight="1" x14ac:dyDescent="0.2">
      <c r="A1292" s="106" t="s">
        <v>2406</v>
      </c>
      <c r="B1292" s="304" t="s">
        <v>1487</v>
      </c>
      <c r="C1292" s="21" t="s">
        <v>1</v>
      </c>
      <c r="D1292" s="300">
        <v>1</v>
      </c>
      <c r="E1292" s="51">
        <f t="shared" si="454"/>
        <v>0.48875855327468237</v>
      </c>
      <c r="F1292" s="23">
        <f t="shared" si="450"/>
        <v>2.0459999999999998</v>
      </c>
      <c r="G1292" s="65">
        <f t="shared" si="455"/>
        <v>5.3763440860215059</v>
      </c>
      <c r="H1292" s="303">
        <v>111.6</v>
      </c>
      <c r="I1292" s="71">
        <f t="shared" si="463"/>
        <v>1.1000000000000001</v>
      </c>
      <c r="J1292" s="23">
        <f t="shared" si="464"/>
        <v>2.0460000000000003</v>
      </c>
      <c r="K1292" s="65">
        <f t="shared" si="465"/>
        <v>5.376344086021505</v>
      </c>
      <c r="L1292" s="21">
        <v>600</v>
      </c>
      <c r="M1292" s="21">
        <v>660</v>
      </c>
      <c r="N1292" s="285"/>
      <c r="O1292" s="285"/>
      <c r="P1292" s="285"/>
      <c r="Q1292" s="285"/>
      <c r="R1292" s="285"/>
      <c r="S1292" s="285"/>
      <c r="T1292" s="285"/>
      <c r="U1292" s="285"/>
      <c r="V1292" s="285"/>
      <c r="W1292" s="285"/>
    </row>
    <row r="1293" spans="1:23" s="26" customFormat="1" ht="30" customHeight="1" x14ac:dyDescent="0.2">
      <c r="A1293" s="106" t="s">
        <v>2407</v>
      </c>
      <c r="B1293" s="304" t="s">
        <v>1488</v>
      </c>
      <c r="C1293" s="21" t="s">
        <v>1</v>
      </c>
      <c r="D1293" s="300">
        <v>1</v>
      </c>
      <c r="E1293" s="51">
        <f t="shared" si="454"/>
        <v>0.30547409579667645</v>
      </c>
      <c r="F1293" s="23">
        <f t="shared" si="450"/>
        <v>3.2736000000000001</v>
      </c>
      <c r="G1293" s="65">
        <f t="shared" si="455"/>
        <v>3.360215053763441</v>
      </c>
      <c r="H1293" s="303">
        <v>178.56</v>
      </c>
      <c r="I1293" s="71">
        <f t="shared" si="463"/>
        <v>1.1000000000000001</v>
      </c>
      <c r="J1293" s="23">
        <f t="shared" si="464"/>
        <v>3.2736000000000005</v>
      </c>
      <c r="K1293" s="65">
        <f t="shared" si="465"/>
        <v>3.3602150537634405</v>
      </c>
      <c r="L1293" s="21">
        <v>600</v>
      </c>
      <c r="M1293" s="21">
        <v>660</v>
      </c>
      <c r="N1293" s="285"/>
      <c r="O1293" s="285"/>
      <c r="P1293" s="285"/>
      <c r="Q1293" s="285"/>
      <c r="R1293" s="285"/>
      <c r="S1293" s="285"/>
      <c r="T1293" s="285"/>
      <c r="U1293" s="285"/>
      <c r="V1293" s="285"/>
      <c r="W1293" s="285"/>
    </row>
    <row r="1294" spans="1:23" s="26" customFormat="1" ht="30" customHeight="1" x14ac:dyDescent="0.2">
      <c r="A1294" s="106" t="s">
        <v>2408</v>
      </c>
      <c r="B1294" s="304" t="s">
        <v>1489</v>
      </c>
      <c r="C1294" s="21" t="s">
        <v>1</v>
      </c>
      <c r="D1294" s="300">
        <v>1</v>
      </c>
      <c r="E1294" s="51">
        <f t="shared" si="454"/>
        <v>0.27153252959704571</v>
      </c>
      <c r="F1294" s="23">
        <f t="shared" si="450"/>
        <v>3.6828000000000003</v>
      </c>
      <c r="G1294" s="65">
        <f t="shared" si="455"/>
        <v>2.9868578255675029</v>
      </c>
      <c r="H1294" s="303">
        <v>200.88</v>
      </c>
      <c r="I1294" s="71">
        <f t="shared" si="463"/>
        <v>1.1000000000000001</v>
      </c>
      <c r="J1294" s="23">
        <f t="shared" si="464"/>
        <v>3.6828000000000003</v>
      </c>
      <c r="K1294" s="65">
        <f t="shared" si="465"/>
        <v>2.9868578255675029</v>
      </c>
      <c r="L1294" s="21">
        <v>600</v>
      </c>
      <c r="M1294" s="21">
        <v>660</v>
      </c>
      <c r="N1294" s="285"/>
      <c r="O1294" s="285"/>
      <c r="P1294" s="285"/>
      <c r="Q1294" s="285"/>
      <c r="R1294" s="285"/>
      <c r="S1294" s="285"/>
      <c r="T1294" s="285"/>
      <c r="U1294" s="285"/>
      <c r="V1294" s="285"/>
      <c r="W1294" s="285"/>
    </row>
    <row r="1295" spans="1:23" s="26" customFormat="1" ht="30" customHeight="1" x14ac:dyDescent="0.2">
      <c r="A1295" s="106" t="s">
        <v>2409</v>
      </c>
      <c r="B1295" s="304" t="s">
        <v>3088</v>
      </c>
      <c r="C1295" s="21" t="s">
        <v>1</v>
      </c>
      <c r="D1295" s="300">
        <v>1</v>
      </c>
      <c r="E1295" s="51">
        <f t="shared" si="454"/>
        <v>0.47348484848484856</v>
      </c>
      <c r="F1295" s="23">
        <f t="shared" si="450"/>
        <v>2.1119999999999997</v>
      </c>
      <c r="G1295" s="65">
        <f t="shared" si="455"/>
        <v>5.2083333333333339</v>
      </c>
      <c r="H1295" s="303">
        <v>115.19999999999999</v>
      </c>
      <c r="I1295" s="71">
        <f t="shared" si="463"/>
        <v>1.1000000000000001</v>
      </c>
      <c r="J1295" s="23">
        <f t="shared" si="464"/>
        <v>2.1120000000000001</v>
      </c>
      <c r="K1295" s="65">
        <f t="shared" si="465"/>
        <v>5.208333333333333</v>
      </c>
      <c r="L1295" s="21">
        <v>600</v>
      </c>
      <c r="M1295" s="21">
        <v>660</v>
      </c>
      <c r="N1295" s="285"/>
      <c r="O1295" s="285"/>
      <c r="P1295" s="285"/>
      <c r="Q1295" s="285"/>
      <c r="R1295" s="285"/>
      <c r="S1295" s="285"/>
      <c r="T1295" s="285"/>
      <c r="U1295" s="285"/>
      <c r="V1295" s="285"/>
      <c r="W1295" s="285"/>
    </row>
    <row r="1296" spans="1:23" s="26" customFormat="1" ht="30" customHeight="1" x14ac:dyDescent="0.2">
      <c r="A1296" s="106" t="s">
        <v>2410</v>
      </c>
      <c r="B1296" s="304" t="s">
        <v>3089</v>
      </c>
      <c r="C1296" s="21" t="s">
        <v>1</v>
      </c>
      <c r="D1296" s="300">
        <v>1</v>
      </c>
      <c r="E1296" s="51">
        <f t="shared" si="454"/>
        <v>0.4208754208754209</v>
      </c>
      <c r="F1296" s="23">
        <f t="shared" si="450"/>
        <v>2.3759999999999999</v>
      </c>
      <c r="G1296" s="65">
        <f t="shared" si="455"/>
        <v>4.6296296296296298</v>
      </c>
      <c r="H1296" s="303">
        <v>129.6</v>
      </c>
      <c r="I1296" s="71">
        <f t="shared" si="463"/>
        <v>1.1000000000000001</v>
      </c>
      <c r="J1296" s="23">
        <f t="shared" si="464"/>
        <v>2.3759999999999999</v>
      </c>
      <c r="K1296" s="65">
        <f t="shared" si="465"/>
        <v>4.6296296296296298</v>
      </c>
      <c r="L1296" s="21">
        <v>600</v>
      </c>
      <c r="M1296" s="21">
        <v>660</v>
      </c>
      <c r="N1296" s="285"/>
      <c r="O1296" s="285"/>
      <c r="P1296" s="285"/>
      <c r="Q1296" s="285"/>
      <c r="R1296" s="285"/>
      <c r="S1296" s="285"/>
      <c r="T1296" s="285"/>
      <c r="U1296" s="285"/>
      <c r="V1296" s="285"/>
      <c r="W1296" s="285"/>
    </row>
    <row r="1297" spans="1:23" s="26" customFormat="1" ht="30" customHeight="1" x14ac:dyDescent="0.2">
      <c r="A1297" s="106" t="s">
        <v>2411</v>
      </c>
      <c r="B1297" s="304" t="s">
        <v>3090</v>
      </c>
      <c r="C1297" s="21" t="s">
        <v>1</v>
      </c>
      <c r="D1297" s="300">
        <v>1</v>
      </c>
      <c r="E1297" s="51">
        <f t="shared" si="454"/>
        <v>0.37878787878787884</v>
      </c>
      <c r="F1297" s="23">
        <f t="shared" si="450"/>
        <v>2.6399999999999997</v>
      </c>
      <c r="G1297" s="65">
        <f t="shared" si="455"/>
        <v>4.166666666666667</v>
      </c>
      <c r="H1297" s="303">
        <v>144</v>
      </c>
      <c r="I1297" s="71">
        <f t="shared" si="463"/>
        <v>1.1000000000000001</v>
      </c>
      <c r="J1297" s="23">
        <f t="shared" si="464"/>
        <v>2.6400000000000006</v>
      </c>
      <c r="K1297" s="65">
        <f t="shared" si="465"/>
        <v>4.1666666666666661</v>
      </c>
      <c r="L1297" s="21">
        <v>600</v>
      </c>
      <c r="M1297" s="21">
        <v>660</v>
      </c>
      <c r="N1297" s="285"/>
      <c r="O1297" s="285"/>
      <c r="P1297" s="285"/>
      <c r="Q1297" s="285"/>
      <c r="R1297" s="285"/>
      <c r="S1297" s="285"/>
      <c r="T1297" s="285"/>
      <c r="U1297" s="285"/>
      <c r="V1297" s="285"/>
      <c r="W1297" s="285"/>
    </row>
    <row r="1298" spans="1:23" s="26" customFormat="1" ht="30" customHeight="1" x14ac:dyDescent="0.2">
      <c r="A1298" s="106" t="s">
        <v>2412</v>
      </c>
      <c r="B1298" s="304" t="s">
        <v>3091</v>
      </c>
      <c r="C1298" s="21" t="s">
        <v>1</v>
      </c>
      <c r="D1298" s="300">
        <v>1</v>
      </c>
      <c r="E1298" s="51">
        <f t="shared" si="454"/>
        <v>0.23674242424242428</v>
      </c>
      <c r="F1298" s="23">
        <f t="shared" si="450"/>
        <v>4.2239999999999993</v>
      </c>
      <c r="G1298" s="65">
        <f t="shared" si="455"/>
        <v>2.604166666666667</v>
      </c>
      <c r="H1298" s="303">
        <v>230.39999999999998</v>
      </c>
      <c r="I1298" s="71">
        <f t="shared" si="463"/>
        <v>1.1000000000000001</v>
      </c>
      <c r="J1298" s="23">
        <f t="shared" si="464"/>
        <v>4.2240000000000002</v>
      </c>
      <c r="K1298" s="65">
        <f t="shared" si="465"/>
        <v>2.6041666666666665</v>
      </c>
      <c r="L1298" s="21">
        <v>600</v>
      </c>
      <c r="M1298" s="21">
        <v>660</v>
      </c>
      <c r="N1298" s="285"/>
      <c r="O1298" s="285"/>
      <c r="P1298" s="285"/>
      <c r="Q1298" s="285"/>
      <c r="R1298" s="285"/>
      <c r="S1298" s="285"/>
      <c r="T1298" s="285"/>
      <c r="U1298" s="285"/>
      <c r="V1298" s="285"/>
      <c r="W1298" s="285"/>
    </row>
    <row r="1299" spans="1:23" s="26" customFormat="1" ht="30" customHeight="1" x14ac:dyDescent="0.2">
      <c r="A1299" s="106" t="s">
        <v>2413</v>
      </c>
      <c r="B1299" s="304" t="s">
        <v>3092</v>
      </c>
      <c r="C1299" s="21" t="s">
        <v>1</v>
      </c>
      <c r="D1299" s="300">
        <v>1</v>
      </c>
      <c r="E1299" s="51">
        <f t="shared" si="454"/>
        <v>0.21043771043771045</v>
      </c>
      <c r="F1299" s="23">
        <f t="shared" si="450"/>
        <v>4.7519999999999998</v>
      </c>
      <c r="G1299" s="65">
        <f t="shared" si="455"/>
        <v>2.3148148148148149</v>
      </c>
      <c r="H1299" s="303">
        <v>259.2</v>
      </c>
      <c r="I1299" s="71">
        <f t="shared" si="463"/>
        <v>1.1000000000000001</v>
      </c>
      <c r="J1299" s="23">
        <f t="shared" si="464"/>
        <v>4.7519999999999998</v>
      </c>
      <c r="K1299" s="65">
        <f t="shared" si="465"/>
        <v>2.3148148148148149</v>
      </c>
      <c r="L1299" s="21">
        <v>600</v>
      </c>
      <c r="M1299" s="21">
        <v>660</v>
      </c>
      <c r="N1299" s="285"/>
      <c r="O1299" s="285"/>
      <c r="P1299" s="285"/>
      <c r="Q1299" s="285"/>
      <c r="R1299" s="285"/>
      <c r="S1299" s="285"/>
      <c r="T1299" s="285"/>
      <c r="U1299" s="285"/>
      <c r="V1299" s="285"/>
      <c r="W1299" s="285"/>
    </row>
    <row r="1300" spans="1:23" s="26" customFormat="1" ht="30" customHeight="1" x14ac:dyDescent="0.2">
      <c r="A1300" s="106" t="s">
        <v>2414</v>
      </c>
      <c r="B1300" s="131" t="s">
        <v>3094</v>
      </c>
      <c r="C1300" s="21" t="s">
        <v>1</v>
      </c>
      <c r="D1300" s="300">
        <v>1</v>
      </c>
      <c r="E1300" s="51">
        <f t="shared" si="454"/>
        <v>0.57974752554548326</v>
      </c>
      <c r="F1300" s="23">
        <f t="shared" si="450"/>
        <v>1.7248887764705887</v>
      </c>
      <c r="G1300" s="65">
        <f t="shared" si="455"/>
        <v>6.3772227810003157</v>
      </c>
      <c r="H1300" s="303">
        <v>94.084842352941209</v>
      </c>
      <c r="I1300" s="71">
        <f t="shared" si="463"/>
        <v>1.1000000000000001</v>
      </c>
      <c r="J1300" s="23">
        <f t="shared" si="464"/>
        <v>1.7248887764705889</v>
      </c>
      <c r="K1300" s="65">
        <f t="shared" si="465"/>
        <v>6.3772227810003148</v>
      </c>
      <c r="L1300" s="21">
        <v>600</v>
      </c>
      <c r="M1300" s="21">
        <v>660</v>
      </c>
      <c r="N1300" s="285"/>
      <c r="O1300" s="285"/>
      <c r="P1300" s="285"/>
      <c r="Q1300" s="285"/>
      <c r="R1300" s="285"/>
      <c r="S1300" s="285"/>
      <c r="T1300" s="285"/>
      <c r="U1300" s="285"/>
      <c r="V1300" s="285"/>
      <c r="W1300" s="285"/>
    </row>
    <row r="1301" spans="1:23" s="26" customFormat="1" ht="30" customHeight="1" x14ac:dyDescent="0.2">
      <c r="A1301" s="106" t="s">
        <v>2415</v>
      </c>
      <c r="B1301" s="131" t="s">
        <v>3093</v>
      </c>
      <c r="C1301" s="21" t="s">
        <v>1</v>
      </c>
      <c r="D1301" s="300">
        <v>1</v>
      </c>
      <c r="E1301" s="51">
        <f t="shared" si="454"/>
        <v>0.53285839977607419</v>
      </c>
      <c r="F1301" s="23">
        <f t="shared" si="450"/>
        <v>1.8766711764705879</v>
      </c>
      <c r="G1301" s="65">
        <f t="shared" si="455"/>
        <v>5.8614423975368162</v>
      </c>
      <c r="H1301" s="303">
        <v>102.36388235294116</v>
      </c>
      <c r="I1301" s="71">
        <f t="shared" si="463"/>
        <v>1.1000000000000001</v>
      </c>
      <c r="J1301" s="23">
        <f t="shared" si="464"/>
        <v>1.8766711764705881</v>
      </c>
      <c r="K1301" s="65">
        <f t="shared" si="465"/>
        <v>5.8614423975368153</v>
      </c>
      <c r="L1301" s="21">
        <v>600</v>
      </c>
      <c r="M1301" s="21">
        <v>660</v>
      </c>
      <c r="N1301" s="285"/>
      <c r="O1301" s="285"/>
      <c r="P1301" s="285"/>
      <c r="Q1301" s="285"/>
      <c r="R1301" s="285"/>
      <c r="S1301" s="285"/>
      <c r="T1301" s="285"/>
      <c r="U1301" s="285"/>
      <c r="V1301" s="285"/>
      <c r="W1301" s="285"/>
    </row>
    <row r="1302" spans="1:23" s="26" customFormat="1" ht="30" customHeight="1" x14ac:dyDescent="0.2">
      <c r="A1302" s="106" t="s">
        <v>2416</v>
      </c>
      <c r="B1302" s="131" t="s">
        <v>3095</v>
      </c>
      <c r="C1302" s="21" t="s">
        <v>1</v>
      </c>
      <c r="D1302" s="300">
        <v>1</v>
      </c>
      <c r="E1302" s="51">
        <f t="shared" si="454"/>
        <v>0.49298638706829667</v>
      </c>
      <c r="F1302" s="23">
        <f t="shared" si="450"/>
        <v>2.028453576470588</v>
      </c>
      <c r="G1302" s="65">
        <f t="shared" si="455"/>
        <v>5.4228502577512634</v>
      </c>
      <c r="H1302" s="303">
        <v>110.64292235294117</v>
      </c>
      <c r="I1302" s="71">
        <f t="shared" si="463"/>
        <v>1.1000000000000001</v>
      </c>
      <c r="J1302" s="23">
        <f t="shared" si="464"/>
        <v>2.0284535764705884</v>
      </c>
      <c r="K1302" s="65">
        <f t="shared" si="465"/>
        <v>5.4228502577512625</v>
      </c>
      <c r="L1302" s="21">
        <v>600</v>
      </c>
      <c r="M1302" s="21">
        <v>660</v>
      </c>
      <c r="N1302" s="285"/>
      <c r="O1302" s="285"/>
      <c r="P1302" s="285"/>
      <c r="Q1302" s="285"/>
      <c r="R1302" s="285"/>
      <c r="S1302" s="285"/>
      <c r="T1302" s="285"/>
      <c r="U1302" s="285"/>
      <c r="V1302" s="285"/>
      <c r="W1302" s="285"/>
    </row>
    <row r="1303" spans="1:23" s="26" customFormat="1" ht="30" customHeight="1" x14ac:dyDescent="0.2">
      <c r="A1303" s="106" t="s">
        <v>2417</v>
      </c>
      <c r="B1303" s="131" t="s">
        <v>3096</v>
      </c>
      <c r="C1303" s="21" t="s">
        <v>1</v>
      </c>
      <c r="D1303" s="300">
        <v>1</v>
      </c>
      <c r="E1303" s="51">
        <f t="shared" si="454"/>
        <v>0.22991943812233612</v>
      </c>
      <c r="F1303" s="23">
        <f t="shared" ref="F1303:F1318" si="466">11/G1303</f>
        <v>4.3493495294117652</v>
      </c>
      <c r="G1303" s="65">
        <f t="shared" si="455"/>
        <v>2.5291138193456972</v>
      </c>
      <c r="H1303" s="303">
        <v>237.23724705882353</v>
      </c>
      <c r="I1303" s="71">
        <f t="shared" si="463"/>
        <v>1.1000000000000001</v>
      </c>
      <c r="J1303" s="23">
        <f t="shared" si="464"/>
        <v>4.3493495294117652</v>
      </c>
      <c r="K1303" s="65">
        <f t="shared" si="465"/>
        <v>2.5291138193456972</v>
      </c>
      <c r="L1303" s="21">
        <v>600</v>
      </c>
      <c r="M1303" s="21">
        <v>660</v>
      </c>
      <c r="N1303" s="285"/>
      <c r="O1303" s="285"/>
      <c r="P1303" s="285"/>
      <c r="Q1303" s="285"/>
      <c r="R1303" s="285"/>
      <c r="S1303" s="285"/>
      <c r="T1303" s="285"/>
      <c r="U1303" s="285"/>
      <c r="V1303" s="285"/>
      <c r="W1303" s="285"/>
    </row>
    <row r="1304" spans="1:23" s="26" customFormat="1" ht="30" customHeight="1" x14ac:dyDescent="0.2">
      <c r="A1304" s="106" t="s">
        <v>2418</v>
      </c>
      <c r="B1304" s="131" t="s">
        <v>3097</v>
      </c>
      <c r="C1304" s="21" t="s">
        <v>1</v>
      </c>
      <c r="D1304" s="300">
        <v>1</v>
      </c>
      <c r="E1304" s="51">
        <f t="shared" si="454"/>
        <v>0.19946553093652888</v>
      </c>
      <c r="F1304" s="23">
        <f t="shared" si="466"/>
        <v>5.0133975294117654</v>
      </c>
      <c r="G1304" s="65">
        <f t="shared" si="455"/>
        <v>2.1941208403018178</v>
      </c>
      <c r="H1304" s="303">
        <v>273.45804705882358</v>
      </c>
      <c r="I1304" s="71">
        <f t="shared" si="463"/>
        <v>1.1000000000000001</v>
      </c>
      <c r="J1304" s="23">
        <f t="shared" si="464"/>
        <v>5.0133975294117654</v>
      </c>
      <c r="K1304" s="65">
        <f t="shared" si="465"/>
        <v>2.1941208403018178</v>
      </c>
      <c r="L1304" s="21">
        <v>600</v>
      </c>
      <c r="M1304" s="21">
        <v>660</v>
      </c>
      <c r="N1304" s="285"/>
      <c r="O1304" s="285"/>
      <c r="P1304" s="285"/>
      <c r="Q1304" s="285"/>
      <c r="R1304" s="285"/>
      <c r="S1304" s="285"/>
      <c r="T1304" s="285"/>
      <c r="U1304" s="285"/>
      <c r="V1304" s="285"/>
      <c r="W1304" s="285"/>
    </row>
    <row r="1305" spans="1:23" s="26" customFormat="1" ht="30" customHeight="1" x14ac:dyDescent="0.2">
      <c r="A1305" s="106" t="s">
        <v>2419</v>
      </c>
      <c r="B1305" s="131" t="s">
        <v>3098</v>
      </c>
      <c r="C1305" s="21" t="s">
        <v>1</v>
      </c>
      <c r="D1305" s="300">
        <v>1</v>
      </c>
      <c r="E1305" s="51">
        <f t="shared" si="454"/>
        <v>0.38345063855267941</v>
      </c>
      <c r="F1305" s="23">
        <f t="shared" si="466"/>
        <v>2.6078975999999998</v>
      </c>
      <c r="G1305" s="65">
        <f t="shared" si="455"/>
        <v>4.2179570240794737</v>
      </c>
      <c r="H1305" s="303">
        <v>142.24895999999998</v>
      </c>
      <c r="I1305" s="71">
        <f t="shared" si="463"/>
        <v>1.1000000000000001</v>
      </c>
      <c r="J1305" s="23">
        <f t="shared" si="464"/>
        <v>2.6078975999999998</v>
      </c>
      <c r="K1305" s="65">
        <f t="shared" si="465"/>
        <v>4.2179570240794737</v>
      </c>
      <c r="L1305" s="21">
        <v>600</v>
      </c>
      <c r="M1305" s="21">
        <v>660</v>
      </c>
      <c r="N1305" s="285"/>
      <c r="O1305" s="285"/>
      <c r="P1305" s="285"/>
      <c r="Q1305" s="285"/>
      <c r="R1305" s="285"/>
      <c r="S1305" s="285"/>
      <c r="T1305" s="285"/>
      <c r="U1305" s="285"/>
      <c r="V1305" s="285"/>
      <c r="W1305" s="285"/>
    </row>
    <row r="1306" spans="1:23" s="26" customFormat="1" ht="30" customHeight="1" x14ac:dyDescent="0.2">
      <c r="A1306" s="106" t="s">
        <v>2420</v>
      </c>
      <c r="B1306" s="131" t="s">
        <v>3099</v>
      </c>
      <c r="C1306" s="21" t="s">
        <v>1</v>
      </c>
      <c r="D1306" s="300">
        <v>1</v>
      </c>
      <c r="E1306" s="51">
        <f t="shared" si="454"/>
        <v>0.35623801259087634</v>
      </c>
      <c r="F1306" s="23">
        <f t="shared" si="466"/>
        <v>2.8071120000000001</v>
      </c>
      <c r="G1306" s="65">
        <f t="shared" si="455"/>
        <v>3.9186181384996397</v>
      </c>
      <c r="H1306" s="303">
        <v>153.11519999999999</v>
      </c>
      <c r="I1306" s="71">
        <f t="shared" si="463"/>
        <v>1.1000000000000001</v>
      </c>
      <c r="J1306" s="23">
        <f t="shared" si="464"/>
        <v>2.8071120000000001</v>
      </c>
      <c r="K1306" s="65">
        <f t="shared" si="465"/>
        <v>3.9186181384996397</v>
      </c>
      <c r="L1306" s="21">
        <v>600</v>
      </c>
      <c r="M1306" s="21">
        <v>660</v>
      </c>
      <c r="N1306" s="285"/>
      <c r="O1306" s="285"/>
      <c r="P1306" s="285"/>
      <c r="Q1306" s="285"/>
      <c r="R1306" s="285"/>
      <c r="S1306" s="285"/>
      <c r="T1306" s="285"/>
      <c r="U1306" s="285"/>
      <c r="V1306" s="285"/>
      <c r="W1306" s="285"/>
    </row>
    <row r="1307" spans="1:23" s="26" customFormat="1" ht="30" customHeight="1" x14ac:dyDescent="0.2">
      <c r="A1307" s="106" t="s">
        <v>2421</v>
      </c>
      <c r="B1307" s="131" t="s">
        <v>3100</v>
      </c>
      <c r="C1307" s="21" t="s">
        <v>1</v>
      </c>
      <c r="D1307" s="300">
        <v>1</v>
      </c>
      <c r="E1307" s="51">
        <f t="shared" si="454"/>
        <v>0.30962743150421962</v>
      </c>
      <c r="F1307" s="23">
        <f t="shared" si="466"/>
        <v>3.2296879999999999</v>
      </c>
      <c r="G1307" s="65">
        <f t="shared" si="455"/>
        <v>3.4059017465464159</v>
      </c>
      <c r="H1307" s="303">
        <v>176.16479999999999</v>
      </c>
      <c r="I1307" s="71">
        <f t="shared" si="463"/>
        <v>1.1000000000000001</v>
      </c>
      <c r="J1307" s="23">
        <f t="shared" si="464"/>
        <v>3.2296880000000003</v>
      </c>
      <c r="K1307" s="65">
        <f t="shared" si="465"/>
        <v>3.4059017465464154</v>
      </c>
      <c r="L1307" s="21">
        <v>600</v>
      </c>
      <c r="M1307" s="21">
        <v>660</v>
      </c>
      <c r="N1307" s="285"/>
      <c r="O1307" s="285"/>
      <c r="P1307" s="285"/>
      <c r="Q1307" s="285"/>
      <c r="R1307" s="285"/>
      <c r="S1307" s="285"/>
      <c r="T1307" s="285"/>
      <c r="U1307" s="285"/>
      <c r="V1307" s="285"/>
      <c r="W1307" s="285"/>
    </row>
    <row r="1308" spans="1:23" s="26" customFormat="1" ht="30" customHeight="1" x14ac:dyDescent="0.2">
      <c r="A1308" s="106" t="s">
        <v>2422</v>
      </c>
      <c r="B1308" s="131" t="s">
        <v>3101</v>
      </c>
      <c r="C1308" s="21" t="s">
        <v>1</v>
      </c>
      <c r="D1308" s="300">
        <v>1</v>
      </c>
      <c r="E1308" s="51">
        <f t="shared" si="454"/>
        <v>0.17429574479667245</v>
      </c>
      <c r="F1308" s="23">
        <f t="shared" si="466"/>
        <v>5.7373747199999992</v>
      </c>
      <c r="G1308" s="65">
        <f t="shared" si="455"/>
        <v>1.9172531927633971</v>
      </c>
      <c r="H1308" s="303">
        <v>312.94771199999997</v>
      </c>
      <c r="I1308" s="71">
        <f t="shared" si="463"/>
        <v>1.1000000000000001</v>
      </c>
      <c r="J1308" s="23">
        <f t="shared" si="464"/>
        <v>5.73737472</v>
      </c>
      <c r="K1308" s="65">
        <f t="shared" si="465"/>
        <v>1.9172531927633969</v>
      </c>
      <c r="L1308" s="21">
        <v>600</v>
      </c>
      <c r="M1308" s="21">
        <v>660</v>
      </c>
      <c r="N1308" s="285"/>
      <c r="O1308" s="285"/>
      <c r="P1308" s="285"/>
      <c r="Q1308" s="285"/>
      <c r="R1308" s="285"/>
      <c r="S1308" s="285"/>
      <c r="T1308" s="285"/>
      <c r="U1308" s="285"/>
      <c r="V1308" s="285"/>
      <c r="W1308" s="285"/>
    </row>
    <row r="1309" spans="1:23" s="26" customFormat="1" ht="30" customHeight="1" x14ac:dyDescent="0.2">
      <c r="A1309" s="106" t="s">
        <v>2423</v>
      </c>
      <c r="B1309" s="131" t="s">
        <v>3102</v>
      </c>
      <c r="C1309" s="21" t="s">
        <v>1</v>
      </c>
      <c r="D1309" s="300">
        <v>1</v>
      </c>
      <c r="E1309" s="51">
        <f t="shared" si="454"/>
        <v>0.1619263693594892</v>
      </c>
      <c r="F1309" s="23">
        <f t="shared" si="466"/>
        <v>6.1756464000000006</v>
      </c>
      <c r="G1309" s="65">
        <f t="shared" si="455"/>
        <v>1.7811900629543813</v>
      </c>
      <c r="H1309" s="303">
        <v>336.85344000000003</v>
      </c>
      <c r="I1309" s="71">
        <f t="shared" si="463"/>
        <v>1.1000000000000001</v>
      </c>
      <c r="J1309" s="23">
        <f t="shared" si="464"/>
        <v>6.1756464000000006</v>
      </c>
      <c r="K1309" s="65">
        <f t="shared" si="465"/>
        <v>1.7811900629543813</v>
      </c>
      <c r="L1309" s="21">
        <v>600</v>
      </c>
      <c r="M1309" s="21">
        <v>660</v>
      </c>
      <c r="N1309" s="285"/>
      <c r="O1309" s="285"/>
      <c r="P1309" s="285"/>
      <c r="Q1309" s="285"/>
      <c r="R1309" s="285"/>
      <c r="S1309" s="285"/>
      <c r="T1309" s="285"/>
      <c r="U1309" s="285"/>
      <c r="V1309" s="285"/>
      <c r="W1309" s="285"/>
    </row>
    <row r="1310" spans="1:23" s="26" customFormat="1" ht="30" customHeight="1" x14ac:dyDescent="0.2">
      <c r="A1310" s="106" t="s">
        <v>2424</v>
      </c>
      <c r="B1310" s="131" t="s">
        <v>1509</v>
      </c>
      <c r="C1310" s="21" t="s">
        <v>1</v>
      </c>
      <c r="D1310" s="300">
        <v>1</v>
      </c>
      <c r="E1310" s="51">
        <f t="shared" si="454"/>
        <v>0.56815257503457361</v>
      </c>
      <c r="F1310" s="23">
        <f t="shared" si="466"/>
        <v>1.7600905882352946</v>
      </c>
      <c r="G1310" s="65">
        <f t="shared" si="455"/>
        <v>6.2496783253803097</v>
      </c>
      <c r="H1310" s="303">
        <v>96.004941176470609</v>
      </c>
      <c r="I1310" s="71">
        <f t="shared" si="463"/>
        <v>1.1000000000000001</v>
      </c>
      <c r="J1310" s="23">
        <f t="shared" si="464"/>
        <v>1.7600905882352949</v>
      </c>
      <c r="K1310" s="65">
        <f t="shared" si="465"/>
        <v>6.2496783253803088</v>
      </c>
      <c r="L1310" s="21">
        <v>600</v>
      </c>
      <c r="M1310" s="21">
        <v>660</v>
      </c>
      <c r="N1310" s="285"/>
      <c r="O1310" s="285"/>
      <c r="P1310" s="285"/>
      <c r="Q1310" s="285"/>
      <c r="R1310" s="285"/>
      <c r="S1310" s="285"/>
      <c r="T1310" s="285"/>
      <c r="U1310" s="285"/>
      <c r="V1310" s="285"/>
      <c r="W1310" s="285"/>
    </row>
    <row r="1311" spans="1:23" s="26" customFormat="1" ht="30" customHeight="1" x14ac:dyDescent="0.2">
      <c r="A1311" s="106" t="s">
        <v>2425</v>
      </c>
      <c r="B1311" s="131" t="s">
        <v>1510</v>
      </c>
      <c r="C1311" s="21" t="s">
        <v>1</v>
      </c>
      <c r="D1311" s="300">
        <v>1</v>
      </c>
      <c r="E1311" s="51">
        <f t="shared" si="454"/>
        <v>0.52220123178055267</v>
      </c>
      <c r="F1311" s="23">
        <f t="shared" si="466"/>
        <v>1.9149705882352941</v>
      </c>
      <c r="G1311" s="65">
        <f t="shared" si="455"/>
        <v>5.7442135495860791</v>
      </c>
      <c r="H1311" s="303">
        <v>104.45294117647059</v>
      </c>
      <c r="I1311" s="71">
        <f t="shared" si="463"/>
        <v>1.1000000000000001</v>
      </c>
      <c r="J1311" s="23">
        <f t="shared" si="464"/>
        <v>1.9149705882352943</v>
      </c>
      <c r="K1311" s="65">
        <f t="shared" si="465"/>
        <v>5.7442135495860782</v>
      </c>
      <c r="L1311" s="21">
        <v>600</v>
      </c>
      <c r="M1311" s="21">
        <v>660</v>
      </c>
      <c r="N1311" s="285"/>
      <c r="O1311" s="285"/>
      <c r="P1311" s="285"/>
      <c r="Q1311" s="285"/>
      <c r="R1311" s="285"/>
      <c r="S1311" s="285"/>
      <c r="T1311" s="285"/>
      <c r="U1311" s="285"/>
      <c r="V1311" s="285"/>
      <c r="W1311" s="285"/>
    </row>
    <row r="1312" spans="1:23" s="26" customFormat="1" ht="30" customHeight="1" x14ac:dyDescent="0.2">
      <c r="A1312" s="106" t="s">
        <v>2426</v>
      </c>
      <c r="B1312" s="131" t="s">
        <v>1511</v>
      </c>
      <c r="C1312" s="21" t="s">
        <v>1</v>
      </c>
      <c r="D1312" s="300">
        <v>1</v>
      </c>
      <c r="E1312" s="51">
        <f t="shared" si="454"/>
        <v>0.48312665932693066</v>
      </c>
      <c r="F1312" s="23">
        <f t="shared" si="466"/>
        <v>2.069850588235294</v>
      </c>
      <c r="G1312" s="65">
        <f t="shared" si="455"/>
        <v>5.3143932525962372</v>
      </c>
      <c r="H1312" s="303">
        <v>112.9009411764706</v>
      </c>
      <c r="I1312" s="71">
        <f t="shared" si="463"/>
        <v>1.1000000000000001</v>
      </c>
      <c r="J1312" s="23">
        <f t="shared" si="464"/>
        <v>2.0698505882352944</v>
      </c>
      <c r="K1312" s="65">
        <f t="shared" si="465"/>
        <v>5.3143932525962363</v>
      </c>
      <c r="L1312" s="21">
        <v>600</v>
      </c>
      <c r="M1312" s="21">
        <v>660</v>
      </c>
      <c r="N1312" s="285"/>
      <c r="O1312" s="285"/>
      <c r="P1312" s="285"/>
      <c r="Q1312" s="285"/>
      <c r="R1312" s="285"/>
      <c r="S1312" s="285"/>
      <c r="T1312" s="285"/>
      <c r="U1312" s="285"/>
      <c r="V1312" s="285"/>
      <c r="W1312" s="285"/>
    </row>
    <row r="1313" spans="1:23" s="26" customFormat="1" ht="30" customHeight="1" x14ac:dyDescent="0.2">
      <c r="A1313" s="106" t="s">
        <v>2427</v>
      </c>
      <c r="B1313" s="131" t="s">
        <v>1512</v>
      </c>
      <c r="C1313" s="21" t="s">
        <v>1</v>
      </c>
      <c r="D1313" s="300">
        <v>1</v>
      </c>
      <c r="E1313" s="51">
        <f t="shared" si="454"/>
        <v>0.21630820738549383</v>
      </c>
      <c r="F1313" s="23">
        <f t="shared" si="466"/>
        <v>4.6230330882352941</v>
      </c>
      <c r="G1313" s="65">
        <f t="shared" si="455"/>
        <v>2.3793902812404322</v>
      </c>
      <c r="H1313" s="77">
        <v>252.16544117647061</v>
      </c>
      <c r="I1313" s="71">
        <f t="shared" si="463"/>
        <v>1.1000000000000001</v>
      </c>
      <c r="J1313" s="23">
        <f t="shared" si="464"/>
        <v>4.6230330882352941</v>
      </c>
      <c r="K1313" s="65">
        <f t="shared" si="465"/>
        <v>2.3793902812404322</v>
      </c>
      <c r="L1313" s="21">
        <v>600</v>
      </c>
      <c r="M1313" s="21">
        <v>660</v>
      </c>
      <c r="N1313" s="285"/>
      <c r="O1313" s="285"/>
      <c r="P1313" s="285"/>
      <c r="Q1313" s="285"/>
      <c r="R1313" s="285"/>
      <c r="S1313" s="285"/>
      <c r="T1313" s="285"/>
      <c r="U1313" s="285"/>
      <c r="V1313" s="285"/>
      <c r="W1313" s="285"/>
    </row>
    <row r="1314" spans="1:23" s="26" customFormat="1" ht="30" customHeight="1" x14ac:dyDescent="0.2">
      <c r="A1314" s="106" t="s">
        <v>2428</v>
      </c>
      <c r="B1314" s="131" t="s">
        <v>1513</v>
      </c>
      <c r="C1314" s="21" t="s">
        <v>1</v>
      </c>
      <c r="D1314" s="300">
        <v>1</v>
      </c>
      <c r="E1314" s="51">
        <f t="shared" si="454"/>
        <v>0.1876571715050864</v>
      </c>
      <c r="F1314" s="23">
        <f t="shared" si="466"/>
        <v>5.3288664215686277</v>
      </c>
      <c r="G1314" s="65">
        <f t="shared" si="455"/>
        <v>2.0642288865559504</v>
      </c>
      <c r="H1314" s="77">
        <v>290.66544117647061</v>
      </c>
      <c r="I1314" s="71">
        <f t="shared" si="463"/>
        <v>1.1000000000000001</v>
      </c>
      <c r="J1314" s="23">
        <f t="shared" si="464"/>
        <v>5.3288664215686277</v>
      </c>
      <c r="K1314" s="65">
        <f t="shared" si="465"/>
        <v>2.0642288865559504</v>
      </c>
      <c r="L1314" s="21">
        <v>600</v>
      </c>
      <c r="M1314" s="21">
        <v>660</v>
      </c>
      <c r="N1314" s="285"/>
      <c r="O1314" s="285"/>
      <c r="P1314" s="285"/>
      <c r="Q1314" s="285"/>
      <c r="R1314" s="285"/>
      <c r="S1314" s="285"/>
      <c r="T1314" s="285"/>
      <c r="U1314" s="285"/>
      <c r="V1314" s="285"/>
      <c r="W1314" s="285"/>
    </row>
    <row r="1315" spans="1:23" s="26" customFormat="1" ht="30" customHeight="1" x14ac:dyDescent="0.2">
      <c r="A1315" s="106"/>
      <c r="B1315" s="185" t="s">
        <v>696</v>
      </c>
      <c r="C1315" s="240"/>
      <c r="D1315" s="300">
        <v>1</v>
      </c>
      <c r="E1315" s="240"/>
      <c r="F1315" s="240"/>
      <c r="G1315" s="240"/>
      <c r="H1315" s="240"/>
      <c r="I1315" s="63"/>
      <c r="J1315" s="63"/>
      <c r="K1315" s="63"/>
      <c r="L1315" s="63"/>
      <c r="M1315" s="63"/>
      <c r="N1315" s="285"/>
      <c r="O1315" s="285"/>
      <c r="P1315" s="285"/>
      <c r="Q1315" s="285"/>
      <c r="R1315" s="285"/>
      <c r="S1315" s="285"/>
      <c r="T1315" s="285"/>
      <c r="U1315" s="285"/>
      <c r="V1315" s="285"/>
      <c r="W1315" s="285"/>
    </row>
    <row r="1316" spans="1:23" s="26" customFormat="1" ht="30" customHeight="1" x14ac:dyDescent="0.2">
      <c r="A1316" s="106" t="s">
        <v>2429</v>
      </c>
      <c r="B1316" s="131" t="s">
        <v>586</v>
      </c>
      <c r="C1316" s="21" t="s">
        <v>1</v>
      </c>
      <c r="D1316" s="300">
        <v>1</v>
      </c>
      <c r="E1316" s="51">
        <f t="shared" ref="E1316:E1318" si="467">G1316/11</f>
        <v>0.96000000000000008</v>
      </c>
      <c r="F1316" s="23">
        <f t="shared" si="466"/>
        <v>1.0416666666666665</v>
      </c>
      <c r="G1316" s="65">
        <f t="shared" ref="G1316:G1318" si="468">L1316/H1316</f>
        <v>10.56</v>
      </c>
      <c r="H1316" s="77">
        <v>56.818181818181813</v>
      </c>
      <c r="I1316" s="71">
        <f>M1316/L1316</f>
        <v>1.1000000000000001</v>
      </c>
      <c r="J1316" s="23">
        <f>11/K1316</f>
        <v>1.0416666666666665</v>
      </c>
      <c r="K1316" s="65">
        <f>M1316/(H1316*I1316)</f>
        <v>10.56</v>
      </c>
      <c r="L1316" s="21">
        <v>600</v>
      </c>
      <c r="M1316" s="21">
        <v>660</v>
      </c>
      <c r="N1316" s="285"/>
      <c r="O1316" s="285"/>
      <c r="P1316" s="285"/>
      <c r="Q1316" s="285"/>
      <c r="R1316" s="285"/>
      <c r="S1316" s="285"/>
      <c r="T1316" s="285"/>
      <c r="U1316" s="285"/>
      <c r="V1316" s="285"/>
      <c r="W1316" s="285"/>
    </row>
    <row r="1317" spans="1:23" s="26" customFormat="1" ht="30" customHeight="1" x14ac:dyDescent="0.2">
      <c r="A1317" s="106" t="s">
        <v>2430</v>
      </c>
      <c r="B1317" s="131" t="s">
        <v>580</v>
      </c>
      <c r="C1317" s="21" t="s">
        <v>1</v>
      </c>
      <c r="D1317" s="300">
        <v>1</v>
      </c>
      <c r="E1317" s="51">
        <f t="shared" si="467"/>
        <v>3.5999999999999996</v>
      </c>
      <c r="F1317" s="23">
        <f t="shared" si="466"/>
        <v>0.27777777777777779</v>
      </c>
      <c r="G1317" s="65">
        <f t="shared" si="468"/>
        <v>39.599999999999994</v>
      </c>
      <c r="H1317" s="77">
        <v>15.151515151515154</v>
      </c>
      <c r="I1317" s="71">
        <f>M1317/L1317</f>
        <v>1.1000000000000001</v>
      </c>
      <c r="J1317" s="23">
        <f>11/K1317</f>
        <v>0.27777777777777785</v>
      </c>
      <c r="K1317" s="65">
        <f>M1317/(H1317*I1317)</f>
        <v>39.599999999999987</v>
      </c>
      <c r="L1317" s="21">
        <v>600</v>
      </c>
      <c r="M1317" s="21">
        <v>660</v>
      </c>
      <c r="N1317" s="285"/>
      <c r="O1317" s="285"/>
      <c r="P1317" s="285"/>
      <c r="Q1317" s="285"/>
      <c r="R1317" s="285"/>
      <c r="S1317" s="285"/>
      <c r="T1317" s="285"/>
      <c r="U1317" s="285"/>
      <c r="V1317" s="285"/>
      <c r="W1317" s="285"/>
    </row>
    <row r="1318" spans="1:23" s="26" customFormat="1" ht="30" customHeight="1" x14ac:dyDescent="0.2">
      <c r="A1318" s="106" t="s">
        <v>2431</v>
      </c>
      <c r="B1318" s="131" t="s">
        <v>348</v>
      </c>
      <c r="C1318" s="21" t="s">
        <v>1</v>
      </c>
      <c r="D1318" s="300">
        <v>1</v>
      </c>
      <c r="E1318" s="51">
        <f t="shared" si="467"/>
        <v>0.78000000000000014</v>
      </c>
      <c r="F1318" s="23">
        <f t="shared" si="466"/>
        <v>1.2820512820512817</v>
      </c>
      <c r="G1318" s="65">
        <f t="shared" si="468"/>
        <v>8.5800000000000018</v>
      </c>
      <c r="H1318" s="77">
        <v>69.930069930069919</v>
      </c>
      <c r="I1318" s="71">
        <f>M1318/L1318</f>
        <v>1.1000000000000001</v>
      </c>
      <c r="J1318" s="23">
        <f>11/K1318</f>
        <v>1.2820512820512819</v>
      </c>
      <c r="K1318" s="65">
        <f>M1318/(H1318*I1318)</f>
        <v>8.58</v>
      </c>
      <c r="L1318" s="21">
        <v>600</v>
      </c>
      <c r="M1318" s="21">
        <v>660</v>
      </c>
      <c r="N1318" s="285"/>
      <c r="O1318" s="285"/>
      <c r="P1318" s="285"/>
      <c r="Q1318" s="285"/>
      <c r="R1318" s="285"/>
      <c r="S1318" s="285"/>
      <c r="T1318" s="285"/>
      <c r="U1318" s="285"/>
      <c r="V1318" s="285"/>
      <c r="W1318" s="285"/>
    </row>
    <row r="1319" spans="1:23" s="26" customFormat="1" ht="30" customHeight="1" x14ac:dyDescent="0.2">
      <c r="A1319" s="106"/>
      <c r="B1319" s="112" t="s">
        <v>709</v>
      </c>
      <c r="C1319" s="34"/>
      <c r="D1319" s="300">
        <v>1</v>
      </c>
      <c r="E1319" s="34"/>
      <c r="F1319" s="34"/>
      <c r="G1319" s="34"/>
      <c r="H1319" s="223"/>
      <c r="I1319" s="64"/>
      <c r="J1319" s="64"/>
      <c r="K1319" s="64"/>
      <c r="L1319" s="64"/>
      <c r="M1319" s="64"/>
      <c r="N1319" s="285"/>
      <c r="O1319" s="285"/>
      <c r="P1319" s="285"/>
      <c r="Q1319" s="285"/>
      <c r="R1319" s="285"/>
      <c r="S1319" s="285"/>
      <c r="T1319" s="285"/>
      <c r="U1319" s="285"/>
      <c r="V1319" s="285"/>
      <c r="W1319" s="285"/>
    </row>
    <row r="1320" spans="1:23" s="26" customFormat="1" ht="30" customHeight="1" x14ac:dyDescent="0.2">
      <c r="A1320" s="106"/>
      <c r="B1320" s="186" t="s">
        <v>1569</v>
      </c>
      <c r="C1320" s="187"/>
      <c r="D1320" s="300">
        <v>1</v>
      </c>
      <c r="E1320" s="187"/>
      <c r="F1320" s="187"/>
      <c r="G1320" s="187"/>
      <c r="H1320" s="228"/>
      <c r="I1320" s="71"/>
      <c r="J1320" s="23"/>
      <c r="K1320" s="65"/>
      <c r="L1320" s="21"/>
      <c r="M1320" s="21"/>
      <c r="N1320" s="285"/>
      <c r="O1320" s="285"/>
      <c r="P1320" s="285"/>
      <c r="Q1320" s="285"/>
      <c r="R1320" s="285"/>
      <c r="S1320" s="285"/>
      <c r="T1320" s="285"/>
      <c r="U1320" s="285"/>
      <c r="V1320" s="285"/>
      <c r="W1320" s="285"/>
    </row>
    <row r="1321" spans="1:23" s="26" customFormat="1" ht="30" customHeight="1" x14ac:dyDescent="0.2">
      <c r="A1321" s="106" t="s">
        <v>2432</v>
      </c>
      <c r="B1321" s="143" t="s">
        <v>868</v>
      </c>
      <c r="C1321" s="21" t="s">
        <v>1</v>
      </c>
      <c r="D1321" s="300">
        <v>1</v>
      </c>
      <c r="E1321" s="51">
        <f t="shared" ref="E1321:E1322" si="469">G1321/11</f>
        <v>32.727272727272727</v>
      </c>
      <c r="F1321" s="23">
        <f t="shared" ref="F1321:F1332" si="470">11/G1321</f>
        <v>3.0555555555555555E-2</v>
      </c>
      <c r="G1321" s="65">
        <f t="shared" ref="G1321:G1322" si="471">L1321/H1321</f>
        <v>360</v>
      </c>
      <c r="H1321" s="77">
        <v>1.6666666666666667</v>
      </c>
      <c r="I1321" s="71">
        <f t="shared" ref="I1321:I1332" si="472">M1321/L1321</f>
        <v>1.1000000000000001</v>
      </c>
      <c r="J1321" s="23">
        <f t="shared" ref="J1321:J1332" si="473">11/K1321</f>
        <v>3.0555555555555561E-2</v>
      </c>
      <c r="K1321" s="65">
        <f t="shared" ref="K1321:K1332" si="474">M1321/(H1321*I1321)</f>
        <v>359.99999999999994</v>
      </c>
      <c r="L1321" s="21">
        <v>600</v>
      </c>
      <c r="M1321" s="21">
        <v>660</v>
      </c>
      <c r="N1321" s="285"/>
      <c r="O1321" s="285"/>
      <c r="P1321" s="285"/>
      <c r="Q1321" s="285"/>
      <c r="R1321" s="285"/>
      <c r="S1321" s="285"/>
      <c r="T1321" s="285"/>
      <c r="U1321" s="285"/>
      <c r="V1321" s="285"/>
      <c r="W1321" s="285"/>
    </row>
    <row r="1322" spans="1:23" s="26" customFormat="1" ht="30" customHeight="1" x14ac:dyDescent="0.2">
      <c r="A1322" s="106" t="s">
        <v>2433</v>
      </c>
      <c r="B1322" s="143" t="s">
        <v>869</v>
      </c>
      <c r="C1322" s="21" t="s">
        <v>1</v>
      </c>
      <c r="D1322" s="300">
        <v>1</v>
      </c>
      <c r="E1322" s="51">
        <f t="shared" si="469"/>
        <v>21.818181818181817</v>
      </c>
      <c r="F1322" s="23">
        <f t="shared" si="470"/>
        <v>4.583333333333333E-2</v>
      </c>
      <c r="G1322" s="65">
        <f t="shared" si="471"/>
        <v>240</v>
      </c>
      <c r="H1322" s="77">
        <v>2.5</v>
      </c>
      <c r="I1322" s="71">
        <f t="shared" si="472"/>
        <v>1.1000000000000001</v>
      </c>
      <c r="J1322" s="23">
        <f t="shared" si="473"/>
        <v>4.583333333333333E-2</v>
      </c>
      <c r="K1322" s="65">
        <f t="shared" si="474"/>
        <v>240</v>
      </c>
      <c r="L1322" s="21">
        <v>600</v>
      </c>
      <c r="M1322" s="21">
        <v>660</v>
      </c>
      <c r="N1322" s="285"/>
      <c r="O1322" s="285"/>
      <c r="P1322" s="285"/>
      <c r="Q1322" s="285"/>
      <c r="R1322" s="285"/>
      <c r="S1322" s="285"/>
      <c r="T1322" s="285"/>
      <c r="U1322" s="285"/>
      <c r="V1322" s="285"/>
      <c r="W1322" s="285"/>
    </row>
    <row r="1323" spans="1:23" s="26" customFormat="1" ht="30" customHeight="1" x14ac:dyDescent="0.2">
      <c r="A1323" s="106" t="s">
        <v>2434</v>
      </c>
      <c r="B1323" s="143" t="s">
        <v>1567</v>
      </c>
      <c r="C1323" s="21" t="s">
        <v>1</v>
      </c>
      <c r="D1323" s="300">
        <v>1</v>
      </c>
      <c r="E1323" s="51">
        <f t="shared" ref="E1323:E1332" si="475">G1323/11</f>
        <v>15</v>
      </c>
      <c r="F1323" s="23">
        <f t="shared" si="470"/>
        <v>6.6666666666666666E-2</v>
      </c>
      <c r="G1323" s="65">
        <f t="shared" ref="G1323:G1332" si="476">L1323/H1323</f>
        <v>165</v>
      </c>
      <c r="H1323" s="77">
        <v>3.6363636363636362</v>
      </c>
      <c r="I1323" s="71">
        <f t="shared" si="472"/>
        <v>1.1000000000000001</v>
      </c>
      <c r="J1323" s="23">
        <f t="shared" si="473"/>
        <v>6.6666666666666666E-2</v>
      </c>
      <c r="K1323" s="65">
        <f t="shared" si="474"/>
        <v>165</v>
      </c>
      <c r="L1323" s="21">
        <v>600</v>
      </c>
      <c r="M1323" s="21">
        <v>660</v>
      </c>
      <c r="N1323" s="285"/>
      <c r="O1323" s="285"/>
      <c r="P1323" s="285"/>
      <c r="Q1323" s="285"/>
      <c r="R1323" s="285"/>
      <c r="S1323" s="285"/>
      <c r="T1323" s="285"/>
      <c r="U1323" s="285"/>
      <c r="V1323" s="285"/>
      <c r="W1323" s="285"/>
    </row>
    <row r="1324" spans="1:23" s="26" customFormat="1" ht="35.25" customHeight="1" x14ac:dyDescent="0.2">
      <c r="A1324" s="106" t="s">
        <v>2435</v>
      </c>
      <c r="B1324" s="143" t="s">
        <v>1568</v>
      </c>
      <c r="C1324" s="21" t="s">
        <v>1</v>
      </c>
      <c r="D1324" s="300">
        <v>1</v>
      </c>
      <c r="E1324" s="51">
        <f t="shared" si="475"/>
        <v>22.500000000000004</v>
      </c>
      <c r="F1324" s="23">
        <f t="shared" si="470"/>
        <v>4.4444444444444439E-2</v>
      </c>
      <c r="G1324" s="65">
        <f t="shared" si="476"/>
        <v>247.50000000000003</v>
      </c>
      <c r="H1324" s="77">
        <v>2.4242424242424239</v>
      </c>
      <c r="I1324" s="71">
        <f t="shared" si="472"/>
        <v>1.1000000000000001</v>
      </c>
      <c r="J1324" s="23">
        <f t="shared" si="473"/>
        <v>4.4444444444444446E-2</v>
      </c>
      <c r="K1324" s="65">
        <f t="shared" si="474"/>
        <v>247.5</v>
      </c>
      <c r="L1324" s="21">
        <v>600</v>
      </c>
      <c r="M1324" s="21">
        <v>660</v>
      </c>
      <c r="N1324" s="285"/>
      <c r="O1324" s="285"/>
      <c r="P1324" s="285"/>
      <c r="Q1324" s="285"/>
      <c r="R1324" s="285"/>
      <c r="S1324" s="285"/>
      <c r="T1324" s="285"/>
      <c r="U1324" s="285"/>
      <c r="V1324" s="285"/>
      <c r="W1324" s="285"/>
    </row>
    <row r="1325" spans="1:23" s="26" customFormat="1" ht="35.25" customHeight="1" x14ac:dyDescent="0.2">
      <c r="A1325" s="106" t="s">
        <v>2436</v>
      </c>
      <c r="B1325" s="143" t="s">
        <v>710</v>
      </c>
      <c r="C1325" s="21" t="s">
        <v>1</v>
      </c>
      <c r="D1325" s="300">
        <v>1</v>
      </c>
      <c r="E1325" s="51">
        <f t="shared" si="475"/>
        <v>15</v>
      </c>
      <c r="F1325" s="23">
        <f t="shared" si="470"/>
        <v>6.6666666666666666E-2</v>
      </c>
      <c r="G1325" s="65">
        <f t="shared" si="476"/>
        <v>165</v>
      </c>
      <c r="H1325" s="77">
        <v>3.6363636363636362</v>
      </c>
      <c r="I1325" s="71">
        <f t="shared" si="472"/>
        <v>1.1000000000000001</v>
      </c>
      <c r="J1325" s="23">
        <f t="shared" si="473"/>
        <v>6.6666666666666666E-2</v>
      </c>
      <c r="K1325" s="65">
        <f t="shared" si="474"/>
        <v>165</v>
      </c>
      <c r="L1325" s="21">
        <v>600</v>
      </c>
      <c r="M1325" s="21">
        <v>660</v>
      </c>
      <c r="N1325" s="285"/>
      <c r="O1325" s="285"/>
      <c r="P1325" s="285"/>
      <c r="Q1325" s="285"/>
      <c r="R1325" s="285"/>
      <c r="S1325" s="285"/>
      <c r="T1325" s="285"/>
      <c r="U1325" s="285"/>
      <c r="V1325" s="285"/>
      <c r="W1325" s="285"/>
    </row>
    <row r="1326" spans="1:23" s="26" customFormat="1" ht="35.25" customHeight="1" x14ac:dyDescent="0.2">
      <c r="A1326" s="106" t="s">
        <v>2437</v>
      </c>
      <c r="B1326" s="143" t="s">
        <v>711</v>
      </c>
      <c r="C1326" s="21" t="s">
        <v>1</v>
      </c>
      <c r="D1326" s="300">
        <v>1</v>
      </c>
      <c r="E1326" s="51">
        <f t="shared" si="475"/>
        <v>22.500000000000004</v>
      </c>
      <c r="F1326" s="23">
        <f t="shared" si="470"/>
        <v>4.4444444444444439E-2</v>
      </c>
      <c r="G1326" s="65">
        <f t="shared" si="476"/>
        <v>247.50000000000003</v>
      </c>
      <c r="H1326" s="77">
        <v>2.4242424242424239</v>
      </c>
      <c r="I1326" s="71">
        <f t="shared" si="472"/>
        <v>1.1000000000000001</v>
      </c>
      <c r="J1326" s="23">
        <f t="shared" si="473"/>
        <v>4.4444444444444446E-2</v>
      </c>
      <c r="K1326" s="65">
        <f t="shared" si="474"/>
        <v>247.5</v>
      </c>
      <c r="L1326" s="21">
        <v>600</v>
      </c>
      <c r="M1326" s="21">
        <v>660</v>
      </c>
      <c r="N1326" s="285"/>
      <c r="O1326" s="285"/>
      <c r="P1326" s="285"/>
      <c r="Q1326" s="285"/>
      <c r="R1326" s="285"/>
      <c r="S1326" s="285"/>
      <c r="T1326" s="285"/>
      <c r="U1326" s="285"/>
      <c r="V1326" s="285"/>
      <c r="W1326" s="285"/>
    </row>
    <row r="1327" spans="1:23" s="26" customFormat="1" ht="35.25" customHeight="1" x14ac:dyDescent="0.2">
      <c r="A1327" s="106" t="s">
        <v>2438</v>
      </c>
      <c r="B1327" s="143" t="s">
        <v>720</v>
      </c>
      <c r="C1327" s="21" t="s">
        <v>1</v>
      </c>
      <c r="D1327" s="300">
        <v>1</v>
      </c>
      <c r="E1327" s="51">
        <f t="shared" si="475"/>
        <v>158.4</v>
      </c>
      <c r="F1327" s="23">
        <f t="shared" si="470"/>
        <v>6.313131313131313E-3</v>
      </c>
      <c r="G1327" s="65">
        <f t="shared" si="476"/>
        <v>1742.4</v>
      </c>
      <c r="H1327" s="77">
        <v>0.34435261707988979</v>
      </c>
      <c r="I1327" s="71">
        <f t="shared" si="472"/>
        <v>1.1000000000000001</v>
      </c>
      <c r="J1327" s="23">
        <f t="shared" si="473"/>
        <v>6.313131313131313E-3</v>
      </c>
      <c r="K1327" s="65">
        <f t="shared" si="474"/>
        <v>1742.4</v>
      </c>
      <c r="L1327" s="21">
        <v>600</v>
      </c>
      <c r="M1327" s="21">
        <v>660</v>
      </c>
      <c r="N1327" s="285"/>
      <c r="O1327" s="285"/>
      <c r="P1327" s="285"/>
      <c r="Q1327" s="285"/>
      <c r="R1327" s="285"/>
      <c r="S1327" s="285"/>
      <c r="T1327" s="285"/>
      <c r="U1327" s="285"/>
      <c r="V1327" s="285"/>
      <c r="W1327" s="285"/>
    </row>
    <row r="1328" spans="1:23" s="26" customFormat="1" ht="35.25" customHeight="1" x14ac:dyDescent="0.2">
      <c r="A1328" s="106" t="s">
        <v>2439</v>
      </c>
      <c r="B1328" s="143" t="s">
        <v>325</v>
      </c>
      <c r="C1328" s="21" t="s">
        <v>1</v>
      </c>
      <c r="D1328" s="300">
        <v>1</v>
      </c>
      <c r="E1328" s="51">
        <f t="shared" si="475"/>
        <v>117.48000000000002</v>
      </c>
      <c r="F1328" s="23">
        <f t="shared" si="470"/>
        <v>8.5120871637725561E-3</v>
      </c>
      <c r="G1328" s="65">
        <f t="shared" si="476"/>
        <v>1292.2800000000002</v>
      </c>
      <c r="H1328" s="77">
        <v>0.46429566347850304</v>
      </c>
      <c r="I1328" s="71">
        <f t="shared" si="472"/>
        <v>1.1000000000000001</v>
      </c>
      <c r="J1328" s="23">
        <f t="shared" si="473"/>
        <v>8.5120871637725561E-3</v>
      </c>
      <c r="K1328" s="65">
        <f t="shared" si="474"/>
        <v>1292.2800000000002</v>
      </c>
      <c r="L1328" s="21">
        <v>600</v>
      </c>
      <c r="M1328" s="21">
        <v>660</v>
      </c>
      <c r="N1328" s="285"/>
      <c r="O1328" s="285"/>
      <c r="P1328" s="285"/>
      <c r="Q1328" s="285"/>
      <c r="R1328" s="285"/>
      <c r="S1328" s="285"/>
      <c r="T1328" s="285"/>
      <c r="U1328" s="285"/>
      <c r="V1328" s="285"/>
      <c r="W1328" s="285"/>
    </row>
    <row r="1329" spans="1:23" s="26" customFormat="1" ht="35.25" customHeight="1" x14ac:dyDescent="0.2">
      <c r="A1329" s="106" t="s">
        <v>2440</v>
      </c>
      <c r="B1329" s="143" t="s">
        <v>721</v>
      </c>
      <c r="C1329" s="21" t="s">
        <v>1</v>
      </c>
      <c r="D1329" s="300">
        <v>1</v>
      </c>
      <c r="E1329" s="51">
        <f t="shared" si="475"/>
        <v>491.04</v>
      </c>
      <c r="F1329" s="23">
        <f t="shared" si="470"/>
        <v>2.0364939719778427E-3</v>
      </c>
      <c r="G1329" s="65">
        <f t="shared" si="476"/>
        <v>5401.4400000000005</v>
      </c>
      <c r="H1329" s="77">
        <v>0.1110814893806096</v>
      </c>
      <c r="I1329" s="71">
        <f t="shared" si="472"/>
        <v>1.1000000000000001</v>
      </c>
      <c r="J1329" s="23">
        <f t="shared" si="473"/>
        <v>2.0364939719778432E-3</v>
      </c>
      <c r="K1329" s="65">
        <f t="shared" si="474"/>
        <v>5401.44</v>
      </c>
      <c r="L1329" s="21">
        <v>600</v>
      </c>
      <c r="M1329" s="21">
        <v>660</v>
      </c>
      <c r="N1329" s="285"/>
      <c r="O1329" s="285"/>
      <c r="P1329" s="285"/>
      <c r="Q1329" s="285"/>
      <c r="R1329" s="285"/>
      <c r="S1329" s="285"/>
      <c r="T1329" s="285"/>
      <c r="U1329" s="285"/>
      <c r="V1329" s="285"/>
      <c r="W1329" s="285"/>
    </row>
    <row r="1330" spans="1:23" s="26" customFormat="1" ht="38.25" customHeight="1" x14ac:dyDescent="0.2">
      <c r="A1330" s="106" t="s">
        <v>2441</v>
      </c>
      <c r="B1330" s="143" t="s">
        <v>717</v>
      </c>
      <c r="C1330" s="21" t="s">
        <v>1</v>
      </c>
      <c r="D1330" s="300">
        <v>1</v>
      </c>
      <c r="E1330" s="51">
        <f t="shared" si="475"/>
        <v>85.800000000000026</v>
      </c>
      <c r="F1330" s="23">
        <f t="shared" si="470"/>
        <v>1.1655011655011651E-2</v>
      </c>
      <c r="G1330" s="65">
        <f t="shared" si="476"/>
        <v>943.8000000000003</v>
      </c>
      <c r="H1330" s="77">
        <v>0.63572790845518101</v>
      </c>
      <c r="I1330" s="71">
        <f t="shared" si="472"/>
        <v>1.1000000000000001</v>
      </c>
      <c r="J1330" s="23">
        <f t="shared" si="473"/>
        <v>1.1655011655011652E-2</v>
      </c>
      <c r="K1330" s="65">
        <f t="shared" si="474"/>
        <v>943.80000000000018</v>
      </c>
      <c r="L1330" s="21">
        <v>600</v>
      </c>
      <c r="M1330" s="21">
        <v>660</v>
      </c>
      <c r="N1330" s="285"/>
      <c r="O1330" s="285"/>
      <c r="P1330" s="285"/>
      <c r="Q1330" s="285"/>
      <c r="R1330" s="285"/>
      <c r="S1330" s="285"/>
      <c r="T1330" s="285"/>
      <c r="U1330" s="285"/>
      <c r="V1330" s="285"/>
      <c r="W1330" s="285"/>
    </row>
    <row r="1331" spans="1:23" s="26" customFormat="1" ht="35.25" customHeight="1" x14ac:dyDescent="0.2">
      <c r="A1331" s="106" t="s">
        <v>2442</v>
      </c>
      <c r="B1331" s="143" t="s">
        <v>718</v>
      </c>
      <c r="C1331" s="21" t="s">
        <v>1</v>
      </c>
      <c r="D1331" s="300">
        <v>1</v>
      </c>
      <c r="E1331" s="51">
        <f t="shared" si="475"/>
        <v>296.99999999999994</v>
      </c>
      <c r="F1331" s="23">
        <f t="shared" si="470"/>
        <v>3.3670033670033673E-3</v>
      </c>
      <c r="G1331" s="65">
        <f t="shared" si="476"/>
        <v>3266.9999999999995</v>
      </c>
      <c r="H1331" s="77">
        <v>0.18365472910927458</v>
      </c>
      <c r="I1331" s="71">
        <f t="shared" si="472"/>
        <v>1.1000000000000001</v>
      </c>
      <c r="J1331" s="23">
        <f t="shared" si="473"/>
        <v>3.3670033670033673E-3</v>
      </c>
      <c r="K1331" s="65">
        <f t="shared" si="474"/>
        <v>3266.9999999999995</v>
      </c>
      <c r="L1331" s="21">
        <v>600</v>
      </c>
      <c r="M1331" s="21">
        <v>660</v>
      </c>
      <c r="N1331" s="285"/>
      <c r="O1331" s="285"/>
      <c r="P1331" s="285"/>
      <c r="Q1331" s="285"/>
      <c r="R1331" s="285"/>
      <c r="S1331" s="285"/>
      <c r="T1331" s="285"/>
      <c r="U1331" s="285"/>
      <c r="V1331" s="285"/>
      <c r="W1331" s="285"/>
    </row>
    <row r="1332" spans="1:23" s="26" customFormat="1" ht="35.25" customHeight="1" x14ac:dyDescent="0.2">
      <c r="A1332" s="106" t="s">
        <v>2443</v>
      </c>
      <c r="B1332" s="143" t="s">
        <v>719</v>
      </c>
      <c r="C1332" s="21" t="s">
        <v>1</v>
      </c>
      <c r="D1332" s="300">
        <v>1</v>
      </c>
      <c r="E1332" s="51">
        <f t="shared" si="475"/>
        <v>4.62</v>
      </c>
      <c r="F1332" s="23">
        <f t="shared" si="470"/>
        <v>0.21645021645021645</v>
      </c>
      <c r="G1332" s="65">
        <f t="shared" si="476"/>
        <v>50.82</v>
      </c>
      <c r="H1332" s="77">
        <v>11.806375442739078</v>
      </c>
      <c r="I1332" s="71">
        <f t="shared" si="472"/>
        <v>1.1000000000000001</v>
      </c>
      <c r="J1332" s="23">
        <f t="shared" si="473"/>
        <v>0.21645021645021645</v>
      </c>
      <c r="K1332" s="65">
        <f t="shared" si="474"/>
        <v>50.82</v>
      </c>
      <c r="L1332" s="21">
        <v>600</v>
      </c>
      <c r="M1332" s="21">
        <v>660</v>
      </c>
      <c r="N1332" s="285"/>
      <c r="O1332" s="285"/>
      <c r="P1332" s="285"/>
      <c r="Q1332" s="285"/>
      <c r="R1332" s="285"/>
      <c r="S1332" s="285"/>
      <c r="T1332" s="285"/>
      <c r="U1332" s="285"/>
      <c r="V1332" s="285"/>
      <c r="W1332" s="285"/>
    </row>
    <row r="1333" spans="1:23" s="26" customFormat="1" ht="42" customHeight="1" x14ac:dyDescent="0.2">
      <c r="A1333" s="106"/>
      <c r="B1333" s="188" t="s">
        <v>1175</v>
      </c>
      <c r="C1333" s="75"/>
      <c r="D1333" s="300">
        <v>1</v>
      </c>
      <c r="E1333" s="75"/>
      <c r="F1333" s="75"/>
      <c r="G1333" s="75"/>
      <c r="H1333" s="241"/>
      <c r="I1333" s="63"/>
      <c r="J1333" s="63"/>
      <c r="K1333" s="63"/>
      <c r="L1333" s="63"/>
      <c r="M1333" s="63"/>
      <c r="N1333" s="285"/>
      <c r="O1333" s="285"/>
      <c r="P1333" s="285"/>
      <c r="Q1333" s="285"/>
      <c r="R1333" s="285"/>
      <c r="S1333" s="285"/>
      <c r="T1333" s="285"/>
      <c r="U1333" s="285"/>
      <c r="V1333" s="285"/>
      <c r="W1333" s="285"/>
    </row>
    <row r="1334" spans="1:23" s="26" customFormat="1" ht="35.25" customHeight="1" x14ac:dyDescent="0.2">
      <c r="A1334" s="106"/>
      <c r="B1334" s="189" t="s">
        <v>702</v>
      </c>
      <c r="C1334" s="44"/>
      <c r="D1334" s="300">
        <v>1</v>
      </c>
      <c r="E1334" s="44"/>
      <c r="F1334" s="44"/>
      <c r="G1334" s="44"/>
      <c r="H1334" s="225"/>
      <c r="I1334" s="63"/>
      <c r="J1334" s="63"/>
      <c r="K1334" s="63"/>
      <c r="L1334" s="63"/>
      <c r="M1334" s="63"/>
      <c r="N1334" s="285"/>
      <c r="O1334" s="285"/>
      <c r="P1334" s="285"/>
      <c r="Q1334" s="285"/>
      <c r="R1334" s="285"/>
      <c r="S1334" s="285"/>
      <c r="T1334" s="285"/>
      <c r="U1334" s="285"/>
      <c r="V1334" s="285"/>
      <c r="W1334" s="285"/>
    </row>
    <row r="1335" spans="1:23" s="26" customFormat="1" ht="30" customHeight="1" x14ac:dyDescent="0.2">
      <c r="A1335" s="106" t="s">
        <v>2444</v>
      </c>
      <c r="B1335" s="126" t="s">
        <v>1173</v>
      </c>
      <c r="C1335" s="21" t="s">
        <v>1</v>
      </c>
      <c r="D1335" s="300">
        <v>1</v>
      </c>
      <c r="E1335" s="51">
        <f t="shared" ref="E1335" si="477">G1335/11</f>
        <v>1.0909090909090908</v>
      </c>
      <c r="F1335" s="23">
        <f t="shared" ref="F1335:F1393" si="478">11/G1335</f>
        <v>0.91666666666666663</v>
      </c>
      <c r="G1335" s="65">
        <f t="shared" ref="G1335" si="479">L1335/H1335</f>
        <v>12</v>
      </c>
      <c r="H1335" s="77">
        <v>50</v>
      </c>
      <c r="I1335" s="71">
        <f t="shared" ref="I1335:I1350" si="480">M1335/L1335</f>
        <v>1.1000000000000001</v>
      </c>
      <c r="J1335" s="23">
        <f t="shared" ref="J1335:J1350" si="481">11/K1335</f>
        <v>0.91666666666666685</v>
      </c>
      <c r="K1335" s="65">
        <f t="shared" ref="K1335:K1350" si="482">M1335/(H1335*I1335)</f>
        <v>11.999999999999998</v>
      </c>
      <c r="L1335" s="21">
        <v>600</v>
      </c>
      <c r="M1335" s="21">
        <v>660</v>
      </c>
      <c r="N1335" s="285"/>
      <c r="O1335" s="285"/>
      <c r="P1335" s="285"/>
      <c r="Q1335" s="285"/>
      <c r="R1335" s="285"/>
      <c r="S1335" s="285"/>
      <c r="T1335" s="285"/>
      <c r="U1335" s="285"/>
      <c r="V1335" s="285"/>
      <c r="W1335" s="285"/>
    </row>
    <row r="1336" spans="1:23" s="26" customFormat="1" ht="30" customHeight="1" x14ac:dyDescent="0.2">
      <c r="A1336" s="106" t="s">
        <v>2445</v>
      </c>
      <c r="B1336" s="131" t="s">
        <v>1180</v>
      </c>
      <c r="C1336" s="21" t="s">
        <v>1</v>
      </c>
      <c r="D1336" s="300">
        <v>1</v>
      </c>
      <c r="E1336" s="51">
        <f t="shared" ref="E1336:E1393" si="483">G1336/11</f>
        <v>6.8181818181818183</v>
      </c>
      <c r="F1336" s="23">
        <f t="shared" si="478"/>
        <v>0.14666666666666667</v>
      </c>
      <c r="G1336" s="65">
        <f t="shared" ref="G1336:G1393" si="484">L1336/H1336</f>
        <v>75</v>
      </c>
      <c r="H1336" s="77">
        <v>8</v>
      </c>
      <c r="I1336" s="71">
        <f t="shared" si="480"/>
        <v>1.1000000000000001</v>
      </c>
      <c r="J1336" s="23">
        <f t="shared" si="481"/>
        <v>0.14666666666666667</v>
      </c>
      <c r="K1336" s="65">
        <f t="shared" si="482"/>
        <v>75</v>
      </c>
      <c r="L1336" s="21">
        <v>600</v>
      </c>
      <c r="M1336" s="21">
        <v>660</v>
      </c>
      <c r="N1336" s="285"/>
      <c r="O1336" s="285"/>
      <c r="P1336" s="285"/>
      <c r="Q1336" s="285"/>
      <c r="R1336" s="285"/>
      <c r="S1336" s="285"/>
      <c r="T1336" s="285"/>
      <c r="U1336" s="285"/>
      <c r="V1336" s="285"/>
      <c r="W1336" s="285"/>
    </row>
    <row r="1337" spans="1:23" s="26" customFormat="1" ht="30" customHeight="1" x14ac:dyDescent="0.2">
      <c r="A1337" s="219" t="s">
        <v>2446</v>
      </c>
      <c r="B1337" s="257" t="s">
        <v>3379</v>
      </c>
      <c r="C1337" s="21" t="s">
        <v>1</v>
      </c>
      <c r="D1337" s="300">
        <v>1</v>
      </c>
      <c r="E1337" s="51">
        <f t="shared" si="483"/>
        <v>7.4529621154335084</v>
      </c>
      <c r="F1337" s="23">
        <f t="shared" si="478"/>
        <v>0.13417484008528791</v>
      </c>
      <c r="G1337" s="65">
        <f t="shared" si="484"/>
        <v>81.982583269768597</v>
      </c>
      <c r="H1337" s="303">
        <v>7.318627641015703</v>
      </c>
      <c r="I1337" s="71">
        <f t="shared" si="480"/>
        <v>1.1000000000000001</v>
      </c>
      <c r="J1337" s="23">
        <f t="shared" si="481"/>
        <v>0.13417484008528791</v>
      </c>
      <c r="K1337" s="65">
        <f t="shared" si="482"/>
        <v>81.982583269768583</v>
      </c>
      <c r="L1337" s="21">
        <v>600</v>
      </c>
      <c r="M1337" s="21">
        <v>660</v>
      </c>
      <c r="N1337" s="285"/>
      <c r="O1337" s="285"/>
      <c r="P1337" s="285"/>
      <c r="Q1337" s="285"/>
      <c r="R1337" s="285"/>
      <c r="S1337" s="285"/>
      <c r="T1337" s="285"/>
      <c r="U1337" s="285"/>
      <c r="V1337" s="285"/>
      <c r="W1337" s="285"/>
    </row>
    <row r="1338" spans="1:23" s="26" customFormat="1" ht="30" customHeight="1" x14ac:dyDescent="0.2">
      <c r="A1338" s="219" t="s">
        <v>2447</v>
      </c>
      <c r="B1338" s="257" t="s">
        <v>3380</v>
      </c>
      <c r="C1338" s="21" t="s">
        <v>1</v>
      </c>
      <c r="D1338" s="300">
        <v>1</v>
      </c>
      <c r="E1338" s="51">
        <f t="shared" si="483"/>
        <v>3.1313259109311748</v>
      </c>
      <c r="F1338" s="23">
        <f t="shared" si="478"/>
        <v>0.31935353535353528</v>
      </c>
      <c r="G1338" s="65">
        <f t="shared" si="484"/>
        <v>34.444585020242926</v>
      </c>
      <c r="H1338" s="303">
        <v>17.41928374655647</v>
      </c>
      <c r="I1338" s="71">
        <f t="shared" si="480"/>
        <v>1.1000000000000001</v>
      </c>
      <c r="J1338" s="23">
        <f t="shared" si="481"/>
        <v>0.31935353535353533</v>
      </c>
      <c r="K1338" s="65">
        <f t="shared" si="482"/>
        <v>34.444585020242918</v>
      </c>
      <c r="L1338" s="21">
        <v>600</v>
      </c>
      <c r="M1338" s="21">
        <v>660</v>
      </c>
      <c r="N1338" s="285"/>
      <c r="O1338" s="285"/>
      <c r="P1338" s="285"/>
      <c r="Q1338" s="285"/>
      <c r="R1338" s="285"/>
      <c r="S1338" s="285"/>
      <c r="T1338" s="285"/>
      <c r="U1338" s="285"/>
      <c r="V1338" s="285"/>
      <c r="W1338" s="285"/>
    </row>
    <row r="1339" spans="1:23" s="26" customFormat="1" ht="30" customHeight="1" x14ac:dyDescent="0.2">
      <c r="A1339" s="219" t="s">
        <v>2448</v>
      </c>
      <c r="B1339" s="257" t="s">
        <v>3381</v>
      </c>
      <c r="C1339" s="21" t="s">
        <v>1</v>
      </c>
      <c r="D1339" s="300">
        <v>1</v>
      </c>
      <c r="E1339" s="51">
        <f t="shared" si="483"/>
        <v>2.6515151515151518</v>
      </c>
      <c r="F1339" s="23">
        <f t="shared" si="478"/>
        <v>0.37714285714285711</v>
      </c>
      <c r="G1339" s="65">
        <f t="shared" si="484"/>
        <v>29.166666666666668</v>
      </c>
      <c r="H1339" s="303">
        <v>20.571428571428569</v>
      </c>
      <c r="I1339" s="71">
        <f t="shared" si="480"/>
        <v>1.1000000000000001</v>
      </c>
      <c r="J1339" s="23">
        <f t="shared" si="481"/>
        <v>0.37714285714285717</v>
      </c>
      <c r="K1339" s="65">
        <f t="shared" si="482"/>
        <v>29.166666666666664</v>
      </c>
      <c r="L1339" s="21">
        <v>600</v>
      </c>
      <c r="M1339" s="21">
        <v>660</v>
      </c>
      <c r="N1339" s="285"/>
      <c r="O1339" s="285"/>
      <c r="P1339" s="285"/>
      <c r="Q1339" s="285"/>
      <c r="R1339" s="285"/>
      <c r="S1339" s="285"/>
      <c r="T1339" s="285"/>
      <c r="U1339" s="285"/>
      <c r="V1339" s="285"/>
      <c r="W1339" s="285"/>
    </row>
    <row r="1340" spans="1:23" s="26" customFormat="1" ht="30" customHeight="1" x14ac:dyDescent="0.2">
      <c r="A1340" s="219" t="s">
        <v>2449</v>
      </c>
      <c r="B1340" s="257" t="s">
        <v>3382</v>
      </c>
      <c r="C1340" s="21" t="s">
        <v>1</v>
      </c>
      <c r="D1340" s="300">
        <v>1</v>
      </c>
      <c r="E1340" s="51">
        <f t="shared" si="483"/>
        <v>6.598644815631892</v>
      </c>
      <c r="F1340" s="23">
        <f t="shared" si="478"/>
        <v>0.15154626865671647</v>
      </c>
      <c r="G1340" s="65">
        <f t="shared" si="484"/>
        <v>72.585092971950814</v>
      </c>
      <c r="H1340" s="303">
        <v>8.2661601085481706</v>
      </c>
      <c r="I1340" s="71">
        <f t="shared" si="480"/>
        <v>1.1000000000000001</v>
      </c>
      <c r="J1340" s="23">
        <f t="shared" si="481"/>
        <v>0.15154626865671647</v>
      </c>
      <c r="K1340" s="65">
        <f t="shared" si="482"/>
        <v>72.585092971950814</v>
      </c>
      <c r="L1340" s="21">
        <v>600</v>
      </c>
      <c r="M1340" s="21">
        <v>660</v>
      </c>
      <c r="N1340" s="285"/>
      <c r="O1340" s="285"/>
      <c r="P1340" s="285"/>
      <c r="Q1340" s="285"/>
      <c r="R1340" s="285"/>
      <c r="S1340" s="285"/>
      <c r="T1340" s="285"/>
      <c r="U1340" s="285"/>
      <c r="V1340" s="285"/>
      <c r="W1340" s="285"/>
    </row>
    <row r="1341" spans="1:23" s="26" customFormat="1" ht="30" customHeight="1" x14ac:dyDescent="0.2">
      <c r="A1341" s="219" t="s">
        <v>2450</v>
      </c>
      <c r="B1341" s="257" t="s">
        <v>3383</v>
      </c>
      <c r="C1341" s="21" t="s">
        <v>1</v>
      </c>
      <c r="D1341" s="300">
        <v>1</v>
      </c>
      <c r="E1341" s="51">
        <f t="shared" si="483"/>
        <v>2.7138157894736841</v>
      </c>
      <c r="F1341" s="23">
        <f t="shared" si="478"/>
        <v>0.36848484848484853</v>
      </c>
      <c r="G1341" s="65">
        <f t="shared" si="484"/>
        <v>29.851973684210524</v>
      </c>
      <c r="H1341" s="303">
        <v>20.099173553719009</v>
      </c>
      <c r="I1341" s="71">
        <f t="shared" si="480"/>
        <v>1.1000000000000001</v>
      </c>
      <c r="J1341" s="23">
        <f t="shared" si="481"/>
        <v>0.36848484848484858</v>
      </c>
      <c r="K1341" s="65">
        <f t="shared" si="482"/>
        <v>29.85197368421052</v>
      </c>
      <c r="L1341" s="21">
        <v>600</v>
      </c>
      <c r="M1341" s="21">
        <v>660</v>
      </c>
      <c r="N1341" s="285"/>
      <c r="O1341" s="285"/>
      <c r="P1341" s="285"/>
      <c r="Q1341" s="285"/>
      <c r="R1341" s="285"/>
      <c r="S1341" s="285"/>
      <c r="T1341" s="285"/>
      <c r="U1341" s="285"/>
      <c r="V1341" s="285"/>
      <c r="W1341" s="285"/>
    </row>
    <row r="1342" spans="1:23" s="26" customFormat="1" ht="30" customHeight="1" x14ac:dyDescent="0.2">
      <c r="A1342" s="219" t="s">
        <v>2451</v>
      </c>
      <c r="B1342" s="257" t="s">
        <v>3384</v>
      </c>
      <c r="C1342" s="21" t="s">
        <v>1</v>
      </c>
      <c r="D1342" s="300">
        <v>1</v>
      </c>
      <c r="E1342" s="51">
        <f t="shared" si="483"/>
        <v>2.335805084745763</v>
      </c>
      <c r="F1342" s="23">
        <f t="shared" si="478"/>
        <v>0.42811791383219955</v>
      </c>
      <c r="G1342" s="65">
        <f t="shared" si="484"/>
        <v>25.693855932203391</v>
      </c>
      <c r="H1342" s="303">
        <v>23.351886209029065</v>
      </c>
      <c r="I1342" s="71">
        <f t="shared" si="480"/>
        <v>1.1000000000000001</v>
      </c>
      <c r="J1342" s="23">
        <f t="shared" si="481"/>
        <v>0.42811791383219955</v>
      </c>
      <c r="K1342" s="65">
        <f>M1342/(H1342*I1342)</f>
        <v>25.693855932203391</v>
      </c>
      <c r="L1342" s="21">
        <v>600</v>
      </c>
      <c r="M1342" s="21">
        <v>660</v>
      </c>
      <c r="N1342" s="285"/>
      <c r="O1342" s="285"/>
      <c r="P1342" s="285"/>
      <c r="Q1342" s="285"/>
      <c r="R1342" s="285"/>
      <c r="S1342" s="285"/>
      <c r="T1342" s="285"/>
      <c r="U1342" s="285"/>
      <c r="V1342" s="285"/>
      <c r="W1342" s="285"/>
    </row>
    <row r="1343" spans="1:23" s="26" customFormat="1" ht="30" customHeight="1" x14ac:dyDescent="0.2">
      <c r="A1343" s="219" t="s">
        <v>2452</v>
      </c>
      <c r="B1343" s="257" t="s">
        <v>3385</v>
      </c>
      <c r="C1343" s="21" t="s">
        <v>1</v>
      </c>
      <c r="D1343" s="300">
        <v>1</v>
      </c>
      <c r="E1343" s="51">
        <f t="shared" si="483"/>
        <v>5.5207949944792052</v>
      </c>
      <c r="F1343" s="23">
        <f t="shared" si="478"/>
        <v>0.18113333333333331</v>
      </c>
      <c r="G1343" s="65">
        <f t="shared" si="484"/>
        <v>60.728744939271259</v>
      </c>
      <c r="H1343" s="303">
        <v>9.879999999999999</v>
      </c>
      <c r="I1343" s="71">
        <f t="shared" si="480"/>
        <v>1.1000000000000001</v>
      </c>
      <c r="J1343" s="23">
        <f t="shared" si="481"/>
        <v>0.18113333333333334</v>
      </c>
      <c r="K1343" s="65">
        <f t="shared" si="482"/>
        <v>60.728744939271252</v>
      </c>
      <c r="L1343" s="21">
        <v>600</v>
      </c>
      <c r="M1343" s="21">
        <v>660</v>
      </c>
      <c r="N1343" s="285"/>
      <c r="O1343" s="285"/>
      <c r="P1343" s="285"/>
      <c r="Q1343" s="285"/>
      <c r="R1343" s="285"/>
      <c r="S1343" s="285"/>
      <c r="T1343" s="285"/>
      <c r="U1343" s="285"/>
      <c r="V1343" s="285"/>
      <c r="W1343" s="285"/>
    </row>
    <row r="1344" spans="1:23" s="26" customFormat="1" ht="30" customHeight="1" x14ac:dyDescent="0.2">
      <c r="A1344" s="219" t="s">
        <v>2453</v>
      </c>
      <c r="B1344" s="257" t="s">
        <v>3386</v>
      </c>
      <c r="C1344" s="21" t="s">
        <v>1</v>
      </c>
      <c r="D1344" s="300">
        <v>1</v>
      </c>
      <c r="E1344" s="51">
        <f t="shared" si="483"/>
        <v>2.0505809979494192</v>
      </c>
      <c r="F1344" s="23">
        <f t="shared" si="478"/>
        <v>0.48766666666666664</v>
      </c>
      <c r="G1344" s="65">
        <f t="shared" si="484"/>
        <v>22.556390977443609</v>
      </c>
      <c r="H1344" s="303">
        <v>26.599999999999998</v>
      </c>
      <c r="I1344" s="71">
        <f t="shared" si="480"/>
        <v>1.1000000000000001</v>
      </c>
      <c r="J1344" s="23">
        <f t="shared" si="481"/>
        <v>0.48766666666666664</v>
      </c>
      <c r="K1344" s="65">
        <f t="shared" si="482"/>
        <v>22.556390977443609</v>
      </c>
      <c r="L1344" s="21">
        <v>600</v>
      </c>
      <c r="M1344" s="21">
        <v>660</v>
      </c>
      <c r="N1344" s="285"/>
      <c r="O1344" s="285"/>
      <c r="P1344" s="285"/>
      <c r="Q1344" s="285"/>
      <c r="R1344" s="285"/>
      <c r="S1344" s="285"/>
      <c r="T1344" s="285"/>
      <c r="U1344" s="285"/>
      <c r="V1344" s="285"/>
      <c r="W1344" s="285"/>
    </row>
    <row r="1345" spans="1:23" s="26" customFormat="1" ht="30" customHeight="1" x14ac:dyDescent="0.2">
      <c r="A1345" s="219" t="s">
        <v>2454</v>
      </c>
      <c r="B1345" s="257" t="s">
        <v>3387</v>
      </c>
      <c r="C1345" s="21" t="s">
        <v>1</v>
      </c>
      <c r="D1345" s="300">
        <v>1</v>
      </c>
      <c r="E1345" s="51">
        <f t="shared" si="483"/>
        <v>5.126452494873547</v>
      </c>
      <c r="F1345" s="23">
        <f t="shared" si="478"/>
        <v>0.19506666666666669</v>
      </c>
      <c r="G1345" s="65">
        <f t="shared" si="484"/>
        <v>56.390977443609017</v>
      </c>
      <c r="H1345" s="303">
        <v>10.64</v>
      </c>
      <c r="I1345" s="71">
        <f t="shared" si="480"/>
        <v>1.1000000000000001</v>
      </c>
      <c r="J1345" s="23">
        <f t="shared" si="481"/>
        <v>0.19506666666666672</v>
      </c>
      <c r="K1345" s="65">
        <f t="shared" si="482"/>
        <v>56.39097744360901</v>
      </c>
      <c r="L1345" s="21">
        <v>600</v>
      </c>
      <c r="M1345" s="21">
        <v>660</v>
      </c>
      <c r="N1345" s="285"/>
      <c r="O1345" s="285"/>
      <c r="P1345" s="285"/>
      <c r="Q1345" s="285"/>
      <c r="R1345" s="285"/>
      <c r="S1345" s="285"/>
      <c r="T1345" s="285"/>
      <c r="U1345" s="285"/>
      <c r="V1345" s="285"/>
      <c r="W1345" s="285"/>
    </row>
    <row r="1346" spans="1:23" s="26" customFormat="1" ht="30" customHeight="1" x14ac:dyDescent="0.2">
      <c r="A1346" s="219" t="s">
        <v>2455</v>
      </c>
      <c r="B1346" s="257" t="s">
        <v>3388</v>
      </c>
      <c r="C1346" s="21" t="s">
        <v>1</v>
      </c>
      <c r="D1346" s="300">
        <v>1</v>
      </c>
      <c r="E1346" s="51">
        <f t="shared" si="483"/>
        <v>2.3923444976076556</v>
      </c>
      <c r="F1346" s="23">
        <f t="shared" si="478"/>
        <v>0.41799999999999998</v>
      </c>
      <c r="G1346" s="65">
        <f t="shared" si="484"/>
        <v>26.315789473684212</v>
      </c>
      <c r="H1346" s="303">
        <v>22.799999999999997</v>
      </c>
      <c r="I1346" s="71">
        <f t="shared" si="480"/>
        <v>1.1000000000000001</v>
      </c>
      <c r="J1346" s="23">
        <f t="shared" si="481"/>
        <v>0.41799999999999998</v>
      </c>
      <c r="K1346" s="65">
        <f t="shared" si="482"/>
        <v>26.315789473684212</v>
      </c>
      <c r="L1346" s="21">
        <v>600</v>
      </c>
      <c r="M1346" s="21">
        <v>660</v>
      </c>
      <c r="N1346" s="285"/>
      <c r="O1346" s="285"/>
      <c r="P1346" s="285"/>
      <c r="Q1346" s="285"/>
      <c r="R1346" s="285"/>
      <c r="S1346" s="285"/>
      <c r="T1346" s="285"/>
      <c r="U1346" s="285"/>
      <c r="V1346" s="285"/>
      <c r="W1346" s="285"/>
    </row>
    <row r="1347" spans="1:23" s="26" customFormat="1" ht="30" customHeight="1" x14ac:dyDescent="0.2">
      <c r="A1347" s="219" t="s">
        <v>2456</v>
      </c>
      <c r="B1347" s="257" t="s">
        <v>3389</v>
      </c>
      <c r="C1347" s="21" t="s">
        <v>1</v>
      </c>
      <c r="D1347" s="300">
        <v>1</v>
      </c>
      <c r="E1347" s="51">
        <f t="shared" si="483"/>
        <v>4.7846889952153111</v>
      </c>
      <c r="F1347" s="23">
        <f t="shared" si="478"/>
        <v>0.20899999999999999</v>
      </c>
      <c r="G1347" s="65">
        <f t="shared" si="484"/>
        <v>52.631578947368425</v>
      </c>
      <c r="H1347" s="303">
        <v>11.399999999999999</v>
      </c>
      <c r="I1347" s="71">
        <f t="shared" si="480"/>
        <v>1.1000000000000001</v>
      </c>
      <c r="J1347" s="23">
        <f t="shared" si="481"/>
        <v>0.20899999999999999</v>
      </c>
      <c r="K1347" s="65">
        <f t="shared" si="482"/>
        <v>52.631578947368425</v>
      </c>
      <c r="L1347" s="21">
        <v>600</v>
      </c>
      <c r="M1347" s="21">
        <v>660</v>
      </c>
      <c r="N1347" s="285"/>
      <c r="O1347" s="285"/>
      <c r="P1347" s="285"/>
      <c r="Q1347" s="285"/>
      <c r="R1347" s="285"/>
      <c r="S1347" s="285"/>
      <c r="T1347" s="285"/>
      <c r="U1347" s="285"/>
      <c r="V1347" s="285"/>
      <c r="W1347" s="285"/>
    </row>
    <row r="1348" spans="1:23" s="26" customFormat="1" ht="39.75" customHeight="1" x14ac:dyDescent="0.2">
      <c r="A1348" s="219" t="s">
        <v>2457</v>
      </c>
      <c r="B1348" s="257" t="s">
        <v>3390</v>
      </c>
      <c r="C1348" s="21" t="s">
        <v>1</v>
      </c>
      <c r="D1348" s="300">
        <v>1</v>
      </c>
      <c r="E1348" s="51">
        <f t="shared" si="483"/>
        <v>1.9936204146730463</v>
      </c>
      <c r="F1348" s="23">
        <f t="shared" si="478"/>
        <v>0.50159999999999993</v>
      </c>
      <c r="G1348" s="65">
        <f t="shared" si="484"/>
        <v>21.92982456140351</v>
      </c>
      <c r="H1348" s="303">
        <v>27.36</v>
      </c>
      <c r="I1348" s="71">
        <f t="shared" si="480"/>
        <v>1.1000000000000001</v>
      </c>
      <c r="J1348" s="23">
        <f t="shared" si="481"/>
        <v>0.50159999999999993</v>
      </c>
      <c r="K1348" s="65">
        <f t="shared" si="482"/>
        <v>21.92982456140351</v>
      </c>
      <c r="L1348" s="21">
        <v>600</v>
      </c>
      <c r="M1348" s="21">
        <v>660</v>
      </c>
      <c r="N1348" s="285"/>
      <c r="O1348" s="285"/>
      <c r="P1348" s="285"/>
      <c r="Q1348" s="285"/>
      <c r="R1348" s="285"/>
      <c r="S1348" s="285"/>
      <c r="T1348" s="285"/>
      <c r="U1348" s="285"/>
      <c r="V1348" s="285"/>
      <c r="W1348" s="285"/>
    </row>
    <row r="1349" spans="1:23" s="26" customFormat="1" ht="30" customHeight="1" x14ac:dyDescent="0.2">
      <c r="A1349" s="219" t="s">
        <v>2458</v>
      </c>
      <c r="B1349" s="257" t="s">
        <v>3391</v>
      </c>
      <c r="C1349" s="21" t="s">
        <v>1</v>
      </c>
      <c r="D1349" s="300">
        <v>1</v>
      </c>
      <c r="E1349" s="51">
        <f t="shared" si="483"/>
        <v>5.0239234449760763</v>
      </c>
      <c r="F1349" s="23">
        <f t="shared" si="478"/>
        <v>0.19904761904761906</v>
      </c>
      <c r="G1349" s="65">
        <f t="shared" si="484"/>
        <v>55.263157894736842</v>
      </c>
      <c r="H1349" s="303">
        <v>10.857142857142858</v>
      </c>
      <c r="I1349" s="71">
        <f t="shared" si="480"/>
        <v>1.1000000000000001</v>
      </c>
      <c r="J1349" s="23">
        <f t="shared" si="481"/>
        <v>0.19904761904761908</v>
      </c>
      <c r="K1349" s="65">
        <f t="shared" si="482"/>
        <v>55.263157894736835</v>
      </c>
      <c r="L1349" s="21">
        <v>600</v>
      </c>
      <c r="M1349" s="21">
        <v>660</v>
      </c>
      <c r="N1349" s="285"/>
      <c r="O1349" s="285"/>
      <c r="P1349" s="285"/>
      <c r="Q1349" s="285"/>
      <c r="R1349" s="285"/>
      <c r="S1349" s="285"/>
      <c r="T1349" s="285"/>
      <c r="U1349" s="285"/>
      <c r="V1349" s="285"/>
      <c r="W1349" s="285"/>
    </row>
    <row r="1350" spans="1:23" s="26" customFormat="1" ht="35.25" customHeight="1" x14ac:dyDescent="0.2">
      <c r="A1350" s="219" t="s">
        <v>2459</v>
      </c>
      <c r="B1350" s="257" t="s">
        <v>3392</v>
      </c>
      <c r="C1350" s="21" t="s">
        <v>1</v>
      </c>
      <c r="D1350" s="300">
        <v>1</v>
      </c>
      <c r="E1350" s="51">
        <f t="shared" si="483"/>
        <v>1.9936204146730463</v>
      </c>
      <c r="F1350" s="23">
        <f t="shared" si="478"/>
        <v>0.50159999999999993</v>
      </c>
      <c r="G1350" s="65">
        <f t="shared" si="484"/>
        <v>21.92982456140351</v>
      </c>
      <c r="H1350" s="303">
        <v>27.36</v>
      </c>
      <c r="I1350" s="71">
        <f t="shared" si="480"/>
        <v>1.1000000000000001</v>
      </c>
      <c r="J1350" s="23">
        <f t="shared" si="481"/>
        <v>0.50159999999999993</v>
      </c>
      <c r="K1350" s="65">
        <f t="shared" si="482"/>
        <v>21.92982456140351</v>
      </c>
      <c r="L1350" s="21">
        <v>600</v>
      </c>
      <c r="M1350" s="21">
        <v>660</v>
      </c>
      <c r="N1350" s="285"/>
      <c r="O1350" s="285"/>
      <c r="P1350" s="285"/>
      <c r="Q1350" s="285"/>
      <c r="R1350" s="285"/>
      <c r="S1350" s="285"/>
      <c r="T1350" s="285"/>
      <c r="U1350" s="285"/>
      <c r="V1350" s="285"/>
      <c r="W1350" s="285"/>
    </row>
    <row r="1351" spans="1:23" s="26" customFormat="1" ht="26.25" customHeight="1" x14ac:dyDescent="0.2">
      <c r="A1351" s="219"/>
      <c r="B1351" s="190" t="s">
        <v>1174</v>
      </c>
      <c r="C1351" s="225"/>
      <c r="D1351" s="300">
        <v>1</v>
      </c>
      <c r="E1351" s="225"/>
      <c r="F1351" s="225"/>
      <c r="G1351" s="225"/>
      <c r="H1351" s="303">
        <v>0</v>
      </c>
      <c r="I1351" s="63"/>
      <c r="J1351" s="63"/>
      <c r="K1351" s="63"/>
      <c r="L1351" s="63"/>
      <c r="M1351" s="63"/>
      <c r="N1351" s="285"/>
      <c r="O1351" s="285"/>
      <c r="P1351" s="285"/>
      <c r="Q1351" s="285"/>
      <c r="R1351" s="285"/>
      <c r="S1351" s="285"/>
      <c r="T1351" s="285"/>
      <c r="U1351" s="285"/>
      <c r="V1351" s="285"/>
      <c r="W1351" s="285"/>
    </row>
    <row r="1352" spans="1:23" s="26" customFormat="1" ht="35.25" customHeight="1" x14ac:dyDescent="0.2">
      <c r="A1352" s="219" t="s">
        <v>2460</v>
      </c>
      <c r="B1352" s="126" t="s">
        <v>1176</v>
      </c>
      <c r="C1352" s="21" t="s">
        <v>1</v>
      </c>
      <c r="D1352" s="300">
        <v>1</v>
      </c>
      <c r="E1352" s="51">
        <f t="shared" si="483"/>
        <v>2.8708133971291865</v>
      </c>
      <c r="F1352" s="23">
        <f t="shared" si="478"/>
        <v>0.34833333333333333</v>
      </c>
      <c r="G1352" s="65">
        <f t="shared" si="484"/>
        <v>31.578947368421051</v>
      </c>
      <c r="H1352" s="303">
        <v>19</v>
      </c>
      <c r="I1352" s="71">
        <f t="shared" ref="I1352:I1364" si="485">M1352/L1352</f>
        <v>1.1000000000000001</v>
      </c>
      <c r="J1352" s="23">
        <f t="shared" ref="J1352:J1364" si="486">11/K1352</f>
        <v>0.34833333333333338</v>
      </c>
      <c r="K1352" s="65">
        <f t="shared" ref="K1352:K1364" si="487">M1352/(H1352*I1352)</f>
        <v>31.578947368421048</v>
      </c>
      <c r="L1352" s="21">
        <v>600</v>
      </c>
      <c r="M1352" s="21">
        <v>660</v>
      </c>
      <c r="N1352" s="285"/>
      <c r="O1352" s="285"/>
      <c r="P1352" s="285"/>
      <c r="Q1352" s="285"/>
      <c r="R1352" s="285"/>
      <c r="S1352" s="285"/>
      <c r="T1352" s="285"/>
      <c r="U1352" s="285"/>
      <c r="V1352" s="285"/>
      <c r="W1352" s="285"/>
    </row>
    <row r="1353" spans="1:23" s="26" customFormat="1" ht="35.25" customHeight="1" x14ac:dyDescent="0.2">
      <c r="A1353" s="219" t="s">
        <v>2461</v>
      </c>
      <c r="B1353" s="126" t="s">
        <v>1177</v>
      </c>
      <c r="C1353" s="21" t="s">
        <v>1</v>
      </c>
      <c r="D1353" s="300">
        <v>1</v>
      </c>
      <c r="E1353" s="51">
        <f t="shared" si="483"/>
        <v>2.2083179977916818</v>
      </c>
      <c r="F1353" s="23">
        <f t="shared" si="478"/>
        <v>0.45283333333333331</v>
      </c>
      <c r="G1353" s="65">
        <f t="shared" si="484"/>
        <v>24.291497975708502</v>
      </c>
      <c r="H1353" s="303">
        <v>24.7</v>
      </c>
      <c r="I1353" s="71">
        <f t="shared" si="485"/>
        <v>1.1000000000000001</v>
      </c>
      <c r="J1353" s="23">
        <f t="shared" si="486"/>
        <v>0.45283333333333331</v>
      </c>
      <c r="K1353" s="65">
        <f t="shared" si="487"/>
        <v>24.291497975708502</v>
      </c>
      <c r="L1353" s="21">
        <v>600</v>
      </c>
      <c r="M1353" s="21">
        <v>660</v>
      </c>
      <c r="N1353" s="285"/>
      <c r="O1353" s="285"/>
      <c r="P1353" s="285"/>
      <c r="Q1353" s="285"/>
      <c r="R1353" s="285"/>
      <c r="S1353" s="285"/>
      <c r="T1353" s="285"/>
      <c r="U1353" s="285"/>
      <c r="V1353" s="285"/>
      <c r="W1353" s="285"/>
    </row>
    <row r="1354" spans="1:23" s="26" customFormat="1" ht="35.25" customHeight="1" x14ac:dyDescent="0.2">
      <c r="A1354" s="219" t="s">
        <v>2462</v>
      </c>
      <c r="B1354" s="126" t="s">
        <v>1178</v>
      </c>
      <c r="C1354" s="21" t="s">
        <v>1</v>
      </c>
      <c r="D1354" s="300">
        <v>1</v>
      </c>
      <c r="E1354" s="51">
        <f t="shared" si="483"/>
        <v>1.7942583732057416</v>
      </c>
      <c r="F1354" s="23">
        <f t="shared" si="478"/>
        <v>0.55733333333333335</v>
      </c>
      <c r="G1354" s="65">
        <f t="shared" si="484"/>
        <v>19.736842105263158</v>
      </c>
      <c r="H1354" s="303">
        <v>30.4</v>
      </c>
      <c r="I1354" s="71">
        <f t="shared" si="485"/>
        <v>1.1000000000000001</v>
      </c>
      <c r="J1354" s="23">
        <f t="shared" si="486"/>
        <v>0.55733333333333335</v>
      </c>
      <c r="K1354" s="65">
        <f t="shared" si="487"/>
        <v>19.736842105263158</v>
      </c>
      <c r="L1354" s="21">
        <v>600</v>
      </c>
      <c r="M1354" s="21">
        <v>660</v>
      </c>
      <c r="N1354" s="285"/>
      <c r="O1354" s="285"/>
      <c r="P1354" s="285"/>
      <c r="Q1354" s="285"/>
      <c r="R1354" s="285"/>
      <c r="S1354" s="285"/>
      <c r="T1354" s="285"/>
      <c r="U1354" s="285"/>
      <c r="V1354" s="285"/>
      <c r="W1354" s="285"/>
    </row>
    <row r="1355" spans="1:23" s="26" customFormat="1" ht="35.25" customHeight="1" x14ac:dyDescent="0.2">
      <c r="A1355" s="219" t="s">
        <v>2463</v>
      </c>
      <c r="B1355" s="126" t="s">
        <v>1193</v>
      </c>
      <c r="C1355" s="21" t="s">
        <v>1</v>
      </c>
      <c r="D1355" s="300">
        <v>1</v>
      </c>
      <c r="E1355" s="51">
        <f t="shared" si="483"/>
        <v>1.9138755980861246</v>
      </c>
      <c r="F1355" s="23">
        <f t="shared" si="478"/>
        <v>0.52249999999999996</v>
      </c>
      <c r="G1355" s="65">
        <f t="shared" si="484"/>
        <v>21.05263157894737</v>
      </c>
      <c r="H1355" s="303">
        <v>28.5</v>
      </c>
      <c r="I1355" s="71">
        <f t="shared" si="485"/>
        <v>1.1000000000000001</v>
      </c>
      <c r="J1355" s="23">
        <f t="shared" si="486"/>
        <v>0.52250000000000008</v>
      </c>
      <c r="K1355" s="65">
        <f t="shared" si="487"/>
        <v>21.052631578947366</v>
      </c>
      <c r="L1355" s="21">
        <v>600</v>
      </c>
      <c r="M1355" s="21">
        <v>660</v>
      </c>
      <c r="N1355" s="285"/>
      <c r="O1355" s="285"/>
      <c r="P1355" s="285"/>
      <c r="Q1355" s="285"/>
      <c r="R1355" s="285"/>
      <c r="S1355" s="285"/>
      <c r="T1355" s="285"/>
      <c r="U1355" s="285"/>
      <c r="V1355" s="285"/>
      <c r="W1355" s="285"/>
    </row>
    <row r="1356" spans="1:23" s="26" customFormat="1" ht="35.25" customHeight="1" x14ac:dyDescent="0.2">
      <c r="A1356" s="219" t="s">
        <v>2464</v>
      </c>
      <c r="B1356" s="126" t="s">
        <v>1192</v>
      </c>
      <c r="C1356" s="21" t="s">
        <v>1</v>
      </c>
      <c r="D1356" s="300">
        <v>1</v>
      </c>
      <c r="E1356" s="51">
        <f t="shared" si="483"/>
        <v>1.4354066985645932</v>
      </c>
      <c r="F1356" s="23">
        <f t="shared" si="478"/>
        <v>0.69666666666666666</v>
      </c>
      <c r="G1356" s="65">
        <f t="shared" si="484"/>
        <v>15.789473684210526</v>
      </c>
      <c r="H1356" s="303">
        <v>38</v>
      </c>
      <c r="I1356" s="71">
        <f t="shared" si="485"/>
        <v>1.1000000000000001</v>
      </c>
      <c r="J1356" s="23">
        <f t="shared" si="486"/>
        <v>0.69666666666666677</v>
      </c>
      <c r="K1356" s="65">
        <f t="shared" si="487"/>
        <v>15.789473684210524</v>
      </c>
      <c r="L1356" s="21">
        <v>600</v>
      </c>
      <c r="M1356" s="21">
        <v>660</v>
      </c>
      <c r="N1356" s="285"/>
      <c r="O1356" s="285"/>
      <c r="P1356" s="285"/>
      <c r="Q1356" s="285"/>
      <c r="R1356" s="285"/>
      <c r="S1356" s="285"/>
      <c r="T1356" s="285"/>
      <c r="U1356" s="285"/>
      <c r="V1356" s="285"/>
      <c r="W1356" s="285"/>
    </row>
    <row r="1357" spans="1:23" s="26" customFormat="1" ht="35.25" customHeight="1" x14ac:dyDescent="0.2">
      <c r="A1357" s="219" t="s">
        <v>2465</v>
      </c>
      <c r="B1357" s="126" t="s">
        <v>1191</v>
      </c>
      <c r="C1357" s="21" t="s">
        <v>1</v>
      </c>
      <c r="D1357" s="300">
        <v>1</v>
      </c>
      <c r="E1357" s="51">
        <f t="shared" si="483"/>
        <v>1.2057416267942582</v>
      </c>
      <c r="F1357" s="23">
        <f t="shared" si="478"/>
        <v>0.82936507936507942</v>
      </c>
      <c r="G1357" s="65">
        <f t="shared" si="484"/>
        <v>13.263157894736841</v>
      </c>
      <c r="H1357" s="303">
        <v>45.238095238095241</v>
      </c>
      <c r="I1357" s="71">
        <f t="shared" si="485"/>
        <v>1.1000000000000001</v>
      </c>
      <c r="J1357" s="23">
        <f t="shared" si="486"/>
        <v>0.82936507936507942</v>
      </c>
      <c r="K1357" s="65">
        <f t="shared" si="487"/>
        <v>13.263157894736841</v>
      </c>
      <c r="L1357" s="21">
        <v>600</v>
      </c>
      <c r="M1357" s="21">
        <v>660</v>
      </c>
      <c r="N1357" s="285"/>
      <c r="O1357" s="285"/>
      <c r="P1357" s="285"/>
      <c r="Q1357" s="285"/>
      <c r="R1357" s="285"/>
      <c r="S1357" s="285"/>
      <c r="T1357" s="285"/>
      <c r="U1357" s="285"/>
      <c r="V1357" s="285"/>
      <c r="W1357" s="285"/>
    </row>
    <row r="1358" spans="1:23" s="26" customFormat="1" ht="35.25" customHeight="1" x14ac:dyDescent="0.2">
      <c r="A1358" s="219" t="s">
        <v>2466</v>
      </c>
      <c r="B1358" s="126" t="s">
        <v>1179</v>
      </c>
      <c r="C1358" s="21" t="s">
        <v>1</v>
      </c>
      <c r="D1358" s="300">
        <v>1</v>
      </c>
      <c r="E1358" s="51">
        <f t="shared" si="483"/>
        <v>2.0505809979494192</v>
      </c>
      <c r="F1358" s="23">
        <f t="shared" si="478"/>
        <v>0.48766666666666664</v>
      </c>
      <c r="G1358" s="65">
        <f t="shared" si="484"/>
        <v>22.556390977443609</v>
      </c>
      <c r="H1358" s="303">
        <v>26.599999999999998</v>
      </c>
      <c r="I1358" s="71">
        <f t="shared" si="485"/>
        <v>1.1000000000000001</v>
      </c>
      <c r="J1358" s="23">
        <f t="shared" si="486"/>
        <v>0.48766666666666664</v>
      </c>
      <c r="K1358" s="65">
        <f t="shared" si="487"/>
        <v>22.556390977443609</v>
      </c>
      <c r="L1358" s="21">
        <v>600</v>
      </c>
      <c r="M1358" s="21">
        <v>660</v>
      </c>
      <c r="N1358" s="285"/>
      <c r="O1358" s="285"/>
      <c r="P1358" s="285"/>
      <c r="Q1358" s="285"/>
      <c r="R1358" s="285"/>
      <c r="S1358" s="285"/>
      <c r="T1358" s="285"/>
      <c r="U1358" s="285"/>
      <c r="V1358" s="285"/>
      <c r="W1358" s="285"/>
    </row>
    <row r="1359" spans="1:23" s="26" customFormat="1" ht="35.25" customHeight="1" x14ac:dyDescent="0.2">
      <c r="A1359" s="219" t="s">
        <v>2467</v>
      </c>
      <c r="B1359" s="126" t="s">
        <v>1432</v>
      </c>
      <c r="C1359" s="21" t="s">
        <v>1</v>
      </c>
      <c r="D1359" s="300">
        <v>1</v>
      </c>
      <c r="E1359" s="51">
        <f t="shared" si="483"/>
        <v>1.2481797378822552</v>
      </c>
      <c r="F1359" s="23">
        <f t="shared" si="478"/>
        <v>0.80116666666666658</v>
      </c>
      <c r="G1359" s="65">
        <f t="shared" si="484"/>
        <v>13.729977116704807</v>
      </c>
      <c r="H1359" s="303">
        <v>43.699999999999996</v>
      </c>
      <c r="I1359" s="71">
        <f t="shared" si="485"/>
        <v>1.1000000000000001</v>
      </c>
      <c r="J1359" s="23">
        <f t="shared" si="486"/>
        <v>0.80116666666666669</v>
      </c>
      <c r="K1359" s="65">
        <f t="shared" si="487"/>
        <v>13.729977116704806</v>
      </c>
      <c r="L1359" s="21">
        <v>600</v>
      </c>
      <c r="M1359" s="21">
        <v>660</v>
      </c>
      <c r="N1359" s="285"/>
      <c r="O1359" s="285"/>
      <c r="P1359" s="285"/>
      <c r="Q1359" s="285"/>
      <c r="R1359" s="285"/>
      <c r="S1359" s="285"/>
      <c r="T1359" s="285"/>
      <c r="U1359" s="285"/>
      <c r="V1359" s="285"/>
      <c r="W1359" s="285"/>
    </row>
    <row r="1360" spans="1:23" s="26" customFormat="1" ht="35.25" customHeight="1" x14ac:dyDescent="0.2">
      <c r="A1360" s="219" t="s">
        <v>2468</v>
      </c>
      <c r="B1360" s="126" t="s">
        <v>1433</v>
      </c>
      <c r="C1360" s="21" t="s">
        <v>1</v>
      </c>
      <c r="D1360" s="300">
        <v>1</v>
      </c>
      <c r="E1360" s="51">
        <f t="shared" si="483"/>
        <v>1.1961722488038278</v>
      </c>
      <c r="F1360" s="23">
        <f t="shared" si="478"/>
        <v>0.83599999999999997</v>
      </c>
      <c r="G1360" s="65">
        <f t="shared" si="484"/>
        <v>13.157894736842106</v>
      </c>
      <c r="H1360" s="303">
        <v>45.599999999999994</v>
      </c>
      <c r="I1360" s="71">
        <f t="shared" si="485"/>
        <v>1.1000000000000001</v>
      </c>
      <c r="J1360" s="23">
        <f t="shared" si="486"/>
        <v>0.83599999999999997</v>
      </c>
      <c r="K1360" s="65">
        <f t="shared" si="487"/>
        <v>13.157894736842106</v>
      </c>
      <c r="L1360" s="21">
        <v>600</v>
      </c>
      <c r="M1360" s="21">
        <v>660</v>
      </c>
      <c r="N1360" s="285"/>
      <c r="O1360" s="285"/>
      <c r="P1360" s="285"/>
      <c r="Q1360" s="285"/>
      <c r="R1360" s="285"/>
      <c r="S1360" s="285"/>
      <c r="T1360" s="285"/>
      <c r="U1360" s="285"/>
      <c r="V1360" s="285"/>
      <c r="W1360" s="285"/>
    </row>
    <row r="1361" spans="1:23" s="26" customFormat="1" ht="35.25" customHeight="1" x14ac:dyDescent="0.2">
      <c r="A1361" s="219" t="s">
        <v>2469</v>
      </c>
      <c r="B1361" s="126" t="s">
        <v>1434</v>
      </c>
      <c r="C1361" s="21" t="s">
        <v>1</v>
      </c>
      <c r="D1361" s="300">
        <v>1</v>
      </c>
      <c r="E1361" s="51">
        <f>G1361/11</f>
        <v>0.76555023923444976</v>
      </c>
      <c r="F1361" s="23">
        <f>11/G1361</f>
        <v>1.3062500000000001</v>
      </c>
      <c r="G1361" s="65">
        <f t="shared" si="484"/>
        <v>8.4210526315789469</v>
      </c>
      <c r="H1361" s="303">
        <v>71.25</v>
      </c>
      <c r="I1361" s="71">
        <f t="shared" si="485"/>
        <v>1.1000000000000001</v>
      </c>
      <c r="J1361" s="23">
        <f t="shared" si="486"/>
        <v>1.3062500000000001</v>
      </c>
      <c r="K1361" s="65">
        <f t="shared" si="487"/>
        <v>8.4210526315789469</v>
      </c>
      <c r="L1361" s="21">
        <v>600</v>
      </c>
      <c r="M1361" s="21">
        <v>660</v>
      </c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</row>
    <row r="1362" spans="1:23" s="26" customFormat="1" ht="35.25" customHeight="1" x14ac:dyDescent="0.2">
      <c r="A1362" s="219" t="s">
        <v>2470</v>
      </c>
      <c r="B1362" s="126" t="s">
        <v>1435</v>
      </c>
      <c r="C1362" s="21" t="s">
        <v>1</v>
      </c>
      <c r="D1362" s="300">
        <v>1</v>
      </c>
      <c r="E1362" s="51">
        <f t="shared" si="483"/>
        <v>1.3397129186602872</v>
      </c>
      <c r="F1362" s="23">
        <f t="shared" si="478"/>
        <v>0.74642857142857133</v>
      </c>
      <c r="G1362" s="65">
        <f t="shared" si="484"/>
        <v>14.736842105263159</v>
      </c>
      <c r="H1362" s="303">
        <v>40.714285714285708</v>
      </c>
      <c r="I1362" s="71">
        <f t="shared" si="485"/>
        <v>1.1000000000000001</v>
      </c>
      <c r="J1362" s="23">
        <f t="shared" si="486"/>
        <v>0.74642857142857144</v>
      </c>
      <c r="K1362" s="65">
        <f t="shared" si="487"/>
        <v>14.736842105263158</v>
      </c>
      <c r="L1362" s="21">
        <v>600</v>
      </c>
      <c r="M1362" s="21">
        <v>660</v>
      </c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</row>
    <row r="1363" spans="1:23" s="26" customFormat="1" ht="35.25" customHeight="1" x14ac:dyDescent="0.2">
      <c r="A1363" s="219" t="s">
        <v>2471</v>
      </c>
      <c r="B1363" s="126" t="s">
        <v>1436</v>
      </c>
      <c r="C1363" s="21" t="s">
        <v>1</v>
      </c>
      <c r="D1363" s="300">
        <v>1</v>
      </c>
      <c r="E1363" s="51">
        <f t="shared" si="483"/>
        <v>0.80867983017723555</v>
      </c>
      <c r="F1363" s="23">
        <f t="shared" si="478"/>
        <v>1.2365833333333334</v>
      </c>
      <c r="G1363" s="65">
        <f t="shared" si="484"/>
        <v>8.8954781319495915</v>
      </c>
      <c r="H1363" s="303">
        <v>67.45</v>
      </c>
      <c r="I1363" s="71">
        <f t="shared" si="485"/>
        <v>1.1000000000000001</v>
      </c>
      <c r="J1363" s="23">
        <f t="shared" si="486"/>
        <v>1.2365833333333334</v>
      </c>
      <c r="K1363" s="65">
        <f t="shared" si="487"/>
        <v>8.8954781319495915</v>
      </c>
      <c r="L1363" s="21">
        <v>600</v>
      </c>
      <c r="M1363" s="21">
        <v>660</v>
      </c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</row>
    <row r="1364" spans="1:23" s="26" customFormat="1" ht="35.25" customHeight="1" x14ac:dyDescent="0.2">
      <c r="A1364" s="219" t="s">
        <v>2472</v>
      </c>
      <c r="B1364" s="126" t="s">
        <v>1438</v>
      </c>
      <c r="C1364" s="21" t="s">
        <v>1</v>
      </c>
      <c r="D1364" s="300">
        <v>1</v>
      </c>
      <c r="E1364" s="51">
        <f t="shared" si="483"/>
        <v>0.70019838954370417</v>
      </c>
      <c r="F1364" s="23">
        <f t="shared" si="478"/>
        <v>1.4281666666666666</v>
      </c>
      <c r="G1364" s="65">
        <f t="shared" si="484"/>
        <v>7.7021822849807453</v>
      </c>
      <c r="H1364" s="303">
        <v>77.899999999999991</v>
      </c>
      <c r="I1364" s="71">
        <f t="shared" si="485"/>
        <v>1.1000000000000001</v>
      </c>
      <c r="J1364" s="23">
        <f t="shared" si="486"/>
        <v>1.4281666666666666</v>
      </c>
      <c r="K1364" s="65">
        <f t="shared" si="487"/>
        <v>7.7021822849807444</v>
      </c>
      <c r="L1364" s="21">
        <v>600</v>
      </c>
      <c r="M1364" s="21">
        <v>660</v>
      </c>
      <c r="N1364" s="285"/>
      <c r="O1364" s="285"/>
      <c r="P1364" s="285"/>
      <c r="Q1364" s="285"/>
      <c r="R1364" s="285"/>
      <c r="S1364" s="285"/>
      <c r="T1364" s="285"/>
      <c r="U1364" s="285"/>
      <c r="V1364" s="285"/>
      <c r="W1364" s="285"/>
    </row>
    <row r="1365" spans="1:23" s="26" customFormat="1" ht="35.25" customHeight="1" x14ac:dyDescent="0.2">
      <c r="A1365" s="219" t="s">
        <v>2473</v>
      </c>
      <c r="B1365" s="126" t="s">
        <v>1437</v>
      </c>
      <c r="C1365" s="21" t="s">
        <v>1</v>
      </c>
      <c r="D1365" s="300">
        <v>1</v>
      </c>
      <c r="E1365" s="51">
        <f t="shared" si="483"/>
        <v>0.49927189515290205</v>
      </c>
      <c r="F1365" s="23">
        <f>11/G1365</f>
        <v>2.0029166666666667</v>
      </c>
      <c r="G1365" s="65">
        <f t="shared" si="484"/>
        <v>5.4919908466819223</v>
      </c>
      <c r="H1365" s="303">
        <v>109.25</v>
      </c>
      <c r="I1365" s="71"/>
      <c r="J1365" s="23"/>
      <c r="K1365" s="65"/>
      <c r="L1365" s="21">
        <v>600</v>
      </c>
      <c r="M1365" s="21">
        <v>660</v>
      </c>
      <c r="N1365" s="285"/>
      <c r="O1365" s="285"/>
      <c r="P1365" s="285"/>
      <c r="Q1365" s="285"/>
      <c r="R1365" s="285"/>
      <c r="S1365" s="285"/>
      <c r="T1365" s="285"/>
      <c r="U1365" s="285"/>
      <c r="V1365" s="285"/>
      <c r="W1365" s="285"/>
    </row>
    <row r="1366" spans="1:23" s="26" customFormat="1" ht="30" customHeight="1" x14ac:dyDescent="0.2">
      <c r="A1366" s="219" t="s">
        <v>2474</v>
      </c>
      <c r="B1366" s="126" t="s">
        <v>1431</v>
      </c>
      <c r="C1366" s="21" t="s">
        <v>1</v>
      </c>
      <c r="D1366" s="300">
        <v>1</v>
      </c>
      <c r="E1366" s="51">
        <f t="shared" si="483"/>
        <v>0.47846889952153115</v>
      </c>
      <c r="F1366" s="23">
        <f t="shared" si="478"/>
        <v>2.09</v>
      </c>
      <c r="G1366" s="65">
        <f t="shared" si="484"/>
        <v>5.2631578947368425</v>
      </c>
      <c r="H1366" s="303">
        <v>114</v>
      </c>
      <c r="I1366" s="71">
        <f>M1366/L1366</f>
        <v>1.1000000000000001</v>
      </c>
      <c r="J1366" s="23">
        <f>11/K1366</f>
        <v>2.0900000000000003</v>
      </c>
      <c r="K1366" s="65">
        <f>M1366/(H1366*I1366)</f>
        <v>5.2631578947368416</v>
      </c>
      <c r="L1366" s="21">
        <v>600</v>
      </c>
      <c r="M1366" s="21">
        <v>660</v>
      </c>
      <c r="N1366" s="285"/>
      <c r="O1366" s="285"/>
      <c r="P1366" s="285"/>
      <c r="Q1366" s="285"/>
      <c r="R1366" s="285"/>
      <c r="S1366" s="285"/>
      <c r="T1366" s="285"/>
      <c r="U1366" s="285"/>
      <c r="V1366" s="285"/>
      <c r="W1366" s="285"/>
    </row>
    <row r="1367" spans="1:23" s="26" customFormat="1" ht="39.75" customHeight="1" x14ac:dyDescent="0.2">
      <c r="A1367" s="219" t="s">
        <v>2475</v>
      </c>
      <c r="B1367" s="126" t="s">
        <v>1439</v>
      </c>
      <c r="C1367" s="21" t="s">
        <v>1</v>
      </c>
      <c r="D1367" s="300">
        <v>1</v>
      </c>
      <c r="E1367" s="51">
        <f t="shared" si="483"/>
        <v>0.38277511961722488</v>
      </c>
      <c r="F1367" s="23">
        <f t="shared" si="478"/>
        <v>2.6125000000000003</v>
      </c>
      <c r="G1367" s="65">
        <f t="shared" si="484"/>
        <v>4.2105263157894735</v>
      </c>
      <c r="H1367" s="303">
        <v>142.5</v>
      </c>
      <c r="I1367" s="71">
        <f>M1367/L1367</f>
        <v>1.1000000000000001</v>
      </c>
      <c r="J1367" s="23">
        <f>11/K1367</f>
        <v>2.6125000000000003</v>
      </c>
      <c r="K1367" s="65">
        <f>M1367/(H1367*I1367)</f>
        <v>4.2105263157894735</v>
      </c>
      <c r="L1367" s="21">
        <v>600</v>
      </c>
      <c r="M1367" s="21">
        <v>660</v>
      </c>
      <c r="N1367" s="285"/>
      <c r="O1367" s="285"/>
      <c r="P1367" s="285"/>
      <c r="Q1367" s="285"/>
      <c r="R1367" s="285"/>
      <c r="S1367" s="285"/>
      <c r="T1367" s="285"/>
      <c r="U1367" s="285"/>
      <c r="V1367" s="285"/>
      <c r="W1367" s="285"/>
    </row>
    <row r="1368" spans="1:23" s="26" customFormat="1" ht="43.5" customHeight="1" x14ac:dyDescent="0.2">
      <c r="A1368" s="219" t="s">
        <v>2476</v>
      </c>
      <c r="B1368" s="126" t="s">
        <v>1440</v>
      </c>
      <c r="C1368" s="21" t="s">
        <v>1</v>
      </c>
      <c r="D1368" s="300">
        <v>1</v>
      </c>
      <c r="E1368" s="51">
        <f t="shared" si="483"/>
        <v>0.33774275260343373</v>
      </c>
      <c r="F1368" s="23">
        <f t="shared" si="478"/>
        <v>2.9608333333333334</v>
      </c>
      <c r="G1368" s="65">
        <f t="shared" si="484"/>
        <v>3.7151702786377707</v>
      </c>
      <c r="H1368" s="303">
        <v>161.5</v>
      </c>
      <c r="I1368" s="71">
        <f>M1368/L1368</f>
        <v>1.1000000000000001</v>
      </c>
      <c r="J1368" s="23">
        <f>11/K1368</f>
        <v>2.9608333333333334</v>
      </c>
      <c r="K1368" s="65">
        <f>M1368/(H1368*I1368)</f>
        <v>3.7151702786377707</v>
      </c>
      <c r="L1368" s="21">
        <v>600</v>
      </c>
      <c r="M1368" s="21">
        <v>660</v>
      </c>
      <c r="N1368" s="285"/>
      <c r="O1368" s="285"/>
      <c r="P1368" s="285"/>
      <c r="Q1368" s="285"/>
      <c r="R1368" s="285"/>
      <c r="S1368" s="285"/>
      <c r="T1368" s="285"/>
      <c r="U1368" s="285"/>
      <c r="V1368" s="285"/>
      <c r="W1368" s="285"/>
    </row>
    <row r="1369" spans="1:23" s="26" customFormat="1" ht="39.75" customHeight="1" x14ac:dyDescent="0.2">
      <c r="A1369" s="219" t="s">
        <v>2477</v>
      </c>
      <c r="B1369" s="126" t="s">
        <v>1441</v>
      </c>
      <c r="C1369" s="21" t="s">
        <v>1</v>
      </c>
      <c r="D1369" s="300">
        <v>1</v>
      </c>
      <c r="E1369" s="51">
        <f t="shared" si="483"/>
        <v>0.28708133971291866</v>
      </c>
      <c r="F1369" s="23">
        <f t="shared" si="478"/>
        <v>3.4833333333333334</v>
      </c>
      <c r="G1369" s="65">
        <f t="shared" si="484"/>
        <v>3.1578947368421053</v>
      </c>
      <c r="H1369" s="303">
        <v>190</v>
      </c>
      <c r="I1369" s="71">
        <f>M1369/L1369</f>
        <v>1.1000000000000001</v>
      </c>
      <c r="J1369" s="23">
        <f>11/K1369</f>
        <v>3.4833333333333338</v>
      </c>
      <c r="K1369" s="65">
        <f>M1369/(H1369*I1369)</f>
        <v>3.1578947368421049</v>
      </c>
      <c r="L1369" s="21">
        <v>600</v>
      </c>
      <c r="M1369" s="21">
        <v>660</v>
      </c>
      <c r="N1369" s="285"/>
      <c r="O1369" s="285"/>
      <c r="P1369" s="285"/>
      <c r="Q1369" s="285"/>
      <c r="R1369" s="285"/>
      <c r="S1369" s="285"/>
      <c r="T1369" s="285"/>
      <c r="U1369" s="285"/>
      <c r="V1369" s="285"/>
      <c r="W1369" s="285"/>
    </row>
    <row r="1370" spans="1:23" s="26" customFormat="1" ht="36.75" customHeight="1" x14ac:dyDescent="0.2">
      <c r="A1370" s="219"/>
      <c r="B1370" s="191" t="s">
        <v>1188</v>
      </c>
      <c r="C1370" s="225"/>
      <c r="D1370" s="300">
        <v>1</v>
      </c>
      <c r="E1370" s="225"/>
      <c r="F1370" s="225"/>
      <c r="G1370" s="225"/>
      <c r="H1370" s="303">
        <v>0</v>
      </c>
      <c r="I1370" s="63"/>
      <c r="J1370" s="63"/>
      <c r="K1370" s="63"/>
      <c r="L1370" s="63"/>
      <c r="M1370" s="63"/>
      <c r="N1370" s="285"/>
      <c r="O1370" s="285"/>
      <c r="P1370" s="285"/>
      <c r="Q1370" s="285"/>
      <c r="R1370" s="285"/>
      <c r="S1370" s="285"/>
      <c r="T1370" s="285"/>
      <c r="U1370" s="285"/>
      <c r="V1370" s="285"/>
      <c r="W1370" s="285"/>
    </row>
    <row r="1371" spans="1:23" s="26" customFormat="1" ht="36.75" customHeight="1" x14ac:dyDescent="0.2">
      <c r="A1371" s="219" t="s">
        <v>2478</v>
      </c>
      <c r="B1371" s="115" t="s">
        <v>1189</v>
      </c>
      <c r="C1371" s="21" t="s">
        <v>1</v>
      </c>
      <c r="D1371" s="300">
        <v>1</v>
      </c>
      <c r="E1371" s="51">
        <f t="shared" si="483"/>
        <v>38.277511961722489</v>
      </c>
      <c r="F1371" s="23">
        <f t="shared" si="478"/>
        <v>2.6124999999999999E-2</v>
      </c>
      <c r="G1371" s="65">
        <f t="shared" si="484"/>
        <v>421.0526315789474</v>
      </c>
      <c r="H1371" s="303">
        <v>1.4249999999999998</v>
      </c>
      <c r="I1371" s="71">
        <f>M1371/L1371</f>
        <v>1.1000000000000001</v>
      </c>
      <c r="J1371" s="23">
        <f>11/K1371</f>
        <v>2.6124999999999999E-2</v>
      </c>
      <c r="K1371" s="65">
        <f>M1371/(H1371*I1371)</f>
        <v>421.0526315789474</v>
      </c>
      <c r="L1371" s="21">
        <v>600</v>
      </c>
      <c r="M1371" s="21">
        <v>660</v>
      </c>
      <c r="N1371" s="285"/>
      <c r="O1371" s="285"/>
      <c r="P1371" s="285"/>
      <c r="Q1371" s="285"/>
      <c r="R1371" s="285"/>
      <c r="S1371" s="285"/>
      <c r="T1371" s="285"/>
      <c r="U1371" s="285"/>
      <c r="V1371" s="285"/>
      <c r="W1371" s="285"/>
    </row>
    <row r="1372" spans="1:23" s="26" customFormat="1" ht="37.5" customHeight="1" x14ac:dyDescent="0.2">
      <c r="A1372" s="219" t="s">
        <v>2479</v>
      </c>
      <c r="B1372" s="115" t="s">
        <v>1190</v>
      </c>
      <c r="C1372" s="21" t="s">
        <v>1</v>
      </c>
      <c r="D1372" s="300">
        <v>1</v>
      </c>
      <c r="E1372" s="51">
        <f t="shared" si="483"/>
        <v>24.114832535885167</v>
      </c>
      <c r="F1372" s="23">
        <f t="shared" si="478"/>
        <v>4.1468253968253974E-2</v>
      </c>
      <c r="G1372" s="65">
        <f t="shared" si="484"/>
        <v>265.26315789473682</v>
      </c>
      <c r="H1372" s="303">
        <v>2.2619047619047619</v>
      </c>
      <c r="I1372" s="71">
        <f>M1372/L1372</f>
        <v>1.1000000000000001</v>
      </c>
      <c r="J1372" s="23">
        <f>11/K1372</f>
        <v>4.1468253968253974E-2</v>
      </c>
      <c r="K1372" s="65">
        <f>M1372/(H1372*I1372)</f>
        <v>265.26315789473682</v>
      </c>
      <c r="L1372" s="21">
        <v>600</v>
      </c>
      <c r="M1372" s="21">
        <v>660</v>
      </c>
      <c r="N1372" s="285"/>
      <c r="O1372" s="285"/>
      <c r="P1372" s="285"/>
      <c r="Q1372" s="285"/>
      <c r="R1372" s="285"/>
      <c r="S1372" s="285"/>
      <c r="T1372" s="285"/>
      <c r="U1372" s="285"/>
      <c r="V1372" s="285"/>
      <c r="W1372" s="285"/>
    </row>
    <row r="1373" spans="1:23" s="26" customFormat="1" ht="37.5" customHeight="1" x14ac:dyDescent="0.2">
      <c r="A1373" s="219"/>
      <c r="B1373" s="191" t="s">
        <v>1200</v>
      </c>
      <c r="C1373" s="225"/>
      <c r="D1373" s="300">
        <v>1</v>
      </c>
      <c r="E1373" s="225"/>
      <c r="F1373" s="225"/>
      <c r="G1373" s="225"/>
      <c r="H1373" s="303">
        <v>0</v>
      </c>
      <c r="I1373" s="63"/>
      <c r="J1373" s="63"/>
      <c r="K1373" s="63"/>
      <c r="L1373" s="63"/>
      <c r="M1373" s="63"/>
      <c r="N1373" s="285"/>
      <c r="O1373" s="285"/>
      <c r="P1373" s="285"/>
      <c r="Q1373" s="285"/>
      <c r="R1373" s="285"/>
      <c r="S1373" s="285"/>
      <c r="T1373" s="285"/>
      <c r="U1373" s="285"/>
      <c r="V1373" s="285"/>
      <c r="W1373" s="285"/>
    </row>
    <row r="1374" spans="1:23" s="26" customFormat="1" ht="37.5" customHeight="1" x14ac:dyDescent="0.2">
      <c r="A1374" s="219" t="s">
        <v>2480</v>
      </c>
      <c r="B1374" s="192" t="s">
        <v>1194</v>
      </c>
      <c r="C1374" s="21" t="s">
        <v>1</v>
      </c>
      <c r="D1374" s="300">
        <v>1</v>
      </c>
      <c r="E1374" s="51">
        <f t="shared" si="483"/>
        <v>3.8277511961722492</v>
      </c>
      <c r="F1374" s="23">
        <f t="shared" si="478"/>
        <v>0.26124999999999998</v>
      </c>
      <c r="G1374" s="65">
        <f t="shared" si="484"/>
        <v>42.10526315789474</v>
      </c>
      <c r="H1374" s="303">
        <v>14.25</v>
      </c>
      <c r="I1374" s="71">
        <f t="shared" ref="I1374:I1387" si="488">M1374/L1374</f>
        <v>1.1000000000000001</v>
      </c>
      <c r="J1374" s="23">
        <f t="shared" ref="J1374:J1387" si="489">11/K1374</f>
        <v>0.26125000000000004</v>
      </c>
      <c r="K1374" s="65">
        <f t="shared" ref="K1374:K1387" si="490">M1374/(H1374*I1374)</f>
        <v>42.105263157894733</v>
      </c>
      <c r="L1374" s="21">
        <v>600</v>
      </c>
      <c r="M1374" s="21">
        <v>660</v>
      </c>
      <c r="N1374" s="285"/>
      <c r="O1374" s="285"/>
      <c r="P1374" s="285"/>
      <c r="Q1374" s="285"/>
      <c r="R1374" s="285"/>
      <c r="S1374" s="285"/>
      <c r="T1374" s="285"/>
      <c r="U1374" s="285"/>
      <c r="V1374" s="285"/>
      <c r="W1374" s="285"/>
    </row>
    <row r="1375" spans="1:23" s="26" customFormat="1" ht="37.5" customHeight="1" x14ac:dyDescent="0.2">
      <c r="A1375" s="219" t="s">
        <v>2481</v>
      </c>
      <c r="B1375" s="192" t="s">
        <v>1201</v>
      </c>
      <c r="C1375" s="21" t="s">
        <v>1</v>
      </c>
      <c r="D1375" s="300">
        <v>1</v>
      </c>
      <c r="E1375" s="51">
        <f t="shared" si="483"/>
        <v>2.3923444976076556</v>
      </c>
      <c r="F1375" s="23">
        <f t="shared" si="478"/>
        <v>0.41799999999999998</v>
      </c>
      <c r="G1375" s="65">
        <f t="shared" si="484"/>
        <v>26.315789473684212</v>
      </c>
      <c r="H1375" s="303">
        <v>22.799999999999997</v>
      </c>
      <c r="I1375" s="71">
        <f t="shared" si="488"/>
        <v>1.1000000000000001</v>
      </c>
      <c r="J1375" s="23">
        <f t="shared" si="489"/>
        <v>0.41799999999999998</v>
      </c>
      <c r="K1375" s="65">
        <f t="shared" si="490"/>
        <v>26.315789473684212</v>
      </c>
      <c r="L1375" s="21">
        <v>600</v>
      </c>
      <c r="M1375" s="21">
        <v>660</v>
      </c>
      <c r="N1375" s="285"/>
      <c r="O1375" s="285"/>
      <c r="P1375" s="285"/>
      <c r="Q1375" s="285"/>
      <c r="R1375" s="285"/>
      <c r="S1375" s="285"/>
      <c r="T1375" s="285"/>
      <c r="U1375" s="285"/>
      <c r="V1375" s="285"/>
      <c r="W1375" s="285"/>
    </row>
    <row r="1376" spans="1:23" s="26" customFormat="1" ht="37.5" customHeight="1" x14ac:dyDescent="0.2">
      <c r="A1376" s="219" t="s">
        <v>2482</v>
      </c>
      <c r="B1376" s="192" t="s">
        <v>1203</v>
      </c>
      <c r="C1376" s="21" t="s">
        <v>1</v>
      </c>
      <c r="D1376" s="300">
        <v>1</v>
      </c>
      <c r="E1376" s="51">
        <f t="shared" si="483"/>
        <v>1.6887137630171687</v>
      </c>
      <c r="F1376" s="23">
        <f t="shared" si="478"/>
        <v>0.59216666666666662</v>
      </c>
      <c r="G1376" s="65">
        <f t="shared" si="484"/>
        <v>18.575851393188856</v>
      </c>
      <c r="H1376" s="303">
        <v>32.299999999999997</v>
      </c>
      <c r="I1376" s="71">
        <f t="shared" si="488"/>
        <v>1.1000000000000001</v>
      </c>
      <c r="J1376" s="23">
        <f t="shared" si="489"/>
        <v>0.59216666666666673</v>
      </c>
      <c r="K1376" s="65">
        <f t="shared" si="490"/>
        <v>18.575851393188852</v>
      </c>
      <c r="L1376" s="21">
        <v>600</v>
      </c>
      <c r="M1376" s="21">
        <v>660</v>
      </c>
      <c r="N1376" s="285"/>
      <c r="O1376" s="285"/>
      <c r="P1376" s="285"/>
      <c r="Q1376" s="285"/>
      <c r="R1376" s="285"/>
      <c r="S1376" s="285"/>
      <c r="T1376" s="285"/>
      <c r="U1376" s="285"/>
      <c r="V1376" s="285"/>
      <c r="W1376" s="285"/>
    </row>
    <row r="1377" spans="1:23" s="26" customFormat="1" ht="37.5" customHeight="1" x14ac:dyDescent="0.2">
      <c r="A1377" s="219" t="s">
        <v>2483</v>
      </c>
      <c r="B1377" s="192" t="s">
        <v>1202</v>
      </c>
      <c r="C1377" s="21" t="s">
        <v>1</v>
      </c>
      <c r="D1377" s="300">
        <v>1</v>
      </c>
      <c r="E1377" s="51">
        <f t="shared" si="483"/>
        <v>2.8708133971291865</v>
      </c>
      <c r="F1377" s="23">
        <f t="shared" si="478"/>
        <v>0.34833333333333333</v>
      </c>
      <c r="G1377" s="65">
        <f t="shared" si="484"/>
        <v>31.578947368421051</v>
      </c>
      <c r="H1377" s="303">
        <v>19</v>
      </c>
      <c r="I1377" s="71">
        <f t="shared" si="488"/>
        <v>1.1000000000000001</v>
      </c>
      <c r="J1377" s="23">
        <f t="shared" si="489"/>
        <v>0.34833333333333338</v>
      </c>
      <c r="K1377" s="65">
        <f t="shared" si="490"/>
        <v>31.578947368421048</v>
      </c>
      <c r="L1377" s="21">
        <v>600</v>
      </c>
      <c r="M1377" s="21">
        <v>660</v>
      </c>
      <c r="N1377" s="285"/>
      <c r="O1377" s="285"/>
      <c r="P1377" s="285"/>
      <c r="Q1377" s="285"/>
      <c r="R1377" s="285"/>
      <c r="S1377" s="285"/>
      <c r="T1377" s="285"/>
      <c r="U1377" s="285"/>
      <c r="V1377" s="285"/>
      <c r="W1377" s="285"/>
    </row>
    <row r="1378" spans="1:23" s="26" customFormat="1" ht="37.5" customHeight="1" x14ac:dyDescent="0.2">
      <c r="A1378" s="219" t="s">
        <v>2484</v>
      </c>
      <c r="B1378" s="192" t="s">
        <v>1204</v>
      </c>
      <c r="C1378" s="21" t="s">
        <v>1</v>
      </c>
      <c r="D1378" s="300">
        <v>1</v>
      </c>
      <c r="E1378" s="51">
        <f t="shared" si="483"/>
        <v>1.883971291866029</v>
      </c>
      <c r="F1378" s="23">
        <f t="shared" si="478"/>
        <v>0.53079365079365071</v>
      </c>
      <c r="G1378" s="65">
        <f t="shared" si="484"/>
        <v>20.723684210526319</v>
      </c>
      <c r="H1378" s="303">
        <v>28.952380952380949</v>
      </c>
      <c r="I1378" s="71">
        <f t="shared" si="488"/>
        <v>1.1000000000000001</v>
      </c>
      <c r="J1378" s="23">
        <f t="shared" si="489"/>
        <v>0.53079365079365082</v>
      </c>
      <c r="K1378" s="65">
        <f t="shared" si="490"/>
        <v>20.723684210526315</v>
      </c>
      <c r="L1378" s="21">
        <v>600</v>
      </c>
      <c r="M1378" s="21">
        <v>660</v>
      </c>
      <c r="N1378" s="285"/>
      <c r="O1378" s="285"/>
      <c r="P1378" s="285"/>
      <c r="Q1378" s="285"/>
      <c r="R1378" s="285"/>
      <c r="S1378" s="285"/>
      <c r="T1378" s="285"/>
      <c r="U1378" s="285"/>
      <c r="V1378" s="285"/>
      <c r="W1378" s="285"/>
    </row>
    <row r="1379" spans="1:23" s="26" customFormat="1" ht="37.5" customHeight="1" x14ac:dyDescent="0.2">
      <c r="A1379" s="219" t="s">
        <v>2485</v>
      </c>
      <c r="B1379" s="192" t="s">
        <v>1205</v>
      </c>
      <c r="C1379" s="21" t="s">
        <v>1</v>
      </c>
      <c r="D1379" s="300">
        <v>1</v>
      </c>
      <c r="E1379" s="51">
        <f t="shared" si="483"/>
        <v>1.5071770334928229</v>
      </c>
      <c r="F1379" s="23">
        <f t="shared" si="478"/>
        <v>0.66349206349206358</v>
      </c>
      <c r="G1379" s="65">
        <f t="shared" si="484"/>
        <v>16.578947368421051</v>
      </c>
      <c r="H1379" s="303">
        <v>36.190476190476197</v>
      </c>
      <c r="I1379" s="71">
        <f t="shared" si="488"/>
        <v>1.1000000000000001</v>
      </c>
      <c r="J1379" s="23">
        <f t="shared" si="489"/>
        <v>0.66349206349206369</v>
      </c>
      <c r="K1379" s="65">
        <f t="shared" si="490"/>
        <v>16.578947368421048</v>
      </c>
      <c r="L1379" s="21">
        <v>600</v>
      </c>
      <c r="M1379" s="21">
        <v>660</v>
      </c>
      <c r="N1379" s="285"/>
      <c r="O1379" s="285"/>
      <c r="P1379" s="285"/>
      <c r="Q1379" s="285"/>
      <c r="R1379" s="285"/>
      <c r="S1379" s="285"/>
      <c r="T1379" s="285"/>
      <c r="U1379" s="285"/>
      <c r="V1379" s="285"/>
      <c r="W1379" s="285"/>
    </row>
    <row r="1380" spans="1:23" s="26" customFormat="1" ht="37.5" customHeight="1" x14ac:dyDescent="0.2">
      <c r="A1380" s="106" t="s">
        <v>2486</v>
      </c>
      <c r="B1380" s="120" t="s">
        <v>1206</v>
      </c>
      <c r="C1380" s="21" t="s">
        <v>1</v>
      </c>
      <c r="D1380" s="300">
        <v>1</v>
      </c>
      <c r="E1380" s="51">
        <f t="shared" si="483"/>
        <v>2.7272727272727271</v>
      </c>
      <c r="F1380" s="23">
        <f t="shared" si="478"/>
        <v>0.36666666666666664</v>
      </c>
      <c r="G1380" s="65">
        <f t="shared" si="484"/>
        <v>30</v>
      </c>
      <c r="H1380" s="77">
        <v>20</v>
      </c>
      <c r="I1380" s="71">
        <f t="shared" si="488"/>
        <v>1.1000000000000001</v>
      </c>
      <c r="J1380" s="23">
        <f t="shared" si="489"/>
        <v>0.36666666666666664</v>
      </c>
      <c r="K1380" s="65">
        <f t="shared" si="490"/>
        <v>30</v>
      </c>
      <c r="L1380" s="21">
        <v>600</v>
      </c>
      <c r="M1380" s="21">
        <v>660</v>
      </c>
      <c r="N1380" s="285"/>
      <c r="O1380" s="285"/>
      <c r="P1380" s="285"/>
      <c r="Q1380" s="285"/>
      <c r="R1380" s="285"/>
      <c r="S1380" s="285"/>
      <c r="T1380" s="285"/>
      <c r="U1380" s="285"/>
      <c r="V1380" s="285"/>
      <c r="W1380" s="285"/>
    </row>
    <row r="1381" spans="1:23" s="26" customFormat="1" ht="37.5" customHeight="1" x14ac:dyDescent="0.2">
      <c r="A1381" s="106" t="s">
        <v>2487</v>
      </c>
      <c r="B1381" s="120" t="s">
        <v>1207</v>
      </c>
      <c r="C1381" s="21" t="s">
        <v>1</v>
      </c>
      <c r="D1381" s="300">
        <v>1</v>
      </c>
      <c r="E1381" s="51">
        <f t="shared" si="483"/>
        <v>1.9480519480519478</v>
      </c>
      <c r="F1381" s="23">
        <f t="shared" si="478"/>
        <v>0.51333333333333342</v>
      </c>
      <c r="G1381" s="65">
        <f t="shared" si="484"/>
        <v>21.428571428571427</v>
      </c>
      <c r="H1381" s="77">
        <v>28</v>
      </c>
      <c r="I1381" s="71">
        <f t="shared" si="488"/>
        <v>1.1000000000000001</v>
      </c>
      <c r="J1381" s="23">
        <f t="shared" si="489"/>
        <v>0.51333333333333342</v>
      </c>
      <c r="K1381" s="65">
        <f t="shared" si="490"/>
        <v>21.428571428571427</v>
      </c>
      <c r="L1381" s="21">
        <v>600</v>
      </c>
      <c r="M1381" s="21">
        <v>660</v>
      </c>
      <c r="N1381" s="285"/>
      <c r="O1381" s="285"/>
      <c r="P1381" s="285"/>
      <c r="Q1381" s="285"/>
      <c r="R1381" s="285"/>
      <c r="S1381" s="285"/>
      <c r="T1381" s="285"/>
      <c r="U1381" s="285"/>
      <c r="V1381" s="285"/>
      <c r="W1381" s="285"/>
    </row>
    <row r="1382" spans="1:23" s="26" customFormat="1" ht="37.5" customHeight="1" x14ac:dyDescent="0.2">
      <c r="A1382" s="106" t="s">
        <v>2488</v>
      </c>
      <c r="B1382" s="120" t="s">
        <v>1208</v>
      </c>
      <c r="C1382" s="21" t="s">
        <v>1</v>
      </c>
      <c r="D1382" s="300">
        <v>1</v>
      </c>
      <c r="E1382" s="51">
        <f t="shared" si="483"/>
        <v>2.2727272727272729</v>
      </c>
      <c r="F1382" s="23">
        <f t="shared" si="478"/>
        <v>0.44</v>
      </c>
      <c r="G1382" s="65">
        <f t="shared" si="484"/>
        <v>25</v>
      </c>
      <c r="H1382" s="77">
        <v>24</v>
      </c>
      <c r="I1382" s="71">
        <f t="shared" si="488"/>
        <v>1.1000000000000001</v>
      </c>
      <c r="J1382" s="23">
        <f t="shared" si="489"/>
        <v>0.44000000000000006</v>
      </c>
      <c r="K1382" s="65">
        <f t="shared" si="490"/>
        <v>24.999999999999996</v>
      </c>
      <c r="L1382" s="21">
        <v>600</v>
      </c>
      <c r="M1382" s="21">
        <v>660</v>
      </c>
      <c r="N1382" s="285"/>
      <c r="O1382" s="285"/>
      <c r="P1382" s="285"/>
      <c r="Q1382" s="285"/>
      <c r="R1382" s="285"/>
      <c r="S1382" s="285"/>
      <c r="T1382" s="285"/>
      <c r="U1382" s="285"/>
      <c r="V1382" s="285"/>
      <c r="W1382" s="285"/>
    </row>
    <row r="1383" spans="1:23" s="26" customFormat="1" ht="37.5" customHeight="1" x14ac:dyDescent="0.2">
      <c r="A1383" s="106" t="s">
        <v>2489</v>
      </c>
      <c r="B1383" s="120" t="s">
        <v>1209</v>
      </c>
      <c r="C1383" s="21" t="s">
        <v>1</v>
      </c>
      <c r="D1383" s="300">
        <v>1</v>
      </c>
      <c r="E1383" s="51">
        <f t="shared" si="483"/>
        <v>1.3636363636363635</v>
      </c>
      <c r="F1383" s="23">
        <f t="shared" si="478"/>
        <v>0.73333333333333328</v>
      </c>
      <c r="G1383" s="65">
        <f t="shared" si="484"/>
        <v>15</v>
      </c>
      <c r="H1383" s="77">
        <v>40</v>
      </c>
      <c r="I1383" s="71">
        <f t="shared" si="488"/>
        <v>1.1000000000000001</v>
      </c>
      <c r="J1383" s="23">
        <f t="shared" si="489"/>
        <v>0.73333333333333328</v>
      </c>
      <c r="K1383" s="65">
        <f t="shared" si="490"/>
        <v>15</v>
      </c>
      <c r="L1383" s="21">
        <v>600</v>
      </c>
      <c r="M1383" s="21">
        <v>660</v>
      </c>
      <c r="N1383" s="285"/>
      <c r="O1383" s="285"/>
      <c r="P1383" s="285"/>
      <c r="Q1383" s="285"/>
      <c r="R1383" s="285"/>
      <c r="S1383" s="285"/>
      <c r="T1383" s="285"/>
      <c r="U1383" s="285"/>
      <c r="V1383" s="285"/>
      <c r="W1383" s="285"/>
    </row>
    <row r="1384" spans="1:23" s="26" customFormat="1" ht="37.5" customHeight="1" x14ac:dyDescent="0.2">
      <c r="A1384" s="106" t="s">
        <v>2490</v>
      </c>
      <c r="B1384" s="120" t="s">
        <v>1210</v>
      </c>
      <c r="C1384" s="21" t="s">
        <v>1</v>
      </c>
      <c r="D1384" s="300">
        <v>1</v>
      </c>
      <c r="E1384" s="51">
        <f t="shared" si="483"/>
        <v>2.3863636363636362</v>
      </c>
      <c r="F1384" s="23">
        <f t="shared" si="478"/>
        <v>0.41904761904761906</v>
      </c>
      <c r="G1384" s="65">
        <f t="shared" si="484"/>
        <v>26.25</v>
      </c>
      <c r="H1384" s="79">
        <v>22.857142857142858</v>
      </c>
      <c r="I1384" s="71">
        <f t="shared" si="488"/>
        <v>1.1000000000000001</v>
      </c>
      <c r="J1384" s="23">
        <f t="shared" si="489"/>
        <v>0.41904761904761911</v>
      </c>
      <c r="K1384" s="65">
        <f t="shared" si="490"/>
        <v>26.249999999999996</v>
      </c>
      <c r="L1384" s="21">
        <v>600</v>
      </c>
      <c r="M1384" s="21">
        <v>660</v>
      </c>
      <c r="N1384" s="285"/>
      <c r="O1384" s="285"/>
      <c r="P1384" s="285"/>
      <c r="Q1384" s="285"/>
      <c r="R1384" s="285"/>
      <c r="S1384" s="285"/>
      <c r="T1384" s="285"/>
      <c r="U1384" s="285"/>
      <c r="V1384" s="285"/>
      <c r="W1384" s="285"/>
    </row>
    <row r="1385" spans="1:23" s="26" customFormat="1" ht="30" customHeight="1" x14ac:dyDescent="0.2">
      <c r="A1385" s="106" t="s">
        <v>2491</v>
      </c>
      <c r="B1385" s="120" t="s">
        <v>1211</v>
      </c>
      <c r="C1385" s="21" t="s">
        <v>1</v>
      </c>
      <c r="D1385" s="300">
        <v>1</v>
      </c>
      <c r="E1385" s="51">
        <f t="shared" si="483"/>
        <v>1.6042780748663104</v>
      </c>
      <c r="F1385" s="23">
        <f t="shared" si="478"/>
        <v>0.62333333333333329</v>
      </c>
      <c r="G1385" s="65">
        <f t="shared" si="484"/>
        <v>17.647058823529413</v>
      </c>
      <c r="H1385" s="77">
        <v>34</v>
      </c>
      <c r="I1385" s="71">
        <f t="shared" si="488"/>
        <v>1.1000000000000001</v>
      </c>
      <c r="J1385" s="23">
        <f t="shared" si="489"/>
        <v>0.62333333333333341</v>
      </c>
      <c r="K1385" s="65">
        <f t="shared" si="490"/>
        <v>17.647058823529409</v>
      </c>
      <c r="L1385" s="21">
        <v>600</v>
      </c>
      <c r="M1385" s="21">
        <v>660</v>
      </c>
      <c r="N1385" s="285"/>
      <c r="O1385" s="285"/>
      <c r="P1385" s="285"/>
      <c r="Q1385" s="285"/>
      <c r="R1385" s="285"/>
      <c r="S1385" s="285"/>
      <c r="T1385" s="285"/>
      <c r="U1385" s="285"/>
      <c r="V1385" s="285"/>
      <c r="W1385" s="285"/>
    </row>
    <row r="1386" spans="1:23" s="26" customFormat="1" ht="30" customHeight="1" x14ac:dyDescent="0.2">
      <c r="A1386" s="106" t="s">
        <v>2492</v>
      </c>
      <c r="B1386" s="120" t="s">
        <v>1212</v>
      </c>
      <c r="C1386" s="21" t="s">
        <v>1</v>
      </c>
      <c r="D1386" s="300">
        <v>1</v>
      </c>
      <c r="E1386" s="51">
        <f t="shared" si="483"/>
        <v>2.0454545454545459</v>
      </c>
      <c r="F1386" s="23">
        <f t="shared" si="478"/>
        <v>0.48888888888888882</v>
      </c>
      <c r="G1386" s="65">
        <f t="shared" si="484"/>
        <v>22.500000000000004</v>
      </c>
      <c r="H1386" s="79">
        <v>26.666666666666664</v>
      </c>
      <c r="I1386" s="71">
        <f t="shared" si="488"/>
        <v>1.1000000000000001</v>
      </c>
      <c r="J1386" s="23">
        <f t="shared" si="489"/>
        <v>0.48888888888888887</v>
      </c>
      <c r="K1386" s="65">
        <f t="shared" si="490"/>
        <v>22.5</v>
      </c>
      <c r="L1386" s="21">
        <v>600</v>
      </c>
      <c r="M1386" s="21">
        <v>660</v>
      </c>
      <c r="N1386" s="285"/>
      <c r="O1386" s="285"/>
      <c r="P1386" s="285"/>
      <c r="Q1386" s="285"/>
      <c r="R1386" s="285"/>
      <c r="S1386" s="285"/>
      <c r="T1386" s="285"/>
      <c r="U1386" s="285"/>
      <c r="V1386" s="285"/>
      <c r="W1386" s="285"/>
    </row>
    <row r="1387" spans="1:23" s="26" customFormat="1" ht="30" customHeight="1" x14ac:dyDescent="0.2">
      <c r="A1387" s="106" t="s">
        <v>2493</v>
      </c>
      <c r="B1387" s="120" t="s">
        <v>1213</v>
      </c>
      <c r="C1387" s="21" t="s">
        <v>1</v>
      </c>
      <c r="D1387" s="300">
        <v>1</v>
      </c>
      <c r="E1387" s="51">
        <f t="shared" si="483"/>
        <v>1.1931818181818181</v>
      </c>
      <c r="F1387" s="23">
        <f t="shared" si="478"/>
        <v>0.83809523809523812</v>
      </c>
      <c r="G1387" s="65">
        <f t="shared" si="484"/>
        <v>13.125</v>
      </c>
      <c r="H1387" s="79">
        <v>45.714285714285715</v>
      </c>
      <c r="I1387" s="71">
        <f t="shared" si="488"/>
        <v>1.1000000000000001</v>
      </c>
      <c r="J1387" s="23">
        <f t="shared" si="489"/>
        <v>0.83809523809523823</v>
      </c>
      <c r="K1387" s="65">
        <f t="shared" si="490"/>
        <v>13.124999999999998</v>
      </c>
      <c r="L1387" s="21">
        <v>600</v>
      </c>
      <c r="M1387" s="21">
        <v>660</v>
      </c>
      <c r="N1387" s="285"/>
      <c r="O1387" s="285"/>
      <c r="P1387" s="285"/>
      <c r="Q1387" s="285"/>
      <c r="R1387" s="285"/>
      <c r="S1387" s="285"/>
      <c r="T1387" s="285"/>
      <c r="U1387" s="285"/>
      <c r="V1387" s="285"/>
      <c r="W1387" s="285"/>
    </row>
    <row r="1388" spans="1:23" s="26" customFormat="1" ht="30" customHeight="1" x14ac:dyDescent="0.2">
      <c r="A1388" s="106"/>
      <c r="B1388" s="191" t="s">
        <v>1187</v>
      </c>
      <c r="C1388" s="229"/>
      <c r="D1388" s="300">
        <v>1</v>
      </c>
      <c r="E1388" s="229"/>
      <c r="F1388" s="229"/>
      <c r="G1388" s="229"/>
      <c r="H1388" s="229"/>
      <c r="I1388" s="63"/>
      <c r="J1388" s="63"/>
      <c r="K1388" s="63"/>
      <c r="L1388" s="63"/>
      <c r="M1388" s="63"/>
      <c r="N1388" s="285"/>
      <c r="O1388" s="285"/>
      <c r="P1388" s="285"/>
      <c r="Q1388" s="285"/>
      <c r="R1388" s="285"/>
      <c r="S1388" s="285"/>
      <c r="T1388" s="285"/>
      <c r="U1388" s="285"/>
      <c r="V1388" s="285"/>
      <c r="W1388" s="285"/>
    </row>
    <row r="1389" spans="1:23" s="26" customFormat="1" ht="30" customHeight="1" x14ac:dyDescent="0.2">
      <c r="A1389" s="106" t="s">
        <v>2494</v>
      </c>
      <c r="B1389" s="120" t="s">
        <v>1199</v>
      </c>
      <c r="C1389" s="21" t="s">
        <v>1</v>
      </c>
      <c r="D1389" s="300">
        <v>1</v>
      </c>
      <c r="E1389" s="51">
        <f t="shared" si="483"/>
        <v>7.1590909090909092</v>
      </c>
      <c r="F1389" s="23">
        <f t="shared" si="478"/>
        <v>0.13968253968253969</v>
      </c>
      <c r="G1389" s="65">
        <f t="shared" si="484"/>
        <v>78.75</v>
      </c>
      <c r="H1389" s="79">
        <v>7.6190476190476186</v>
      </c>
      <c r="I1389" s="71">
        <f>M1389/L1389</f>
        <v>1.1000000000000001</v>
      </c>
      <c r="J1389" s="23">
        <f>11/K1389</f>
        <v>0.13968253968253969</v>
      </c>
      <c r="K1389" s="65">
        <f>M1389/(H1389*I1389)</f>
        <v>78.75</v>
      </c>
      <c r="L1389" s="21">
        <v>600</v>
      </c>
      <c r="M1389" s="21">
        <v>660</v>
      </c>
      <c r="N1389" s="285"/>
      <c r="O1389" s="285"/>
      <c r="P1389" s="285"/>
      <c r="Q1389" s="285"/>
      <c r="R1389" s="285"/>
      <c r="S1389" s="285"/>
      <c r="T1389" s="285"/>
      <c r="U1389" s="285"/>
      <c r="V1389" s="285"/>
      <c r="W1389" s="285"/>
    </row>
    <row r="1390" spans="1:23" s="26" customFormat="1" ht="30" customHeight="1" x14ac:dyDescent="0.2">
      <c r="A1390" s="106" t="s">
        <v>2495</v>
      </c>
      <c r="B1390" s="111" t="s">
        <v>1195</v>
      </c>
      <c r="C1390" s="21" t="s">
        <v>1</v>
      </c>
      <c r="D1390" s="300">
        <v>1</v>
      </c>
      <c r="E1390" s="51">
        <f t="shared" si="483"/>
        <v>1.9090909090909092</v>
      </c>
      <c r="F1390" s="23">
        <f t="shared" si="478"/>
        <v>0.52380952380952384</v>
      </c>
      <c r="G1390" s="65">
        <f t="shared" si="484"/>
        <v>21</v>
      </c>
      <c r="H1390" s="79">
        <v>28.571428571428569</v>
      </c>
      <c r="I1390" s="71">
        <f>M1390/L1390</f>
        <v>1.1000000000000001</v>
      </c>
      <c r="J1390" s="23">
        <f>11/K1390</f>
        <v>0.52380952380952384</v>
      </c>
      <c r="K1390" s="65">
        <f>M1390/(H1390*I1390)</f>
        <v>21</v>
      </c>
      <c r="L1390" s="21">
        <v>600</v>
      </c>
      <c r="M1390" s="21">
        <v>660</v>
      </c>
      <c r="N1390" s="285"/>
      <c r="O1390" s="285"/>
      <c r="P1390" s="285"/>
      <c r="Q1390" s="285"/>
      <c r="R1390" s="285"/>
      <c r="S1390" s="285"/>
      <c r="T1390" s="285"/>
      <c r="U1390" s="285"/>
      <c r="V1390" s="285"/>
      <c r="W1390" s="285"/>
    </row>
    <row r="1391" spans="1:23" s="26" customFormat="1" ht="30" customHeight="1" x14ac:dyDescent="0.2">
      <c r="A1391" s="106" t="s">
        <v>2496</v>
      </c>
      <c r="B1391" s="111" t="s">
        <v>1196</v>
      </c>
      <c r="C1391" s="21" t="s">
        <v>1</v>
      </c>
      <c r="D1391" s="300">
        <v>1</v>
      </c>
      <c r="E1391" s="51">
        <f t="shared" si="483"/>
        <v>0.90909090909090906</v>
      </c>
      <c r="F1391" s="23">
        <f t="shared" si="478"/>
        <v>1.1000000000000001</v>
      </c>
      <c r="G1391" s="65">
        <f t="shared" si="484"/>
        <v>10</v>
      </c>
      <c r="H1391" s="79">
        <v>60</v>
      </c>
      <c r="I1391" s="71">
        <f>M1391/L1391</f>
        <v>1.1000000000000001</v>
      </c>
      <c r="J1391" s="23">
        <f>11/K1391</f>
        <v>1.1000000000000001</v>
      </c>
      <c r="K1391" s="65">
        <f>M1391/(H1391*I1391)</f>
        <v>10</v>
      </c>
      <c r="L1391" s="21">
        <v>600</v>
      </c>
      <c r="M1391" s="21">
        <v>660</v>
      </c>
      <c r="N1391" s="285"/>
      <c r="O1391" s="285"/>
      <c r="P1391" s="285"/>
      <c r="Q1391" s="285"/>
      <c r="R1391" s="285"/>
      <c r="S1391" s="285"/>
      <c r="T1391" s="285"/>
      <c r="U1391" s="285"/>
      <c r="V1391" s="285"/>
      <c r="W1391" s="285"/>
    </row>
    <row r="1392" spans="1:23" s="26" customFormat="1" ht="30" customHeight="1" x14ac:dyDescent="0.2">
      <c r="A1392" s="106" t="s">
        <v>2497</v>
      </c>
      <c r="B1392" s="111" t="s">
        <v>1197</v>
      </c>
      <c r="C1392" s="21" t="s">
        <v>1</v>
      </c>
      <c r="D1392" s="300">
        <v>1</v>
      </c>
      <c r="E1392" s="51">
        <f t="shared" si="483"/>
        <v>1.4354066985645932</v>
      </c>
      <c r="F1392" s="23">
        <f t="shared" si="478"/>
        <v>0.69666666666666666</v>
      </c>
      <c r="G1392" s="65">
        <f t="shared" si="484"/>
        <v>15.789473684210526</v>
      </c>
      <c r="H1392" s="79">
        <v>38</v>
      </c>
      <c r="I1392" s="71">
        <f>M1392/L1392</f>
        <v>1.1000000000000001</v>
      </c>
      <c r="J1392" s="23">
        <f>11/K1392</f>
        <v>0.69666666666666677</v>
      </c>
      <c r="K1392" s="65">
        <f>M1392/(H1392*I1392)</f>
        <v>15.789473684210524</v>
      </c>
      <c r="L1392" s="21">
        <v>600</v>
      </c>
      <c r="M1392" s="21">
        <v>660</v>
      </c>
      <c r="N1392" s="285"/>
      <c r="O1392" s="285"/>
      <c r="P1392" s="285"/>
      <c r="Q1392" s="285"/>
      <c r="R1392" s="285"/>
      <c r="S1392" s="285"/>
      <c r="T1392" s="285"/>
      <c r="U1392" s="285"/>
      <c r="V1392" s="285"/>
      <c r="W1392" s="285"/>
    </row>
    <row r="1393" spans="1:23" s="26" customFormat="1" ht="30" customHeight="1" x14ac:dyDescent="0.2">
      <c r="A1393" s="106" t="s">
        <v>2498</v>
      </c>
      <c r="B1393" s="111" t="s">
        <v>1198</v>
      </c>
      <c r="C1393" s="21" t="s">
        <v>1</v>
      </c>
      <c r="D1393" s="300">
        <v>1</v>
      </c>
      <c r="E1393" s="51">
        <f t="shared" si="483"/>
        <v>0.7371007371007372</v>
      </c>
      <c r="F1393" s="23">
        <f t="shared" si="478"/>
        <v>1.3566666666666665</v>
      </c>
      <c r="G1393" s="65">
        <f t="shared" si="484"/>
        <v>8.1081081081081088</v>
      </c>
      <c r="H1393" s="79">
        <v>74</v>
      </c>
      <c r="I1393" s="71">
        <f>M1393/L1393</f>
        <v>1.1000000000000001</v>
      </c>
      <c r="J1393" s="23">
        <f>11/K1393</f>
        <v>1.3566666666666669</v>
      </c>
      <c r="K1393" s="65">
        <f>M1393/(H1393*I1393)</f>
        <v>8.108108108108107</v>
      </c>
      <c r="L1393" s="21">
        <v>600</v>
      </c>
      <c r="M1393" s="21">
        <v>660</v>
      </c>
      <c r="N1393" s="285"/>
      <c r="O1393" s="285"/>
      <c r="P1393" s="285"/>
      <c r="Q1393" s="285"/>
      <c r="R1393" s="285"/>
      <c r="S1393" s="285"/>
      <c r="T1393" s="285"/>
      <c r="U1393" s="285"/>
      <c r="V1393" s="285"/>
      <c r="W1393" s="285"/>
    </row>
    <row r="1394" spans="1:23" s="26" customFormat="1" ht="30" customHeight="1" x14ac:dyDescent="0.2">
      <c r="A1394" s="106"/>
      <c r="B1394" s="193" t="s">
        <v>674</v>
      </c>
      <c r="C1394" s="33"/>
      <c r="D1394" s="300">
        <v>1</v>
      </c>
      <c r="E1394" s="33"/>
      <c r="F1394" s="33"/>
      <c r="G1394" s="33"/>
      <c r="H1394" s="226"/>
      <c r="I1394" s="63"/>
      <c r="J1394" s="63"/>
      <c r="K1394" s="63"/>
      <c r="L1394" s="63"/>
      <c r="M1394" s="63"/>
      <c r="N1394" s="285"/>
      <c r="O1394" s="285"/>
      <c r="P1394" s="285"/>
      <c r="Q1394" s="285"/>
      <c r="R1394" s="285"/>
      <c r="S1394" s="285"/>
      <c r="T1394" s="285"/>
      <c r="U1394" s="285"/>
      <c r="V1394" s="285"/>
      <c r="W1394" s="285"/>
    </row>
    <row r="1395" spans="1:23" s="26" customFormat="1" ht="30" customHeight="1" x14ac:dyDescent="0.2">
      <c r="A1395" s="106" t="s">
        <v>2499</v>
      </c>
      <c r="B1395" s="194" t="s">
        <v>706</v>
      </c>
      <c r="C1395" s="66" t="s">
        <v>8</v>
      </c>
      <c r="D1395" s="300">
        <v>1</v>
      </c>
      <c r="E1395" s="51">
        <f t="shared" ref="E1395:E1423" si="491">G1395/11</f>
        <v>21.818181818181817</v>
      </c>
      <c r="F1395" s="23">
        <f t="shared" ref="F1395:G1423" si="492">J1395</f>
        <v>4.583333333333333E-2</v>
      </c>
      <c r="G1395" s="65">
        <f t="shared" si="492"/>
        <v>240</v>
      </c>
      <c r="H1395" s="77">
        <v>2.5</v>
      </c>
      <c r="I1395" s="71">
        <f t="shared" ref="I1395:I1423" si="493">M1395/L1395</f>
        <v>1.1000000000000001</v>
      </c>
      <c r="J1395" s="23">
        <f t="shared" ref="J1395:J1423" si="494">11/K1395</f>
        <v>4.583333333333333E-2</v>
      </c>
      <c r="K1395" s="65">
        <f t="shared" ref="K1395:K1423" si="495">M1395/(H1395*I1395)</f>
        <v>240</v>
      </c>
      <c r="L1395" s="21">
        <v>600</v>
      </c>
      <c r="M1395" s="21">
        <v>660</v>
      </c>
      <c r="N1395" s="285"/>
      <c r="O1395" s="285"/>
      <c r="P1395" s="285"/>
      <c r="Q1395" s="285"/>
      <c r="R1395" s="285"/>
      <c r="S1395" s="285"/>
      <c r="T1395" s="285"/>
      <c r="U1395" s="285"/>
      <c r="V1395" s="285"/>
      <c r="W1395" s="285"/>
    </row>
    <row r="1396" spans="1:23" s="26" customFormat="1" ht="30" customHeight="1" x14ac:dyDescent="0.2">
      <c r="A1396" s="106" t="s">
        <v>2500</v>
      </c>
      <c r="B1396" s="194" t="s">
        <v>705</v>
      </c>
      <c r="C1396" s="66" t="s">
        <v>8</v>
      </c>
      <c r="D1396" s="300">
        <v>1</v>
      </c>
      <c r="E1396" s="51">
        <f t="shared" si="491"/>
        <v>21.818181818181817</v>
      </c>
      <c r="F1396" s="23">
        <f t="shared" si="492"/>
        <v>4.583333333333333E-2</v>
      </c>
      <c r="G1396" s="65">
        <f t="shared" si="492"/>
        <v>240</v>
      </c>
      <c r="H1396" s="77">
        <v>2.5</v>
      </c>
      <c r="I1396" s="71">
        <f t="shared" si="493"/>
        <v>1.1000000000000001</v>
      </c>
      <c r="J1396" s="23">
        <f t="shared" si="494"/>
        <v>4.583333333333333E-2</v>
      </c>
      <c r="K1396" s="65">
        <f t="shared" si="495"/>
        <v>240</v>
      </c>
      <c r="L1396" s="21">
        <v>600</v>
      </c>
      <c r="M1396" s="21">
        <v>660</v>
      </c>
      <c r="N1396" s="285"/>
      <c r="O1396" s="285"/>
      <c r="P1396" s="285"/>
      <c r="Q1396" s="285"/>
      <c r="R1396" s="285"/>
      <c r="S1396" s="285"/>
      <c r="T1396" s="285"/>
      <c r="U1396" s="285"/>
      <c r="V1396" s="285"/>
      <c r="W1396" s="285"/>
    </row>
    <row r="1397" spans="1:23" s="26" customFormat="1" ht="30" customHeight="1" x14ac:dyDescent="0.2">
      <c r="A1397" s="106" t="s">
        <v>2501</v>
      </c>
      <c r="B1397" s="194" t="s">
        <v>707</v>
      </c>
      <c r="C1397" s="66" t="s">
        <v>8</v>
      </c>
      <c r="D1397" s="300">
        <v>1</v>
      </c>
      <c r="E1397" s="51">
        <f t="shared" si="491"/>
        <v>21.818181818181817</v>
      </c>
      <c r="F1397" s="23">
        <f t="shared" si="492"/>
        <v>4.583333333333333E-2</v>
      </c>
      <c r="G1397" s="65">
        <f t="shared" si="492"/>
        <v>240</v>
      </c>
      <c r="H1397" s="77">
        <v>2.5</v>
      </c>
      <c r="I1397" s="71">
        <f t="shared" si="493"/>
        <v>1.1000000000000001</v>
      </c>
      <c r="J1397" s="23">
        <f t="shared" si="494"/>
        <v>4.583333333333333E-2</v>
      </c>
      <c r="K1397" s="65">
        <f t="shared" si="495"/>
        <v>240</v>
      </c>
      <c r="L1397" s="21">
        <v>600</v>
      </c>
      <c r="M1397" s="21">
        <v>660</v>
      </c>
      <c r="N1397" s="285"/>
      <c r="O1397" s="285"/>
      <c r="P1397" s="285"/>
      <c r="Q1397" s="285"/>
      <c r="R1397" s="285"/>
      <c r="S1397" s="285"/>
      <c r="T1397" s="285"/>
      <c r="U1397" s="285"/>
      <c r="V1397" s="285"/>
      <c r="W1397" s="285"/>
    </row>
    <row r="1398" spans="1:23" s="26" customFormat="1" ht="30" customHeight="1" x14ac:dyDescent="0.2">
      <c r="A1398" s="106" t="s">
        <v>2502</v>
      </c>
      <c r="B1398" s="194" t="s">
        <v>708</v>
      </c>
      <c r="C1398" s="66" t="s">
        <v>8</v>
      </c>
      <c r="D1398" s="300">
        <v>1</v>
      </c>
      <c r="E1398" s="51">
        <f t="shared" si="491"/>
        <v>21.818181818181817</v>
      </c>
      <c r="F1398" s="23">
        <f t="shared" si="492"/>
        <v>4.583333333333333E-2</v>
      </c>
      <c r="G1398" s="65">
        <f t="shared" si="492"/>
        <v>240</v>
      </c>
      <c r="H1398" s="77">
        <v>2.5</v>
      </c>
      <c r="I1398" s="71">
        <f t="shared" si="493"/>
        <v>1.1000000000000001</v>
      </c>
      <c r="J1398" s="23">
        <f t="shared" si="494"/>
        <v>4.583333333333333E-2</v>
      </c>
      <c r="K1398" s="65">
        <f t="shared" si="495"/>
        <v>240</v>
      </c>
      <c r="L1398" s="21">
        <v>600</v>
      </c>
      <c r="M1398" s="21">
        <v>660</v>
      </c>
      <c r="N1398" s="285"/>
      <c r="O1398" s="285"/>
      <c r="P1398" s="285"/>
      <c r="Q1398" s="285"/>
      <c r="R1398" s="285"/>
      <c r="S1398" s="285"/>
      <c r="T1398" s="285"/>
      <c r="U1398" s="285"/>
      <c r="V1398" s="285"/>
      <c r="W1398" s="285"/>
    </row>
    <row r="1399" spans="1:23" s="26" customFormat="1" ht="30" customHeight="1" x14ac:dyDescent="0.2">
      <c r="A1399" s="106" t="s">
        <v>2503</v>
      </c>
      <c r="B1399" s="194" t="s">
        <v>1186</v>
      </c>
      <c r="C1399" s="21" t="s">
        <v>1</v>
      </c>
      <c r="D1399" s="300">
        <v>1</v>
      </c>
      <c r="E1399" s="51">
        <f t="shared" si="491"/>
        <v>1.3636363636363635</v>
      </c>
      <c r="F1399" s="23">
        <f t="shared" si="492"/>
        <v>0.73333333333333328</v>
      </c>
      <c r="G1399" s="65">
        <f t="shared" si="492"/>
        <v>15</v>
      </c>
      <c r="H1399" s="77">
        <v>40</v>
      </c>
      <c r="I1399" s="71">
        <f t="shared" si="493"/>
        <v>1.1000000000000001</v>
      </c>
      <c r="J1399" s="23">
        <f t="shared" si="494"/>
        <v>0.73333333333333328</v>
      </c>
      <c r="K1399" s="65">
        <f t="shared" si="495"/>
        <v>15</v>
      </c>
      <c r="L1399" s="21">
        <v>600</v>
      </c>
      <c r="M1399" s="21">
        <v>660</v>
      </c>
      <c r="N1399" s="285"/>
      <c r="O1399" s="285"/>
      <c r="P1399" s="285"/>
      <c r="Q1399" s="285"/>
      <c r="R1399" s="285"/>
      <c r="S1399" s="285"/>
      <c r="T1399" s="285"/>
      <c r="U1399" s="285"/>
      <c r="V1399" s="285"/>
      <c r="W1399" s="285"/>
    </row>
    <row r="1400" spans="1:23" s="26" customFormat="1" ht="30" customHeight="1" x14ac:dyDescent="0.2">
      <c r="A1400" s="106" t="s">
        <v>2504</v>
      </c>
      <c r="B1400" s="194" t="s">
        <v>1185</v>
      </c>
      <c r="C1400" s="21" t="s">
        <v>1</v>
      </c>
      <c r="D1400" s="300">
        <v>1</v>
      </c>
      <c r="E1400" s="51">
        <f t="shared" si="491"/>
        <v>1.6909090909090911</v>
      </c>
      <c r="F1400" s="23">
        <f t="shared" si="492"/>
        <v>0.59139784946236551</v>
      </c>
      <c r="G1400" s="65">
        <f t="shared" si="492"/>
        <v>18.600000000000001</v>
      </c>
      <c r="H1400" s="77">
        <v>32.258064516129032</v>
      </c>
      <c r="I1400" s="71">
        <f t="shared" si="493"/>
        <v>1.1000000000000001</v>
      </c>
      <c r="J1400" s="23">
        <f t="shared" si="494"/>
        <v>0.59139784946236551</v>
      </c>
      <c r="K1400" s="65">
        <f t="shared" si="495"/>
        <v>18.600000000000001</v>
      </c>
      <c r="L1400" s="21">
        <v>600</v>
      </c>
      <c r="M1400" s="21">
        <v>660</v>
      </c>
      <c r="N1400" s="285"/>
      <c r="O1400" s="285"/>
      <c r="P1400" s="285"/>
      <c r="Q1400" s="285"/>
      <c r="R1400" s="285"/>
      <c r="S1400" s="285"/>
      <c r="T1400" s="285"/>
      <c r="U1400" s="285"/>
      <c r="V1400" s="285"/>
      <c r="W1400" s="285"/>
    </row>
    <row r="1401" spans="1:23" s="26" customFormat="1" ht="30" customHeight="1" x14ac:dyDescent="0.2">
      <c r="A1401" s="106" t="s">
        <v>2505</v>
      </c>
      <c r="B1401" s="194" t="s">
        <v>1183</v>
      </c>
      <c r="C1401" s="21" t="s">
        <v>1</v>
      </c>
      <c r="D1401" s="300">
        <v>1</v>
      </c>
      <c r="E1401" s="51">
        <f t="shared" si="491"/>
        <v>2.1818181818181817</v>
      </c>
      <c r="F1401" s="23">
        <f t="shared" si="492"/>
        <v>0.45833333333333343</v>
      </c>
      <c r="G1401" s="65">
        <f t="shared" si="492"/>
        <v>23.999999999999996</v>
      </c>
      <c r="H1401" s="77">
        <v>25</v>
      </c>
      <c r="I1401" s="71">
        <f t="shared" si="493"/>
        <v>1.1000000000000001</v>
      </c>
      <c r="J1401" s="23">
        <f t="shared" si="494"/>
        <v>0.45833333333333343</v>
      </c>
      <c r="K1401" s="65">
        <f t="shared" si="495"/>
        <v>23.999999999999996</v>
      </c>
      <c r="L1401" s="21">
        <v>600</v>
      </c>
      <c r="M1401" s="21">
        <v>660</v>
      </c>
      <c r="N1401" s="285"/>
      <c r="O1401" s="285"/>
      <c r="P1401" s="285"/>
      <c r="Q1401" s="285"/>
      <c r="R1401" s="285"/>
      <c r="S1401" s="285"/>
      <c r="T1401" s="285"/>
      <c r="U1401" s="285"/>
      <c r="V1401" s="285"/>
      <c r="W1401" s="285"/>
    </row>
    <row r="1402" spans="1:23" s="26" customFormat="1" ht="30" customHeight="1" x14ac:dyDescent="0.2">
      <c r="A1402" s="106" t="s">
        <v>2506</v>
      </c>
      <c r="B1402" s="194" t="s">
        <v>1184</v>
      </c>
      <c r="C1402" s="21" t="s">
        <v>1</v>
      </c>
      <c r="D1402" s="300">
        <v>1</v>
      </c>
      <c r="E1402" s="51">
        <f t="shared" si="491"/>
        <v>1.3090909090909089</v>
      </c>
      <c r="F1402" s="23">
        <f t="shared" si="492"/>
        <v>0.76388888888888906</v>
      </c>
      <c r="G1402" s="65">
        <f t="shared" si="492"/>
        <v>14.399999999999997</v>
      </c>
      <c r="H1402" s="77">
        <v>41.666666666666671</v>
      </c>
      <c r="I1402" s="71">
        <f t="shared" si="493"/>
        <v>1.1000000000000001</v>
      </c>
      <c r="J1402" s="23">
        <f t="shared" si="494"/>
        <v>0.76388888888888906</v>
      </c>
      <c r="K1402" s="65">
        <f t="shared" si="495"/>
        <v>14.399999999999997</v>
      </c>
      <c r="L1402" s="21">
        <v>600</v>
      </c>
      <c r="M1402" s="21">
        <v>660</v>
      </c>
      <c r="N1402" s="285"/>
      <c r="O1402" s="285"/>
      <c r="P1402" s="285"/>
      <c r="Q1402" s="285"/>
      <c r="R1402" s="285"/>
      <c r="S1402" s="285"/>
      <c r="T1402" s="285"/>
      <c r="U1402" s="285"/>
      <c r="V1402" s="285"/>
      <c r="W1402" s="285"/>
    </row>
    <row r="1403" spans="1:23" s="26" customFormat="1" ht="30" customHeight="1" x14ac:dyDescent="0.2">
      <c r="A1403" s="106" t="s">
        <v>2507</v>
      </c>
      <c r="B1403" s="194" t="s">
        <v>1181</v>
      </c>
      <c r="C1403" s="21" t="s">
        <v>1</v>
      </c>
      <c r="D1403" s="300">
        <v>1</v>
      </c>
      <c r="E1403" s="51">
        <f t="shared" si="491"/>
        <v>1.636363636363636</v>
      </c>
      <c r="F1403" s="23">
        <f t="shared" si="492"/>
        <v>0.61111111111111127</v>
      </c>
      <c r="G1403" s="65">
        <f t="shared" si="492"/>
        <v>17.999999999999996</v>
      </c>
      <c r="H1403" s="77">
        <v>33.333333333333336</v>
      </c>
      <c r="I1403" s="71">
        <f t="shared" si="493"/>
        <v>1.1000000000000001</v>
      </c>
      <c r="J1403" s="23">
        <f t="shared" si="494"/>
        <v>0.61111111111111127</v>
      </c>
      <c r="K1403" s="65">
        <f t="shared" si="495"/>
        <v>17.999999999999996</v>
      </c>
      <c r="L1403" s="21">
        <v>600</v>
      </c>
      <c r="M1403" s="21">
        <v>660</v>
      </c>
      <c r="N1403" s="285"/>
      <c r="O1403" s="285"/>
      <c r="P1403" s="285"/>
      <c r="Q1403" s="285"/>
      <c r="R1403" s="285"/>
      <c r="S1403" s="285"/>
      <c r="T1403" s="285"/>
      <c r="U1403" s="285"/>
      <c r="V1403" s="285"/>
      <c r="W1403" s="285"/>
    </row>
    <row r="1404" spans="1:23" s="26" customFormat="1" ht="30" customHeight="1" x14ac:dyDescent="0.2">
      <c r="A1404" s="106" t="s">
        <v>2508</v>
      </c>
      <c r="B1404" s="194" t="s">
        <v>1182</v>
      </c>
      <c r="C1404" s="21" t="s">
        <v>1</v>
      </c>
      <c r="D1404" s="300">
        <v>1</v>
      </c>
      <c r="E1404" s="51">
        <f t="shared" si="491"/>
        <v>2.0727272727272723</v>
      </c>
      <c r="F1404" s="23">
        <f t="shared" si="492"/>
        <v>0.48245614035087725</v>
      </c>
      <c r="G1404" s="65">
        <f t="shared" si="492"/>
        <v>22.799999999999997</v>
      </c>
      <c r="H1404" s="77">
        <v>26.315789473684209</v>
      </c>
      <c r="I1404" s="71">
        <f t="shared" si="493"/>
        <v>1.1000000000000001</v>
      </c>
      <c r="J1404" s="23">
        <f t="shared" si="494"/>
        <v>0.48245614035087725</v>
      </c>
      <c r="K1404" s="65">
        <f t="shared" si="495"/>
        <v>22.799999999999997</v>
      </c>
      <c r="L1404" s="21">
        <v>600</v>
      </c>
      <c r="M1404" s="21">
        <v>660</v>
      </c>
      <c r="N1404" s="285"/>
      <c r="O1404" s="285"/>
      <c r="P1404" s="285"/>
      <c r="Q1404" s="285"/>
      <c r="R1404" s="285"/>
      <c r="S1404" s="285"/>
      <c r="T1404" s="285"/>
      <c r="U1404" s="285"/>
      <c r="V1404" s="285"/>
      <c r="W1404" s="285"/>
    </row>
    <row r="1405" spans="1:23" s="26" customFormat="1" ht="30" customHeight="1" x14ac:dyDescent="0.2">
      <c r="A1405" s="106" t="s">
        <v>2509</v>
      </c>
      <c r="B1405" s="195" t="s">
        <v>722</v>
      </c>
      <c r="C1405" s="66" t="s">
        <v>723</v>
      </c>
      <c r="D1405" s="300">
        <v>1</v>
      </c>
      <c r="E1405" s="51">
        <f t="shared" si="491"/>
        <v>38.18181818181818</v>
      </c>
      <c r="F1405" s="23">
        <f t="shared" si="492"/>
        <v>2.6190476190476195E-2</v>
      </c>
      <c r="G1405" s="65">
        <f t="shared" si="492"/>
        <v>419.99999999999994</v>
      </c>
      <c r="H1405" s="77">
        <v>1.4285714285714286</v>
      </c>
      <c r="I1405" s="71">
        <f t="shared" si="493"/>
        <v>1.1000000000000001</v>
      </c>
      <c r="J1405" s="23">
        <f t="shared" si="494"/>
        <v>2.6190476190476195E-2</v>
      </c>
      <c r="K1405" s="65">
        <f t="shared" si="495"/>
        <v>419.99999999999994</v>
      </c>
      <c r="L1405" s="21">
        <v>600</v>
      </c>
      <c r="M1405" s="21">
        <v>660</v>
      </c>
      <c r="N1405" s="285"/>
      <c r="O1405" s="285"/>
      <c r="P1405" s="285"/>
      <c r="Q1405" s="285"/>
      <c r="R1405" s="285"/>
      <c r="S1405" s="285"/>
      <c r="T1405" s="285"/>
      <c r="U1405" s="285"/>
      <c r="V1405" s="285"/>
      <c r="W1405" s="285"/>
    </row>
    <row r="1406" spans="1:23" s="26" customFormat="1" ht="30" customHeight="1" x14ac:dyDescent="0.2">
      <c r="A1406" s="106" t="s">
        <v>2510</v>
      </c>
      <c r="B1406" s="110" t="s">
        <v>49</v>
      </c>
      <c r="C1406" s="21" t="s">
        <v>1</v>
      </c>
      <c r="D1406" s="300">
        <v>1</v>
      </c>
      <c r="E1406" s="51">
        <f t="shared" si="491"/>
        <v>422.40000000000003</v>
      </c>
      <c r="F1406" s="23">
        <f t="shared" si="492"/>
        <v>2.3674242424242421E-3</v>
      </c>
      <c r="G1406" s="65">
        <f t="shared" si="492"/>
        <v>4646.4000000000005</v>
      </c>
      <c r="H1406" s="77">
        <v>0.12913223140495866</v>
      </c>
      <c r="I1406" s="71">
        <f t="shared" si="493"/>
        <v>1.1000000000000001</v>
      </c>
      <c r="J1406" s="23">
        <f t="shared" si="494"/>
        <v>2.3674242424242421E-3</v>
      </c>
      <c r="K1406" s="65">
        <f t="shared" si="495"/>
        <v>4646.4000000000005</v>
      </c>
      <c r="L1406" s="21">
        <v>600</v>
      </c>
      <c r="M1406" s="21">
        <v>660</v>
      </c>
      <c r="N1406" s="285"/>
      <c r="O1406" s="285"/>
      <c r="P1406" s="285"/>
      <c r="Q1406" s="285"/>
      <c r="R1406" s="285"/>
      <c r="S1406" s="285"/>
      <c r="T1406" s="285"/>
      <c r="U1406" s="285"/>
      <c r="V1406" s="285"/>
      <c r="W1406" s="285"/>
    </row>
    <row r="1407" spans="1:23" s="26" customFormat="1" ht="30" customHeight="1" x14ac:dyDescent="0.2">
      <c r="A1407" s="106" t="s">
        <v>2511</v>
      </c>
      <c r="B1407" s="131" t="s">
        <v>643</v>
      </c>
      <c r="C1407" s="21" t="s">
        <v>642</v>
      </c>
      <c r="D1407" s="300">
        <v>1</v>
      </c>
      <c r="E1407" s="51">
        <f t="shared" si="491"/>
        <v>72.449999999999989</v>
      </c>
      <c r="F1407" s="23">
        <f t="shared" si="492"/>
        <v>1.3802622498274674E-2</v>
      </c>
      <c r="G1407" s="65">
        <f t="shared" si="492"/>
        <v>796.94999999999993</v>
      </c>
      <c r="H1407" s="220">
        <v>0.75287031808770932</v>
      </c>
      <c r="I1407" s="71">
        <f t="shared" si="493"/>
        <v>1.1000000000000001</v>
      </c>
      <c r="J1407" s="23">
        <f t="shared" si="494"/>
        <v>1.3802622498274674E-2</v>
      </c>
      <c r="K1407" s="65">
        <f t="shared" si="495"/>
        <v>796.94999999999993</v>
      </c>
      <c r="L1407" s="21">
        <v>600</v>
      </c>
      <c r="M1407" s="21">
        <v>660</v>
      </c>
      <c r="N1407" s="285"/>
      <c r="O1407" s="285"/>
      <c r="P1407" s="285"/>
      <c r="Q1407" s="285"/>
      <c r="R1407" s="285"/>
      <c r="S1407" s="285"/>
      <c r="T1407" s="285"/>
      <c r="U1407" s="285"/>
      <c r="V1407" s="285"/>
      <c r="W1407" s="285"/>
    </row>
    <row r="1408" spans="1:23" s="26" customFormat="1" ht="30" customHeight="1" x14ac:dyDescent="0.2">
      <c r="A1408" s="106" t="s">
        <v>2512</v>
      </c>
      <c r="B1408" s="131" t="s">
        <v>882</v>
      </c>
      <c r="C1408" s="21" t="s">
        <v>1</v>
      </c>
      <c r="D1408" s="300">
        <v>1</v>
      </c>
      <c r="E1408" s="51">
        <f t="shared" si="491"/>
        <v>1.1454545454545453</v>
      </c>
      <c r="F1408" s="23">
        <f t="shared" si="492"/>
        <v>0.87301587301587313</v>
      </c>
      <c r="G1408" s="65">
        <f t="shared" si="492"/>
        <v>12.599999999999998</v>
      </c>
      <c r="H1408" s="77">
        <v>47.61904761904762</v>
      </c>
      <c r="I1408" s="71">
        <f t="shared" si="493"/>
        <v>1.1000000000000001</v>
      </c>
      <c r="J1408" s="23">
        <f t="shared" si="494"/>
        <v>0.87301587301587313</v>
      </c>
      <c r="K1408" s="65">
        <f t="shared" si="495"/>
        <v>12.599999999999998</v>
      </c>
      <c r="L1408" s="21">
        <v>600</v>
      </c>
      <c r="M1408" s="21">
        <v>660</v>
      </c>
      <c r="N1408" s="285"/>
      <c r="O1408" s="285"/>
      <c r="P1408" s="285"/>
      <c r="Q1408" s="285"/>
      <c r="R1408" s="285"/>
      <c r="S1408" s="285"/>
      <c r="T1408" s="285"/>
      <c r="U1408" s="285"/>
      <c r="V1408" s="285"/>
      <c r="W1408" s="285"/>
    </row>
    <row r="1409" spans="1:23" s="26" customFormat="1" ht="30" customHeight="1" x14ac:dyDescent="0.2">
      <c r="A1409" s="106" t="s">
        <v>2513</v>
      </c>
      <c r="B1409" s="131" t="s">
        <v>883</v>
      </c>
      <c r="C1409" s="21" t="s">
        <v>1</v>
      </c>
      <c r="D1409" s="300">
        <v>1</v>
      </c>
      <c r="E1409" s="51">
        <f t="shared" si="491"/>
        <v>1.1999999999999997</v>
      </c>
      <c r="F1409" s="23">
        <f t="shared" si="492"/>
        <v>0.83333333333333348</v>
      </c>
      <c r="G1409" s="65">
        <f t="shared" si="492"/>
        <v>13.199999999999998</v>
      </c>
      <c r="H1409" s="77">
        <v>45.45454545454546</v>
      </c>
      <c r="I1409" s="71">
        <f t="shared" si="493"/>
        <v>1.1000000000000001</v>
      </c>
      <c r="J1409" s="23">
        <f t="shared" si="494"/>
        <v>0.83333333333333348</v>
      </c>
      <c r="K1409" s="65">
        <f t="shared" si="495"/>
        <v>13.199999999999998</v>
      </c>
      <c r="L1409" s="21">
        <v>600</v>
      </c>
      <c r="M1409" s="21">
        <v>660</v>
      </c>
      <c r="N1409" s="285"/>
      <c r="O1409" s="285"/>
      <c r="P1409" s="285"/>
      <c r="Q1409" s="285"/>
      <c r="R1409" s="285"/>
      <c r="S1409" s="285"/>
      <c r="T1409" s="285"/>
      <c r="U1409" s="285"/>
      <c r="V1409" s="285"/>
      <c r="W1409" s="285"/>
    </row>
    <row r="1410" spans="1:23" s="26" customFormat="1" ht="30" customHeight="1" x14ac:dyDescent="0.2">
      <c r="A1410" s="106" t="s">
        <v>2514</v>
      </c>
      <c r="B1410" s="131" t="s">
        <v>884</v>
      </c>
      <c r="C1410" s="21" t="s">
        <v>1</v>
      </c>
      <c r="D1410" s="300">
        <v>1</v>
      </c>
      <c r="E1410" s="51">
        <f t="shared" si="491"/>
        <v>1.1454545454545453</v>
      </c>
      <c r="F1410" s="23">
        <f t="shared" si="492"/>
        <v>0.87301587301587313</v>
      </c>
      <c r="G1410" s="65">
        <f t="shared" si="492"/>
        <v>12.599999999999998</v>
      </c>
      <c r="H1410" s="77">
        <v>47.61904761904762</v>
      </c>
      <c r="I1410" s="71">
        <f t="shared" si="493"/>
        <v>1.1000000000000001</v>
      </c>
      <c r="J1410" s="23">
        <f t="shared" si="494"/>
        <v>0.87301587301587313</v>
      </c>
      <c r="K1410" s="65">
        <f t="shared" si="495"/>
        <v>12.599999999999998</v>
      </c>
      <c r="L1410" s="21">
        <v>600</v>
      </c>
      <c r="M1410" s="21">
        <v>660</v>
      </c>
      <c r="N1410" s="285"/>
      <c r="O1410" s="285"/>
      <c r="P1410" s="285"/>
      <c r="Q1410" s="285"/>
      <c r="R1410" s="285"/>
      <c r="S1410" s="285"/>
      <c r="T1410" s="285"/>
      <c r="U1410" s="285"/>
      <c r="V1410" s="285"/>
      <c r="W1410" s="285"/>
    </row>
    <row r="1411" spans="1:23" s="26" customFormat="1" ht="30" customHeight="1" x14ac:dyDescent="0.2">
      <c r="A1411" s="106" t="s">
        <v>2515</v>
      </c>
      <c r="B1411" s="131" t="s">
        <v>885</v>
      </c>
      <c r="C1411" s="21" t="s">
        <v>1</v>
      </c>
      <c r="D1411" s="300">
        <v>1</v>
      </c>
      <c r="E1411" s="51">
        <f t="shared" si="491"/>
        <v>1.7454545454545454</v>
      </c>
      <c r="F1411" s="23">
        <f t="shared" si="492"/>
        <v>0.57291666666666674</v>
      </c>
      <c r="G1411" s="65">
        <f t="shared" si="492"/>
        <v>19.2</v>
      </c>
      <c r="H1411" s="77">
        <v>31.25</v>
      </c>
      <c r="I1411" s="71">
        <f t="shared" si="493"/>
        <v>1.1000000000000001</v>
      </c>
      <c r="J1411" s="23">
        <f t="shared" si="494"/>
        <v>0.57291666666666674</v>
      </c>
      <c r="K1411" s="65">
        <f t="shared" si="495"/>
        <v>19.2</v>
      </c>
      <c r="L1411" s="21">
        <v>600</v>
      </c>
      <c r="M1411" s="21">
        <v>660</v>
      </c>
      <c r="N1411" s="285"/>
      <c r="O1411" s="285"/>
      <c r="P1411" s="285"/>
      <c r="Q1411" s="285"/>
      <c r="R1411" s="285"/>
      <c r="S1411" s="285"/>
      <c r="T1411" s="285"/>
      <c r="U1411" s="285"/>
      <c r="V1411" s="285"/>
      <c r="W1411" s="285"/>
    </row>
    <row r="1412" spans="1:23" s="26" customFormat="1" ht="30" customHeight="1" x14ac:dyDescent="0.2">
      <c r="A1412" s="106" t="s">
        <v>2516</v>
      </c>
      <c r="B1412" s="131" t="s">
        <v>886</v>
      </c>
      <c r="C1412" s="21" t="s">
        <v>1</v>
      </c>
      <c r="D1412" s="300">
        <v>1</v>
      </c>
      <c r="E1412" s="51">
        <f t="shared" si="491"/>
        <v>1.0909090909090908</v>
      </c>
      <c r="F1412" s="23">
        <f t="shared" si="492"/>
        <v>0.91666666666666685</v>
      </c>
      <c r="G1412" s="65">
        <f t="shared" si="492"/>
        <v>11.999999999999998</v>
      </c>
      <c r="H1412" s="77">
        <v>50</v>
      </c>
      <c r="I1412" s="71">
        <f t="shared" si="493"/>
        <v>1.1000000000000001</v>
      </c>
      <c r="J1412" s="23">
        <f t="shared" si="494"/>
        <v>0.91666666666666685</v>
      </c>
      <c r="K1412" s="65">
        <f t="shared" si="495"/>
        <v>11.999999999999998</v>
      </c>
      <c r="L1412" s="21">
        <v>600</v>
      </c>
      <c r="M1412" s="21">
        <v>660</v>
      </c>
      <c r="N1412" s="285"/>
      <c r="O1412" s="285"/>
      <c r="P1412" s="285"/>
      <c r="Q1412" s="285"/>
      <c r="R1412" s="285"/>
      <c r="S1412" s="285"/>
      <c r="T1412" s="285"/>
      <c r="U1412" s="285"/>
      <c r="V1412" s="285"/>
      <c r="W1412" s="285"/>
    </row>
    <row r="1413" spans="1:23" s="26" customFormat="1" ht="30" customHeight="1" x14ac:dyDescent="0.2">
      <c r="A1413" s="106" t="s">
        <v>2517</v>
      </c>
      <c r="B1413" s="131" t="s">
        <v>887</v>
      </c>
      <c r="C1413" s="21" t="s">
        <v>1</v>
      </c>
      <c r="D1413" s="300">
        <v>1</v>
      </c>
      <c r="E1413" s="51">
        <f t="shared" si="491"/>
        <v>1.0909090909090908</v>
      </c>
      <c r="F1413" s="23">
        <f t="shared" si="492"/>
        <v>0.91666666666666685</v>
      </c>
      <c r="G1413" s="65">
        <f t="shared" si="492"/>
        <v>11.999999999999998</v>
      </c>
      <c r="H1413" s="77">
        <v>50</v>
      </c>
      <c r="I1413" s="71">
        <f t="shared" si="493"/>
        <v>1.1000000000000001</v>
      </c>
      <c r="J1413" s="23">
        <f t="shared" si="494"/>
        <v>0.91666666666666685</v>
      </c>
      <c r="K1413" s="65">
        <f t="shared" si="495"/>
        <v>11.999999999999998</v>
      </c>
      <c r="L1413" s="21">
        <v>600</v>
      </c>
      <c r="M1413" s="21">
        <v>660</v>
      </c>
      <c r="N1413" s="285"/>
      <c r="O1413" s="285"/>
      <c r="P1413" s="285"/>
      <c r="Q1413" s="285"/>
      <c r="R1413" s="285"/>
      <c r="S1413" s="285"/>
      <c r="T1413" s="285"/>
      <c r="U1413" s="285"/>
      <c r="V1413" s="285"/>
      <c r="W1413" s="285"/>
    </row>
    <row r="1414" spans="1:23" s="26" customFormat="1" ht="27.75" customHeight="1" x14ac:dyDescent="0.2">
      <c r="A1414" s="106" t="s">
        <v>2518</v>
      </c>
      <c r="B1414" s="131" t="s">
        <v>2955</v>
      </c>
      <c r="C1414" s="21" t="s">
        <v>1</v>
      </c>
      <c r="D1414" s="300">
        <v>1</v>
      </c>
      <c r="E1414" s="51">
        <f t="shared" si="491"/>
        <v>1.1454545454545453</v>
      </c>
      <c r="F1414" s="23">
        <f t="shared" si="492"/>
        <v>0.87301587301587313</v>
      </c>
      <c r="G1414" s="65">
        <f t="shared" si="492"/>
        <v>12.599999999999998</v>
      </c>
      <c r="H1414" s="77">
        <v>47.61904761904762</v>
      </c>
      <c r="I1414" s="71">
        <f t="shared" si="493"/>
        <v>1.1000000000000001</v>
      </c>
      <c r="J1414" s="23">
        <f t="shared" si="494"/>
        <v>0.87301587301587313</v>
      </c>
      <c r="K1414" s="65">
        <f t="shared" si="495"/>
        <v>12.599999999999998</v>
      </c>
      <c r="L1414" s="21">
        <v>600</v>
      </c>
      <c r="M1414" s="21">
        <v>660</v>
      </c>
      <c r="N1414" s="285"/>
      <c r="O1414" s="285"/>
      <c r="P1414" s="285"/>
      <c r="Q1414" s="285"/>
      <c r="R1414" s="285"/>
      <c r="S1414" s="285"/>
      <c r="T1414" s="285"/>
      <c r="U1414" s="285"/>
      <c r="V1414" s="285"/>
      <c r="W1414" s="285"/>
    </row>
    <row r="1415" spans="1:23" s="26" customFormat="1" ht="34.5" customHeight="1" x14ac:dyDescent="0.2">
      <c r="A1415" s="106" t="s">
        <v>2519</v>
      </c>
      <c r="B1415" s="131" t="s">
        <v>888</v>
      </c>
      <c r="C1415" s="21" t="s">
        <v>1</v>
      </c>
      <c r="D1415" s="300">
        <v>1</v>
      </c>
      <c r="E1415" s="51">
        <f t="shared" si="491"/>
        <v>1.0909090909090908</v>
      </c>
      <c r="F1415" s="23">
        <f t="shared" si="492"/>
        <v>0.91666666666666685</v>
      </c>
      <c r="G1415" s="65">
        <f t="shared" si="492"/>
        <v>11.999999999999998</v>
      </c>
      <c r="H1415" s="77">
        <v>50</v>
      </c>
      <c r="I1415" s="71">
        <f t="shared" si="493"/>
        <v>1.1000000000000001</v>
      </c>
      <c r="J1415" s="23">
        <f t="shared" si="494"/>
        <v>0.91666666666666685</v>
      </c>
      <c r="K1415" s="65">
        <f t="shared" si="495"/>
        <v>11.999999999999998</v>
      </c>
      <c r="L1415" s="21">
        <v>600</v>
      </c>
      <c r="M1415" s="21">
        <v>660</v>
      </c>
      <c r="N1415" s="285"/>
      <c r="O1415" s="285"/>
      <c r="P1415" s="285"/>
      <c r="Q1415" s="285"/>
      <c r="R1415" s="285"/>
      <c r="S1415" s="285"/>
      <c r="T1415" s="285"/>
      <c r="U1415" s="285"/>
      <c r="V1415" s="285"/>
      <c r="W1415" s="285"/>
    </row>
    <row r="1416" spans="1:23" s="26" customFormat="1" ht="30" customHeight="1" x14ac:dyDescent="0.2">
      <c r="A1416" s="106" t="s">
        <v>2520</v>
      </c>
      <c r="B1416" s="131" t="s">
        <v>889</v>
      </c>
      <c r="C1416" s="21" t="s">
        <v>1</v>
      </c>
      <c r="D1416" s="300">
        <v>1</v>
      </c>
      <c r="E1416" s="51">
        <f t="shared" si="491"/>
        <v>1.636363636363636</v>
      </c>
      <c r="F1416" s="23">
        <f t="shared" si="492"/>
        <v>0.61111111111111127</v>
      </c>
      <c r="G1416" s="65">
        <f t="shared" si="492"/>
        <v>17.999999999999996</v>
      </c>
      <c r="H1416" s="77">
        <v>33.333333333333336</v>
      </c>
      <c r="I1416" s="71">
        <f t="shared" si="493"/>
        <v>1.1000000000000001</v>
      </c>
      <c r="J1416" s="23">
        <f t="shared" si="494"/>
        <v>0.61111111111111127</v>
      </c>
      <c r="K1416" s="65">
        <f t="shared" si="495"/>
        <v>17.999999999999996</v>
      </c>
      <c r="L1416" s="21">
        <v>600</v>
      </c>
      <c r="M1416" s="21">
        <v>660</v>
      </c>
      <c r="N1416" s="285"/>
      <c r="O1416" s="285"/>
      <c r="P1416" s="285"/>
      <c r="Q1416" s="285"/>
      <c r="R1416" s="285"/>
      <c r="S1416" s="285"/>
      <c r="T1416" s="285"/>
      <c r="U1416" s="285"/>
      <c r="V1416" s="285"/>
      <c r="W1416" s="285"/>
    </row>
    <row r="1417" spans="1:23" s="26" customFormat="1" ht="30" customHeight="1" x14ac:dyDescent="0.2">
      <c r="A1417" s="106" t="s">
        <v>2521</v>
      </c>
      <c r="B1417" s="131" t="s">
        <v>890</v>
      </c>
      <c r="C1417" s="21" t="s">
        <v>1</v>
      </c>
      <c r="D1417" s="300">
        <v>1</v>
      </c>
      <c r="E1417" s="51">
        <f t="shared" si="491"/>
        <v>1.0363636363636362</v>
      </c>
      <c r="F1417" s="23">
        <f t="shared" si="492"/>
        <v>0.9649122807017545</v>
      </c>
      <c r="G1417" s="65">
        <f t="shared" si="492"/>
        <v>11.399999999999999</v>
      </c>
      <c r="H1417" s="77">
        <v>52.631578947368418</v>
      </c>
      <c r="I1417" s="71">
        <f t="shared" si="493"/>
        <v>1.1000000000000001</v>
      </c>
      <c r="J1417" s="23">
        <f t="shared" si="494"/>
        <v>0.9649122807017545</v>
      </c>
      <c r="K1417" s="65">
        <f t="shared" si="495"/>
        <v>11.399999999999999</v>
      </c>
      <c r="L1417" s="21">
        <v>600</v>
      </c>
      <c r="M1417" s="21">
        <v>660</v>
      </c>
      <c r="N1417" s="285"/>
      <c r="O1417" s="285"/>
      <c r="P1417" s="285"/>
      <c r="Q1417" s="285"/>
      <c r="R1417" s="285"/>
      <c r="S1417" s="285"/>
      <c r="T1417" s="285"/>
      <c r="U1417" s="285"/>
      <c r="V1417" s="285"/>
      <c r="W1417" s="285"/>
    </row>
    <row r="1418" spans="1:23" s="26" customFormat="1" ht="30" customHeight="1" x14ac:dyDescent="0.2">
      <c r="A1418" s="106" t="s">
        <v>2522</v>
      </c>
      <c r="B1418" s="110" t="s">
        <v>50</v>
      </c>
      <c r="C1418" s="49" t="s">
        <v>1</v>
      </c>
      <c r="D1418" s="300">
        <v>1</v>
      </c>
      <c r="E1418" s="51">
        <f t="shared" si="491"/>
        <v>1.7999999999999994</v>
      </c>
      <c r="F1418" s="23">
        <f t="shared" si="492"/>
        <v>0.55555555555555569</v>
      </c>
      <c r="G1418" s="65">
        <f t="shared" si="492"/>
        <v>19.799999999999994</v>
      </c>
      <c r="H1418" s="77">
        <v>30.303030303030308</v>
      </c>
      <c r="I1418" s="71">
        <f t="shared" si="493"/>
        <v>1.1000000000000001</v>
      </c>
      <c r="J1418" s="23">
        <f t="shared" si="494"/>
        <v>0.55555555555555569</v>
      </c>
      <c r="K1418" s="65">
        <f t="shared" si="495"/>
        <v>19.799999999999994</v>
      </c>
      <c r="L1418" s="21">
        <v>600</v>
      </c>
      <c r="M1418" s="21">
        <v>660</v>
      </c>
      <c r="N1418" s="285"/>
      <c r="O1418" s="285"/>
      <c r="P1418" s="285"/>
      <c r="Q1418" s="285"/>
      <c r="R1418" s="285"/>
      <c r="S1418" s="285"/>
      <c r="T1418" s="285"/>
      <c r="U1418" s="285"/>
      <c r="V1418" s="285"/>
      <c r="W1418" s="285"/>
    </row>
    <row r="1419" spans="1:23" s="26" customFormat="1" ht="30" customHeight="1" x14ac:dyDescent="0.2">
      <c r="A1419" s="106" t="s">
        <v>2523</v>
      </c>
      <c r="B1419" s="110" t="s">
        <v>79</v>
      </c>
      <c r="C1419" s="49" t="s">
        <v>1</v>
      </c>
      <c r="D1419" s="300">
        <v>1</v>
      </c>
      <c r="E1419" s="51">
        <f t="shared" si="491"/>
        <v>1.68</v>
      </c>
      <c r="F1419" s="23">
        <f t="shared" si="492"/>
        <v>0.59523809523809523</v>
      </c>
      <c r="G1419" s="65">
        <f t="shared" si="492"/>
        <v>18.48</v>
      </c>
      <c r="H1419" s="77">
        <v>32.467532467532465</v>
      </c>
      <c r="I1419" s="71">
        <f t="shared" si="493"/>
        <v>1.1000000000000001</v>
      </c>
      <c r="J1419" s="23">
        <f t="shared" si="494"/>
        <v>0.59523809523809523</v>
      </c>
      <c r="K1419" s="65">
        <f t="shared" si="495"/>
        <v>18.48</v>
      </c>
      <c r="L1419" s="21">
        <v>600</v>
      </c>
      <c r="M1419" s="21">
        <v>660</v>
      </c>
      <c r="N1419" s="285"/>
      <c r="O1419" s="285"/>
      <c r="P1419" s="285"/>
      <c r="Q1419" s="285"/>
      <c r="R1419" s="285"/>
      <c r="S1419" s="285"/>
      <c r="T1419" s="285"/>
      <c r="U1419" s="285"/>
      <c r="V1419" s="285"/>
      <c r="W1419" s="285"/>
    </row>
    <row r="1420" spans="1:23" s="26" customFormat="1" ht="30" customHeight="1" x14ac:dyDescent="0.2">
      <c r="A1420" s="106" t="s">
        <v>2524</v>
      </c>
      <c r="B1420" s="131" t="s">
        <v>276</v>
      </c>
      <c r="C1420" s="49" t="s">
        <v>1</v>
      </c>
      <c r="D1420" s="300">
        <v>1</v>
      </c>
      <c r="E1420" s="51">
        <f t="shared" si="491"/>
        <v>0.71999999999999986</v>
      </c>
      <c r="F1420" s="23">
        <f t="shared" si="492"/>
        <v>1.3888888888888891</v>
      </c>
      <c r="G1420" s="65">
        <f t="shared" si="492"/>
        <v>7.919999999999999</v>
      </c>
      <c r="H1420" s="77">
        <v>75.757575757575765</v>
      </c>
      <c r="I1420" s="71">
        <f t="shared" si="493"/>
        <v>1.1000000000000001</v>
      </c>
      <c r="J1420" s="23">
        <f t="shared" si="494"/>
        <v>1.3888888888888891</v>
      </c>
      <c r="K1420" s="65">
        <f t="shared" si="495"/>
        <v>7.919999999999999</v>
      </c>
      <c r="L1420" s="21">
        <v>600</v>
      </c>
      <c r="M1420" s="21">
        <v>660</v>
      </c>
      <c r="N1420" s="285"/>
      <c r="O1420" s="285"/>
      <c r="P1420" s="285"/>
      <c r="Q1420" s="285"/>
      <c r="R1420" s="285"/>
      <c r="S1420" s="285"/>
      <c r="T1420" s="285"/>
      <c r="U1420" s="285"/>
      <c r="V1420" s="285"/>
      <c r="W1420" s="285"/>
    </row>
    <row r="1421" spans="1:23" s="26" customFormat="1" ht="30" customHeight="1" x14ac:dyDescent="0.2">
      <c r="A1421" s="106" t="s">
        <v>2525</v>
      </c>
      <c r="B1421" s="131" t="s">
        <v>277</v>
      </c>
      <c r="C1421" s="49" t="s">
        <v>1</v>
      </c>
      <c r="D1421" s="300">
        <v>1</v>
      </c>
      <c r="E1421" s="51">
        <f t="shared" si="491"/>
        <v>0.53999999999999992</v>
      </c>
      <c r="F1421" s="23">
        <f t="shared" si="492"/>
        <v>1.8518518518518521</v>
      </c>
      <c r="G1421" s="65">
        <f t="shared" si="492"/>
        <v>5.9399999999999995</v>
      </c>
      <c r="H1421" s="77">
        <v>101.01010101010101</v>
      </c>
      <c r="I1421" s="71">
        <f t="shared" si="493"/>
        <v>1.1000000000000001</v>
      </c>
      <c r="J1421" s="23">
        <f t="shared" si="494"/>
        <v>1.8518518518518521</v>
      </c>
      <c r="K1421" s="65">
        <f t="shared" si="495"/>
        <v>5.9399999999999995</v>
      </c>
      <c r="L1421" s="21">
        <v>600</v>
      </c>
      <c r="M1421" s="21">
        <v>660</v>
      </c>
      <c r="N1421" s="285"/>
      <c r="O1421" s="285"/>
      <c r="P1421" s="285"/>
      <c r="Q1421" s="285"/>
      <c r="R1421" s="285"/>
      <c r="S1421" s="285"/>
      <c r="T1421" s="285"/>
      <c r="U1421" s="285"/>
      <c r="V1421" s="285"/>
      <c r="W1421" s="285"/>
    </row>
    <row r="1422" spans="1:23" s="26" customFormat="1" ht="30" customHeight="1" x14ac:dyDescent="0.2">
      <c r="A1422" s="106" t="s">
        <v>2526</v>
      </c>
      <c r="B1422" s="110" t="s">
        <v>52</v>
      </c>
      <c r="C1422" s="49" t="s">
        <v>1</v>
      </c>
      <c r="D1422" s="300">
        <v>1</v>
      </c>
      <c r="E1422" s="51">
        <f t="shared" si="491"/>
        <v>2.1599999999999997</v>
      </c>
      <c r="F1422" s="23">
        <f t="shared" si="492"/>
        <v>0.46296296296296302</v>
      </c>
      <c r="G1422" s="65">
        <f t="shared" si="492"/>
        <v>23.759999999999998</v>
      </c>
      <c r="H1422" s="77">
        <v>25.252525252525253</v>
      </c>
      <c r="I1422" s="71">
        <f t="shared" si="493"/>
        <v>1.1000000000000001</v>
      </c>
      <c r="J1422" s="23">
        <f t="shared" si="494"/>
        <v>0.46296296296296302</v>
      </c>
      <c r="K1422" s="65">
        <f t="shared" si="495"/>
        <v>23.759999999999998</v>
      </c>
      <c r="L1422" s="21">
        <v>600</v>
      </c>
      <c r="M1422" s="21">
        <v>660</v>
      </c>
      <c r="N1422" s="285"/>
      <c r="O1422" s="285"/>
      <c r="P1422" s="285"/>
      <c r="Q1422" s="285"/>
      <c r="R1422" s="285"/>
      <c r="S1422" s="285"/>
      <c r="T1422" s="285"/>
      <c r="U1422" s="285"/>
      <c r="V1422" s="285"/>
      <c r="W1422" s="285"/>
    </row>
    <row r="1423" spans="1:23" s="26" customFormat="1" ht="30" customHeight="1" x14ac:dyDescent="0.2">
      <c r="A1423" s="106" t="s">
        <v>2527</v>
      </c>
      <c r="B1423" s="110" t="s">
        <v>1472</v>
      </c>
      <c r="C1423" s="49" t="s">
        <v>1</v>
      </c>
      <c r="D1423" s="300">
        <v>1</v>
      </c>
      <c r="E1423" s="51">
        <f t="shared" si="491"/>
        <v>22.727272727272727</v>
      </c>
      <c r="F1423" s="23">
        <f t="shared" si="492"/>
        <v>4.3999999999999997E-2</v>
      </c>
      <c r="G1423" s="65">
        <f t="shared" si="492"/>
        <v>250</v>
      </c>
      <c r="H1423" s="77">
        <v>2.4</v>
      </c>
      <c r="I1423" s="71">
        <f t="shared" si="493"/>
        <v>1.1000000000000001</v>
      </c>
      <c r="J1423" s="23">
        <f t="shared" si="494"/>
        <v>4.3999999999999997E-2</v>
      </c>
      <c r="K1423" s="65">
        <f t="shared" si="495"/>
        <v>250</v>
      </c>
      <c r="L1423" s="21">
        <v>600</v>
      </c>
      <c r="M1423" s="21">
        <v>660</v>
      </c>
      <c r="N1423" s="285"/>
      <c r="O1423" s="285"/>
      <c r="P1423" s="285"/>
      <c r="Q1423" s="285"/>
      <c r="R1423" s="285"/>
      <c r="S1423" s="285"/>
      <c r="T1423" s="285"/>
      <c r="U1423" s="285"/>
      <c r="V1423" s="285"/>
      <c r="W1423" s="285"/>
    </row>
    <row r="1424" spans="1:23" s="26" customFormat="1" ht="36.75" customHeight="1" x14ac:dyDescent="0.2">
      <c r="A1424" s="106"/>
      <c r="B1424" s="193" t="s">
        <v>672</v>
      </c>
      <c r="C1424" s="33"/>
      <c r="D1424" s="300">
        <v>1</v>
      </c>
      <c r="E1424" s="33"/>
      <c r="F1424" s="33"/>
      <c r="G1424" s="33"/>
      <c r="H1424" s="226"/>
      <c r="I1424" s="50">
        <f>K1424</f>
        <v>0</v>
      </c>
      <c r="J1424" s="63"/>
      <c r="K1424" s="63"/>
      <c r="L1424" s="63"/>
      <c r="M1424" s="63"/>
      <c r="N1424" s="285"/>
      <c r="O1424" s="285"/>
      <c r="P1424" s="285"/>
      <c r="Q1424" s="285"/>
      <c r="R1424" s="285"/>
      <c r="S1424" s="285"/>
      <c r="T1424" s="285"/>
      <c r="U1424" s="285"/>
      <c r="V1424" s="285"/>
      <c r="W1424" s="285"/>
    </row>
    <row r="1425" spans="1:23" s="26" customFormat="1" ht="30" customHeight="1" x14ac:dyDescent="0.2">
      <c r="A1425" s="106" t="s">
        <v>2528</v>
      </c>
      <c r="B1425" s="126" t="s">
        <v>168</v>
      </c>
      <c r="C1425" s="49" t="s">
        <v>1</v>
      </c>
      <c r="D1425" s="300">
        <v>1</v>
      </c>
      <c r="E1425" s="51">
        <f>G1425/11</f>
        <v>39.119999999999997</v>
      </c>
      <c r="F1425" s="23">
        <f t="shared" ref="F1425:G1428" si="496">J1425</f>
        <v>2.556237218813906E-2</v>
      </c>
      <c r="G1425" s="65">
        <f t="shared" si="496"/>
        <v>430.32</v>
      </c>
      <c r="H1425" s="77">
        <v>1.3943112102621305</v>
      </c>
      <c r="I1425" s="71">
        <f>M1425/L1425</f>
        <v>1.1000000000000001</v>
      </c>
      <c r="J1425" s="23">
        <f>11/K1425</f>
        <v>2.556237218813906E-2</v>
      </c>
      <c r="K1425" s="65">
        <f>M1425/(H1425*I1425)</f>
        <v>430.32</v>
      </c>
      <c r="L1425" s="21">
        <v>600</v>
      </c>
      <c r="M1425" s="21">
        <v>660</v>
      </c>
      <c r="N1425" s="285"/>
      <c r="O1425" s="285"/>
      <c r="P1425" s="285"/>
      <c r="Q1425" s="285"/>
      <c r="R1425" s="285"/>
      <c r="S1425" s="285"/>
      <c r="T1425" s="285"/>
      <c r="U1425" s="285"/>
      <c r="V1425" s="285"/>
      <c r="W1425" s="285"/>
    </row>
    <row r="1426" spans="1:23" s="26" customFormat="1" ht="30" customHeight="1" x14ac:dyDescent="0.2">
      <c r="A1426" s="106" t="s">
        <v>2529</v>
      </c>
      <c r="B1426" s="126" t="s">
        <v>644</v>
      </c>
      <c r="C1426" s="49" t="s">
        <v>1</v>
      </c>
      <c r="D1426" s="300">
        <v>1</v>
      </c>
      <c r="E1426" s="51">
        <f>G1426/11</f>
        <v>1.2599999999999998</v>
      </c>
      <c r="F1426" s="23">
        <f t="shared" si="496"/>
        <v>0.79365079365079383</v>
      </c>
      <c r="G1426" s="65">
        <f t="shared" si="496"/>
        <v>13.859999999999998</v>
      </c>
      <c r="H1426" s="77">
        <v>43.290043290043293</v>
      </c>
      <c r="I1426" s="71">
        <f>M1426/L1426</f>
        <v>1.1000000000000001</v>
      </c>
      <c r="J1426" s="23">
        <f>11/K1426</f>
        <v>0.79365079365079383</v>
      </c>
      <c r="K1426" s="65">
        <f>M1426/(H1426*I1426)</f>
        <v>13.859999999999998</v>
      </c>
      <c r="L1426" s="21">
        <v>600</v>
      </c>
      <c r="M1426" s="21">
        <v>660</v>
      </c>
      <c r="N1426" s="285"/>
      <c r="O1426" s="285"/>
      <c r="P1426" s="285"/>
      <c r="Q1426" s="285"/>
      <c r="R1426" s="285"/>
      <c r="S1426" s="285"/>
      <c r="T1426" s="285"/>
      <c r="U1426" s="285"/>
      <c r="V1426" s="285"/>
      <c r="W1426" s="285"/>
    </row>
    <row r="1427" spans="1:23" s="26" customFormat="1" ht="30" customHeight="1" x14ac:dyDescent="0.2">
      <c r="A1427" s="106" t="s">
        <v>2530</v>
      </c>
      <c r="B1427" s="126" t="s">
        <v>574</v>
      </c>
      <c r="C1427" s="49" t="s">
        <v>1</v>
      </c>
      <c r="D1427" s="300">
        <v>1</v>
      </c>
      <c r="E1427" s="51">
        <f>G1427/11</f>
        <v>2.76</v>
      </c>
      <c r="F1427" s="23">
        <f t="shared" si="496"/>
        <v>0.36231884057971014</v>
      </c>
      <c r="G1427" s="65">
        <f t="shared" si="496"/>
        <v>30.36</v>
      </c>
      <c r="H1427" s="77">
        <v>19.762845849802371</v>
      </c>
      <c r="I1427" s="71">
        <f>M1427/L1427</f>
        <v>1.1000000000000001</v>
      </c>
      <c r="J1427" s="23">
        <f>11/K1427</f>
        <v>0.36231884057971014</v>
      </c>
      <c r="K1427" s="65">
        <f>M1427/(H1427*I1427)</f>
        <v>30.36</v>
      </c>
      <c r="L1427" s="21">
        <v>600</v>
      </c>
      <c r="M1427" s="21">
        <v>660</v>
      </c>
      <c r="N1427" s="285"/>
      <c r="O1427" s="285"/>
      <c r="P1427" s="285"/>
      <c r="Q1427" s="285"/>
      <c r="R1427" s="285"/>
      <c r="S1427" s="285"/>
      <c r="T1427" s="285"/>
      <c r="U1427" s="285"/>
      <c r="V1427" s="285"/>
      <c r="W1427" s="285"/>
    </row>
    <row r="1428" spans="1:23" s="26" customFormat="1" ht="30" customHeight="1" x14ac:dyDescent="0.2">
      <c r="A1428" s="106" t="s">
        <v>2531</v>
      </c>
      <c r="B1428" s="126" t="s">
        <v>692</v>
      </c>
      <c r="C1428" s="49" t="s">
        <v>671</v>
      </c>
      <c r="D1428" s="300">
        <v>1</v>
      </c>
      <c r="E1428" s="51">
        <f>G1428/11</f>
        <v>31.44</v>
      </c>
      <c r="F1428" s="23">
        <f t="shared" si="496"/>
        <v>3.1806615776081425E-2</v>
      </c>
      <c r="G1428" s="65">
        <f t="shared" si="496"/>
        <v>345.84000000000003</v>
      </c>
      <c r="H1428" s="77">
        <v>1.7349063150589865</v>
      </c>
      <c r="I1428" s="71">
        <f>M1428/L1428</f>
        <v>1.1000000000000001</v>
      </c>
      <c r="J1428" s="23">
        <f>11/K1428</f>
        <v>3.1806615776081425E-2</v>
      </c>
      <c r="K1428" s="65">
        <f>M1428/(H1428*I1428)</f>
        <v>345.84000000000003</v>
      </c>
      <c r="L1428" s="21">
        <v>600</v>
      </c>
      <c r="M1428" s="21">
        <v>660</v>
      </c>
      <c r="N1428" s="285"/>
      <c r="O1428" s="285"/>
      <c r="P1428" s="285"/>
      <c r="Q1428" s="285"/>
      <c r="R1428" s="285"/>
      <c r="S1428" s="285"/>
      <c r="T1428" s="285"/>
      <c r="U1428" s="285"/>
      <c r="V1428" s="285"/>
      <c r="W1428" s="285"/>
    </row>
    <row r="1429" spans="1:23" s="26" customFormat="1" ht="33.75" customHeight="1" x14ac:dyDescent="0.2">
      <c r="A1429" s="106"/>
      <c r="B1429" s="112" t="s">
        <v>641</v>
      </c>
      <c r="C1429" s="34"/>
      <c r="D1429" s="300">
        <v>1</v>
      </c>
      <c r="E1429" s="33"/>
      <c r="F1429" s="33"/>
      <c r="G1429" s="33"/>
      <c r="H1429" s="226"/>
      <c r="I1429" s="50">
        <f>K1429</f>
        <v>0</v>
      </c>
      <c r="J1429" s="63"/>
      <c r="K1429" s="64"/>
      <c r="L1429" s="63"/>
      <c r="M1429" s="64"/>
      <c r="N1429" s="285"/>
      <c r="O1429" s="285"/>
      <c r="P1429" s="285"/>
      <c r="Q1429" s="285"/>
      <c r="R1429" s="285"/>
      <c r="S1429" s="285"/>
      <c r="T1429" s="285"/>
      <c r="U1429" s="285"/>
      <c r="V1429" s="285"/>
      <c r="W1429" s="285"/>
    </row>
    <row r="1430" spans="1:23" s="26" customFormat="1" ht="30" customHeight="1" x14ac:dyDescent="0.2">
      <c r="A1430" s="106" t="s">
        <v>2532</v>
      </c>
      <c r="B1430" s="126" t="s">
        <v>927</v>
      </c>
      <c r="C1430" s="21" t="s">
        <v>1</v>
      </c>
      <c r="D1430" s="300">
        <v>1</v>
      </c>
      <c r="E1430" s="51">
        <f>G1430/11</f>
        <v>6.5454545454545441</v>
      </c>
      <c r="F1430" s="23">
        <f t="shared" ref="F1430:G1432" si="497">J1430</f>
        <v>0.15277777777777782</v>
      </c>
      <c r="G1430" s="65">
        <f t="shared" si="497"/>
        <v>71.999999999999986</v>
      </c>
      <c r="H1430" s="77">
        <v>8.3333333333333339</v>
      </c>
      <c r="I1430" s="71">
        <f>M1430/L1430</f>
        <v>1.1000000000000001</v>
      </c>
      <c r="J1430" s="23">
        <f>11/K1430</f>
        <v>0.15277777777777782</v>
      </c>
      <c r="K1430" s="65">
        <f>M1430/(H1430*I1430)</f>
        <v>71.999999999999986</v>
      </c>
      <c r="L1430" s="21">
        <v>600</v>
      </c>
      <c r="M1430" s="21">
        <v>660</v>
      </c>
      <c r="N1430" s="285"/>
      <c r="O1430" s="285"/>
      <c r="P1430" s="285"/>
      <c r="Q1430" s="285"/>
      <c r="R1430" s="285"/>
      <c r="S1430" s="285"/>
      <c r="T1430" s="285"/>
      <c r="U1430" s="285"/>
      <c r="V1430" s="285"/>
      <c r="W1430" s="285"/>
    </row>
    <row r="1431" spans="1:23" s="26" customFormat="1" ht="30" customHeight="1" x14ac:dyDescent="0.2">
      <c r="A1431" s="106" t="s">
        <v>2533</v>
      </c>
      <c r="B1431" s="126" t="s">
        <v>928</v>
      </c>
      <c r="C1431" s="21" t="s">
        <v>1</v>
      </c>
      <c r="D1431" s="300">
        <v>1</v>
      </c>
      <c r="E1431" s="51">
        <f>G1431/11</f>
        <v>5.4545454545454541</v>
      </c>
      <c r="F1431" s="23">
        <f t="shared" si="497"/>
        <v>0.18333333333333332</v>
      </c>
      <c r="G1431" s="65">
        <f t="shared" si="497"/>
        <v>60</v>
      </c>
      <c r="H1431" s="77">
        <v>10</v>
      </c>
      <c r="I1431" s="71">
        <f>M1431/L1431</f>
        <v>1.1000000000000001</v>
      </c>
      <c r="J1431" s="23">
        <f>11/K1431</f>
        <v>0.18333333333333332</v>
      </c>
      <c r="K1431" s="65">
        <f>M1431/(H1431*I1431)</f>
        <v>60</v>
      </c>
      <c r="L1431" s="21">
        <v>600</v>
      </c>
      <c r="M1431" s="21">
        <v>660</v>
      </c>
      <c r="N1431" s="285"/>
      <c r="O1431" s="285"/>
      <c r="P1431" s="285"/>
      <c r="Q1431" s="285"/>
      <c r="R1431" s="285"/>
      <c r="S1431" s="285"/>
      <c r="T1431" s="285"/>
      <c r="U1431" s="285"/>
      <c r="V1431" s="285"/>
      <c r="W1431" s="285"/>
    </row>
    <row r="1432" spans="1:23" s="26" customFormat="1" ht="30" customHeight="1" x14ac:dyDescent="0.2">
      <c r="A1432" s="106" t="s">
        <v>2534</v>
      </c>
      <c r="B1432" s="126" t="s">
        <v>929</v>
      </c>
      <c r="C1432" s="21" t="s">
        <v>1</v>
      </c>
      <c r="D1432" s="300">
        <v>1</v>
      </c>
      <c r="E1432" s="51">
        <f>G1432/11</f>
        <v>3.272727272727272</v>
      </c>
      <c r="F1432" s="23">
        <f t="shared" si="497"/>
        <v>0.30555555555555564</v>
      </c>
      <c r="G1432" s="65">
        <f t="shared" si="497"/>
        <v>35.999999999999993</v>
      </c>
      <c r="H1432" s="77">
        <v>16.666666666666668</v>
      </c>
      <c r="I1432" s="71">
        <f>M1432/L1432</f>
        <v>1.1000000000000001</v>
      </c>
      <c r="J1432" s="23">
        <f>11/K1432</f>
        <v>0.30555555555555564</v>
      </c>
      <c r="K1432" s="65">
        <f>M1432/(H1432*I1432)</f>
        <v>35.999999999999993</v>
      </c>
      <c r="L1432" s="21">
        <v>600</v>
      </c>
      <c r="M1432" s="21">
        <v>660</v>
      </c>
      <c r="N1432" s="285"/>
      <c r="O1432" s="285"/>
      <c r="P1432" s="285"/>
      <c r="Q1432" s="285"/>
      <c r="R1432" s="285"/>
      <c r="S1432" s="285"/>
      <c r="T1432" s="285"/>
      <c r="U1432" s="285"/>
      <c r="V1432" s="285"/>
      <c r="W1432" s="285"/>
    </row>
    <row r="1433" spans="1:23" s="26" customFormat="1" ht="30" customHeight="1" x14ac:dyDescent="0.2">
      <c r="A1433" s="106"/>
      <c r="B1433" s="112" t="s">
        <v>84</v>
      </c>
      <c r="C1433" s="34"/>
      <c r="D1433" s="300">
        <v>1</v>
      </c>
      <c r="E1433" s="33"/>
      <c r="F1433" s="33"/>
      <c r="G1433" s="33"/>
      <c r="H1433" s="226"/>
      <c r="I1433" s="50">
        <f>K1433</f>
        <v>0</v>
      </c>
      <c r="J1433" s="63"/>
      <c r="K1433" s="64"/>
      <c r="L1433" s="63"/>
      <c r="M1433" s="64"/>
      <c r="N1433" s="285"/>
      <c r="O1433" s="285"/>
      <c r="P1433" s="285"/>
      <c r="Q1433" s="285"/>
      <c r="R1433" s="285"/>
      <c r="S1433" s="285"/>
      <c r="T1433" s="285"/>
      <c r="U1433" s="285"/>
      <c r="V1433" s="285"/>
      <c r="W1433" s="285"/>
    </row>
    <row r="1434" spans="1:23" s="26" customFormat="1" ht="30" customHeight="1" x14ac:dyDescent="0.2">
      <c r="A1434" s="106" t="s">
        <v>2535</v>
      </c>
      <c r="B1434" s="126" t="s">
        <v>86</v>
      </c>
      <c r="C1434" s="21" t="s">
        <v>1</v>
      </c>
      <c r="D1434" s="300">
        <v>1</v>
      </c>
      <c r="E1434" s="51">
        <f t="shared" ref="E1434:E1441" si="498">G1434/11</f>
        <v>2.2799999999999998</v>
      </c>
      <c r="F1434" s="23">
        <f t="shared" ref="F1434:G1441" si="499">J1434</f>
        <v>0.43859649122807021</v>
      </c>
      <c r="G1434" s="65">
        <f t="shared" si="499"/>
        <v>25.08</v>
      </c>
      <c r="H1434" s="77">
        <v>23.923444976076556</v>
      </c>
      <c r="I1434" s="71">
        <f t="shared" ref="I1434:I1441" si="500">M1434/L1434</f>
        <v>1.1000000000000001</v>
      </c>
      <c r="J1434" s="23">
        <f t="shared" ref="J1434:J1441" si="501">11/K1434</f>
        <v>0.43859649122807021</v>
      </c>
      <c r="K1434" s="65">
        <f t="shared" ref="K1434:K1441" si="502">M1434/(H1434*I1434)</f>
        <v>25.08</v>
      </c>
      <c r="L1434" s="21">
        <v>600</v>
      </c>
      <c r="M1434" s="21">
        <v>660</v>
      </c>
      <c r="N1434" s="285"/>
      <c r="O1434" s="285"/>
      <c r="P1434" s="285"/>
      <c r="Q1434" s="285"/>
      <c r="R1434" s="285"/>
      <c r="S1434" s="285"/>
      <c r="T1434" s="285"/>
      <c r="U1434" s="285"/>
      <c r="V1434" s="285"/>
      <c r="W1434" s="285"/>
    </row>
    <row r="1435" spans="1:23" s="26" customFormat="1" ht="30" customHeight="1" x14ac:dyDescent="0.2">
      <c r="A1435" s="106" t="s">
        <v>2536</v>
      </c>
      <c r="B1435" s="126" t="s">
        <v>87</v>
      </c>
      <c r="C1435" s="21" t="s">
        <v>1</v>
      </c>
      <c r="D1435" s="300">
        <v>1</v>
      </c>
      <c r="E1435" s="51">
        <f t="shared" si="498"/>
        <v>2.1599999999999997</v>
      </c>
      <c r="F1435" s="23">
        <f t="shared" si="499"/>
        <v>0.46296296296296302</v>
      </c>
      <c r="G1435" s="65">
        <f t="shared" si="499"/>
        <v>23.759999999999998</v>
      </c>
      <c r="H1435" s="77">
        <v>25.252525252525253</v>
      </c>
      <c r="I1435" s="71">
        <f t="shared" si="500"/>
        <v>1.1000000000000001</v>
      </c>
      <c r="J1435" s="23">
        <f t="shared" si="501"/>
        <v>0.46296296296296302</v>
      </c>
      <c r="K1435" s="65">
        <f t="shared" si="502"/>
        <v>23.759999999999998</v>
      </c>
      <c r="L1435" s="21">
        <v>600</v>
      </c>
      <c r="M1435" s="21">
        <v>660</v>
      </c>
      <c r="N1435" s="285"/>
      <c r="O1435" s="285"/>
      <c r="P1435" s="285"/>
      <c r="Q1435" s="285"/>
      <c r="R1435" s="285"/>
      <c r="S1435" s="285"/>
      <c r="T1435" s="285"/>
      <c r="U1435" s="285"/>
      <c r="V1435" s="285"/>
      <c r="W1435" s="285"/>
    </row>
    <row r="1436" spans="1:23" s="26" customFormat="1" ht="30" customHeight="1" x14ac:dyDescent="0.2">
      <c r="A1436" s="106" t="s">
        <v>2537</v>
      </c>
      <c r="B1436" s="126" t="s">
        <v>88</v>
      </c>
      <c r="C1436" s="21" t="s">
        <v>1</v>
      </c>
      <c r="D1436" s="300">
        <v>1</v>
      </c>
      <c r="E1436" s="51">
        <f t="shared" si="498"/>
        <v>2.1599999999999997</v>
      </c>
      <c r="F1436" s="23">
        <f t="shared" si="499"/>
        <v>0.46296296296296302</v>
      </c>
      <c r="G1436" s="65">
        <f t="shared" si="499"/>
        <v>23.759999999999998</v>
      </c>
      <c r="H1436" s="77">
        <v>25.252525252525253</v>
      </c>
      <c r="I1436" s="71">
        <f t="shared" si="500"/>
        <v>1.1000000000000001</v>
      </c>
      <c r="J1436" s="23">
        <f t="shared" si="501"/>
        <v>0.46296296296296302</v>
      </c>
      <c r="K1436" s="65">
        <f t="shared" si="502"/>
        <v>23.759999999999998</v>
      </c>
      <c r="L1436" s="21">
        <v>600</v>
      </c>
      <c r="M1436" s="21">
        <v>660</v>
      </c>
      <c r="N1436" s="285"/>
      <c r="O1436" s="285"/>
      <c r="P1436" s="285"/>
      <c r="Q1436" s="285"/>
      <c r="R1436" s="285"/>
      <c r="S1436" s="285"/>
      <c r="T1436" s="285"/>
      <c r="U1436" s="285"/>
      <c r="V1436" s="285"/>
      <c r="W1436" s="285"/>
    </row>
    <row r="1437" spans="1:23" s="26" customFormat="1" ht="30" customHeight="1" x14ac:dyDescent="0.2">
      <c r="A1437" s="106" t="s">
        <v>2538</v>
      </c>
      <c r="B1437" s="126" t="s">
        <v>89</v>
      </c>
      <c r="C1437" s="21" t="s">
        <v>1</v>
      </c>
      <c r="D1437" s="300">
        <v>1</v>
      </c>
      <c r="E1437" s="51">
        <f t="shared" si="498"/>
        <v>2.04</v>
      </c>
      <c r="F1437" s="23">
        <f t="shared" si="499"/>
        <v>0.49019607843137253</v>
      </c>
      <c r="G1437" s="65">
        <f t="shared" si="499"/>
        <v>22.44</v>
      </c>
      <c r="H1437" s="77">
        <v>26.737967914438499</v>
      </c>
      <c r="I1437" s="71">
        <f t="shared" si="500"/>
        <v>1.1000000000000001</v>
      </c>
      <c r="J1437" s="23">
        <f t="shared" si="501"/>
        <v>0.49019607843137253</v>
      </c>
      <c r="K1437" s="65">
        <f t="shared" si="502"/>
        <v>22.44</v>
      </c>
      <c r="L1437" s="21">
        <v>600</v>
      </c>
      <c r="M1437" s="21">
        <v>660</v>
      </c>
      <c r="N1437" s="285"/>
      <c r="O1437" s="285"/>
      <c r="P1437" s="285"/>
      <c r="Q1437" s="285"/>
      <c r="R1437" s="285"/>
      <c r="S1437" s="285"/>
      <c r="T1437" s="285"/>
      <c r="U1437" s="285"/>
      <c r="V1437" s="285"/>
      <c r="W1437" s="285"/>
    </row>
    <row r="1438" spans="1:23" s="26" customFormat="1" ht="30" customHeight="1" x14ac:dyDescent="0.2">
      <c r="A1438" s="106" t="s">
        <v>2539</v>
      </c>
      <c r="B1438" s="126" t="s">
        <v>90</v>
      </c>
      <c r="C1438" s="21" t="s">
        <v>1</v>
      </c>
      <c r="D1438" s="300">
        <v>1</v>
      </c>
      <c r="E1438" s="51">
        <f t="shared" si="498"/>
        <v>1.9200000000000002</v>
      </c>
      <c r="F1438" s="23">
        <f t="shared" si="499"/>
        <v>0.52083333333333326</v>
      </c>
      <c r="G1438" s="65">
        <f t="shared" si="499"/>
        <v>21.12</v>
      </c>
      <c r="H1438" s="77">
        <v>28.409090909090907</v>
      </c>
      <c r="I1438" s="71">
        <f t="shared" si="500"/>
        <v>1.1000000000000001</v>
      </c>
      <c r="J1438" s="23">
        <f t="shared" si="501"/>
        <v>0.52083333333333326</v>
      </c>
      <c r="K1438" s="65">
        <f t="shared" si="502"/>
        <v>21.12</v>
      </c>
      <c r="L1438" s="21">
        <v>600</v>
      </c>
      <c r="M1438" s="21">
        <v>660</v>
      </c>
      <c r="N1438" s="285"/>
      <c r="O1438" s="285"/>
      <c r="P1438" s="285"/>
      <c r="Q1438" s="285"/>
      <c r="R1438" s="285"/>
      <c r="S1438" s="285"/>
      <c r="T1438" s="285"/>
      <c r="U1438" s="285"/>
      <c r="V1438" s="285"/>
      <c r="W1438" s="285"/>
    </row>
    <row r="1439" spans="1:23" s="26" customFormat="1" ht="30" customHeight="1" x14ac:dyDescent="0.2">
      <c r="A1439" s="106" t="s">
        <v>2540</v>
      </c>
      <c r="B1439" s="126" t="s">
        <v>91</v>
      </c>
      <c r="C1439" s="21" t="s">
        <v>1</v>
      </c>
      <c r="D1439" s="300">
        <v>1</v>
      </c>
      <c r="E1439" s="51">
        <f t="shared" si="498"/>
        <v>1.9200000000000002</v>
      </c>
      <c r="F1439" s="23">
        <f t="shared" si="499"/>
        <v>0.52083333333333326</v>
      </c>
      <c r="G1439" s="65">
        <f t="shared" si="499"/>
        <v>21.12</v>
      </c>
      <c r="H1439" s="77">
        <v>28.409090909090907</v>
      </c>
      <c r="I1439" s="71">
        <f t="shared" si="500"/>
        <v>1.1000000000000001</v>
      </c>
      <c r="J1439" s="23">
        <f t="shared" si="501"/>
        <v>0.52083333333333326</v>
      </c>
      <c r="K1439" s="65">
        <f t="shared" si="502"/>
        <v>21.12</v>
      </c>
      <c r="L1439" s="21">
        <v>600</v>
      </c>
      <c r="M1439" s="21">
        <v>660</v>
      </c>
      <c r="N1439" s="285"/>
      <c r="O1439" s="285"/>
      <c r="P1439" s="285"/>
      <c r="Q1439" s="285"/>
      <c r="R1439" s="285"/>
      <c r="S1439" s="285"/>
      <c r="T1439" s="285"/>
      <c r="U1439" s="285"/>
      <c r="V1439" s="285"/>
      <c r="W1439" s="285"/>
    </row>
    <row r="1440" spans="1:23" s="26" customFormat="1" ht="30" customHeight="1" x14ac:dyDescent="0.2">
      <c r="A1440" s="106" t="s">
        <v>2541</v>
      </c>
      <c r="B1440" s="126" t="s">
        <v>92</v>
      </c>
      <c r="C1440" s="21" t="s">
        <v>1</v>
      </c>
      <c r="D1440" s="300">
        <v>1</v>
      </c>
      <c r="E1440" s="51">
        <f t="shared" si="498"/>
        <v>1.7999999999999994</v>
      </c>
      <c r="F1440" s="23">
        <f t="shared" si="499"/>
        <v>0.55555555555555569</v>
      </c>
      <c r="G1440" s="65">
        <f t="shared" si="499"/>
        <v>19.799999999999994</v>
      </c>
      <c r="H1440" s="77">
        <v>30.303030303030308</v>
      </c>
      <c r="I1440" s="71">
        <f t="shared" si="500"/>
        <v>1.1000000000000001</v>
      </c>
      <c r="J1440" s="23">
        <f t="shared" si="501"/>
        <v>0.55555555555555569</v>
      </c>
      <c r="K1440" s="65">
        <f t="shared" si="502"/>
        <v>19.799999999999994</v>
      </c>
      <c r="L1440" s="21">
        <v>600</v>
      </c>
      <c r="M1440" s="21">
        <v>660</v>
      </c>
      <c r="N1440" s="285"/>
      <c r="O1440" s="285"/>
      <c r="P1440" s="285"/>
      <c r="Q1440" s="285"/>
      <c r="R1440" s="285"/>
      <c r="S1440" s="285"/>
      <c r="T1440" s="285"/>
      <c r="U1440" s="285"/>
      <c r="V1440" s="285"/>
      <c r="W1440" s="285"/>
    </row>
    <row r="1441" spans="1:23" s="26" customFormat="1" ht="30" customHeight="1" x14ac:dyDescent="0.2">
      <c r="A1441" s="106" t="s">
        <v>2542</v>
      </c>
      <c r="B1441" s="126" t="s">
        <v>85</v>
      </c>
      <c r="C1441" s="21" t="s">
        <v>1</v>
      </c>
      <c r="D1441" s="300">
        <v>1</v>
      </c>
      <c r="E1441" s="51">
        <f t="shared" si="498"/>
        <v>1.56</v>
      </c>
      <c r="F1441" s="23">
        <f t="shared" si="499"/>
        <v>0.64102564102564097</v>
      </c>
      <c r="G1441" s="65">
        <f t="shared" si="499"/>
        <v>17.16</v>
      </c>
      <c r="H1441" s="77">
        <v>34.96503496503496</v>
      </c>
      <c r="I1441" s="71">
        <f t="shared" si="500"/>
        <v>1.1000000000000001</v>
      </c>
      <c r="J1441" s="23">
        <f t="shared" si="501"/>
        <v>0.64102564102564097</v>
      </c>
      <c r="K1441" s="65">
        <f t="shared" si="502"/>
        <v>17.16</v>
      </c>
      <c r="L1441" s="21">
        <v>600</v>
      </c>
      <c r="M1441" s="21">
        <v>660</v>
      </c>
      <c r="N1441" s="285"/>
      <c r="O1441" s="285"/>
      <c r="P1441" s="285"/>
      <c r="Q1441" s="285"/>
      <c r="R1441" s="285"/>
      <c r="S1441" s="285"/>
      <c r="T1441" s="285"/>
      <c r="U1441" s="285"/>
      <c r="V1441" s="285"/>
      <c r="W1441" s="285"/>
    </row>
    <row r="1442" spans="1:23" s="26" customFormat="1" ht="30" customHeight="1" x14ac:dyDescent="0.2">
      <c r="A1442" s="106"/>
      <c r="B1442" s="184" t="s">
        <v>636</v>
      </c>
      <c r="C1442" s="35"/>
      <c r="D1442" s="300">
        <v>1</v>
      </c>
      <c r="E1442" s="35"/>
      <c r="F1442" s="35"/>
      <c r="G1442" s="35"/>
      <c r="H1442" s="239"/>
      <c r="I1442" s="64"/>
      <c r="J1442" s="64"/>
      <c r="K1442" s="64"/>
      <c r="L1442" s="64"/>
      <c r="M1442" s="64"/>
      <c r="N1442" s="285"/>
      <c r="O1442" s="285"/>
      <c r="P1442" s="285"/>
      <c r="Q1442" s="285"/>
      <c r="R1442" s="285"/>
      <c r="S1442" s="285"/>
      <c r="T1442" s="285"/>
      <c r="U1442" s="285"/>
      <c r="V1442" s="285"/>
      <c r="W1442" s="285"/>
    </row>
    <row r="1443" spans="1:23" s="26" customFormat="1" ht="30" customHeight="1" x14ac:dyDescent="0.2">
      <c r="A1443" s="106"/>
      <c r="B1443" s="112" t="s">
        <v>898</v>
      </c>
      <c r="C1443" s="34"/>
      <c r="D1443" s="300">
        <v>1</v>
      </c>
      <c r="E1443" s="34"/>
      <c r="F1443" s="34"/>
      <c r="G1443" s="34"/>
      <c r="H1443" s="223"/>
      <c r="I1443" s="64"/>
      <c r="J1443" s="64"/>
      <c r="K1443" s="64"/>
      <c r="L1443" s="64"/>
      <c r="M1443" s="64"/>
      <c r="N1443" s="285"/>
      <c r="O1443" s="285"/>
      <c r="P1443" s="285"/>
      <c r="Q1443" s="285"/>
      <c r="R1443" s="285"/>
      <c r="S1443" s="285"/>
      <c r="T1443" s="285"/>
      <c r="U1443" s="285"/>
      <c r="V1443" s="285"/>
      <c r="W1443" s="285"/>
    </row>
    <row r="1444" spans="1:23" s="26" customFormat="1" ht="30" customHeight="1" x14ac:dyDescent="0.2">
      <c r="A1444" s="106" t="s">
        <v>2543</v>
      </c>
      <c r="B1444" s="196" t="s">
        <v>899</v>
      </c>
      <c r="C1444" s="49" t="s">
        <v>132</v>
      </c>
      <c r="D1444" s="300">
        <v>1</v>
      </c>
      <c r="E1444" s="51">
        <f t="shared" ref="E1444:E1449" si="503">G1444/11</f>
        <v>3.6363636363636362</v>
      </c>
      <c r="F1444" s="23">
        <f t="shared" ref="F1444:G1449" si="504">J1444</f>
        <v>0.27500000000000002</v>
      </c>
      <c r="G1444" s="65">
        <f t="shared" si="504"/>
        <v>40</v>
      </c>
      <c r="H1444" s="77">
        <v>15</v>
      </c>
      <c r="I1444" s="71">
        <f t="shared" ref="I1444:I1449" si="505">M1444/L1444</f>
        <v>1.1000000000000001</v>
      </c>
      <c r="J1444" s="23">
        <f t="shared" ref="J1444:J1449" si="506">11/K1444</f>
        <v>0.27500000000000002</v>
      </c>
      <c r="K1444" s="65">
        <f t="shared" ref="K1444:K1449" si="507">M1444/(H1444*I1444)</f>
        <v>40</v>
      </c>
      <c r="L1444" s="21">
        <v>600</v>
      </c>
      <c r="M1444" s="21">
        <v>660</v>
      </c>
      <c r="N1444" s="285"/>
      <c r="O1444" s="285"/>
      <c r="P1444" s="285"/>
      <c r="Q1444" s="285"/>
      <c r="R1444" s="285"/>
      <c r="S1444" s="285"/>
      <c r="T1444" s="285"/>
      <c r="U1444" s="285"/>
      <c r="V1444" s="285"/>
      <c r="W1444" s="285"/>
    </row>
    <row r="1445" spans="1:23" s="26" customFormat="1" ht="30" customHeight="1" x14ac:dyDescent="0.2">
      <c r="A1445" s="106" t="s">
        <v>2544</v>
      </c>
      <c r="B1445" s="197" t="s">
        <v>904</v>
      </c>
      <c r="C1445" s="51" t="s">
        <v>8</v>
      </c>
      <c r="D1445" s="300">
        <v>1</v>
      </c>
      <c r="E1445" s="51">
        <f t="shared" si="503"/>
        <v>2.6181818181818177</v>
      </c>
      <c r="F1445" s="23">
        <f t="shared" si="504"/>
        <v>0.38194444444444453</v>
      </c>
      <c r="G1445" s="65">
        <f t="shared" si="504"/>
        <v>28.799999999999994</v>
      </c>
      <c r="H1445" s="77">
        <v>20.833333333333336</v>
      </c>
      <c r="I1445" s="71">
        <f t="shared" si="505"/>
        <v>1.1000000000000001</v>
      </c>
      <c r="J1445" s="23">
        <f t="shared" si="506"/>
        <v>0.38194444444444453</v>
      </c>
      <c r="K1445" s="65">
        <f t="shared" si="507"/>
        <v>28.799999999999994</v>
      </c>
      <c r="L1445" s="21">
        <v>600</v>
      </c>
      <c r="M1445" s="21">
        <v>660</v>
      </c>
      <c r="N1445" s="285"/>
      <c r="O1445" s="285"/>
      <c r="P1445" s="285"/>
      <c r="Q1445" s="285"/>
      <c r="R1445" s="285"/>
      <c r="S1445" s="285"/>
      <c r="T1445" s="285"/>
      <c r="U1445" s="285"/>
      <c r="V1445" s="285"/>
      <c r="W1445" s="285"/>
    </row>
    <row r="1446" spans="1:23" s="26" customFormat="1" ht="30" customHeight="1" x14ac:dyDescent="0.2">
      <c r="A1446" s="106" t="s">
        <v>2545</v>
      </c>
      <c r="B1446" s="197" t="s">
        <v>900</v>
      </c>
      <c r="C1446" s="49" t="s">
        <v>132</v>
      </c>
      <c r="D1446" s="300">
        <v>1</v>
      </c>
      <c r="E1446" s="51">
        <f t="shared" si="503"/>
        <v>34.909090909090907</v>
      </c>
      <c r="F1446" s="23">
        <f t="shared" si="504"/>
        <v>2.8645833333333339E-2</v>
      </c>
      <c r="G1446" s="65">
        <f t="shared" si="504"/>
        <v>383.99999999999994</v>
      </c>
      <c r="H1446" s="77">
        <v>1.5625</v>
      </c>
      <c r="I1446" s="71">
        <f t="shared" si="505"/>
        <v>1.1000000000000001</v>
      </c>
      <c r="J1446" s="23">
        <f t="shared" si="506"/>
        <v>2.8645833333333339E-2</v>
      </c>
      <c r="K1446" s="65">
        <f t="shared" si="507"/>
        <v>383.99999999999994</v>
      </c>
      <c r="L1446" s="21">
        <v>600</v>
      </c>
      <c r="M1446" s="21">
        <v>660</v>
      </c>
      <c r="N1446" s="285"/>
      <c r="O1446" s="285"/>
      <c r="P1446" s="285"/>
      <c r="Q1446" s="285"/>
      <c r="R1446" s="285"/>
      <c r="S1446" s="285"/>
      <c r="T1446" s="285"/>
      <c r="U1446" s="285"/>
      <c r="V1446" s="285"/>
      <c r="W1446" s="285"/>
    </row>
    <row r="1447" spans="1:23" s="26" customFormat="1" ht="30" customHeight="1" x14ac:dyDescent="0.2">
      <c r="A1447" s="106" t="s">
        <v>2546</v>
      </c>
      <c r="B1447" s="197" t="s">
        <v>901</v>
      </c>
      <c r="C1447" s="49" t="s">
        <v>132</v>
      </c>
      <c r="D1447" s="300">
        <v>1</v>
      </c>
      <c r="E1447" s="51">
        <f t="shared" si="503"/>
        <v>17.454545454545453</v>
      </c>
      <c r="F1447" s="23">
        <f t="shared" si="504"/>
        <v>5.7291666666666678E-2</v>
      </c>
      <c r="G1447" s="65">
        <f t="shared" si="504"/>
        <v>191.99999999999997</v>
      </c>
      <c r="H1447" s="77">
        <v>3.125</v>
      </c>
      <c r="I1447" s="71">
        <f t="shared" si="505"/>
        <v>1.1000000000000001</v>
      </c>
      <c r="J1447" s="23">
        <f t="shared" si="506"/>
        <v>5.7291666666666678E-2</v>
      </c>
      <c r="K1447" s="65">
        <f t="shared" si="507"/>
        <v>191.99999999999997</v>
      </c>
      <c r="L1447" s="21">
        <v>600</v>
      </c>
      <c r="M1447" s="21">
        <v>660</v>
      </c>
      <c r="N1447" s="285"/>
      <c r="O1447" s="285"/>
      <c r="P1447" s="285"/>
      <c r="Q1447" s="285"/>
      <c r="R1447" s="285"/>
      <c r="S1447" s="285"/>
      <c r="T1447" s="285"/>
      <c r="U1447" s="285"/>
      <c r="V1447" s="285"/>
      <c r="W1447" s="285"/>
    </row>
    <row r="1448" spans="1:23" s="26" customFormat="1" ht="30" customHeight="1" x14ac:dyDescent="0.2">
      <c r="A1448" s="106" t="s">
        <v>2547</v>
      </c>
      <c r="B1448" s="197" t="s">
        <v>903</v>
      </c>
      <c r="C1448" s="49" t="s">
        <v>902</v>
      </c>
      <c r="D1448" s="300">
        <v>1</v>
      </c>
      <c r="E1448" s="51">
        <f t="shared" si="503"/>
        <v>0.72727272727272729</v>
      </c>
      <c r="F1448" s="23">
        <f t="shared" si="504"/>
        <v>1.375</v>
      </c>
      <c r="G1448" s="65">
        <f t="shared" si="504"/>
        <v>8</v>
      </c>
      <c r="H1448" s="77">
        <v>75</v>
      </c>
      <c r="I1448" s="71">
        <f t="shared" si="505"/>
        <v>1.1000000000000001</v>
      </c>
      <c r="J1448" s="23">
        <f t="shared" si="506"/>
        <v>1.375</v>
      </c>
      <c r="K1448" s="65">
        <f t="shared" si="507"/>
        <v>8</v>
      </c>
      <c r="L1448" s="21">
        <v>600</v>
      </c>
      <c r="M1448" s="21">
        <v>660</v>
      </c>
      <c r="N1448" s="285"/>
      <c r="O1448" s="285"/>
      <c r="P1448" s="285"/>
      <c r="Q1448" s="285"/>
      <c r="R1448" s="285"/>
      <c r="S1448" s="285"/>
      <c r="T1448" s="285"/>
      <c r="U1448" s="285"/>
      <c r="V1448" s="285"/>
      <c r="W1448" s="285"/>
    </row>
    <row r="1449" spans="1:23" s="26" customFormat="1" ht="30" customHeight="1" x14ac:dyDescent="0.2">
      <c r="A1449" s="106" t="s">
        <v>2548</v>
      </c>
      <c r="B1449" s="197" t="s">
        <v>1430</v>
      </c>
      <c r="C1449" s="49" t="s">
        <v>132</v>
      </c>
      <c r="D1449" s="300">
        <v>1</v>
      </c>
      <c r="E1449" s="51">
        <f t="shared" si="503"/>
        <v>17.454545454545453</v>
      </c>
      <c r="F1449" s="23">
        <f t="shared" si="504"/>
        <v>5.7291666666666678E-2</v>
      </c>
      <c r="G1449" s="65">
        <f t="shared" si="504"/>
        <v>191.99999999999997</v>
      </c>
      <c r="H1449" s="77">
        <v>3.125</v>
      </c>
      <c r="I1449" s="71">
        <f t="shared" si="505"/>
        <v>1.1000000000000001</v>
      </c>
      <c r="J1449" s="23">
        <f t="shared" si="506"/>
        <v>5.7291666666666678E-2</v>
      </c>
      <c r="K1449" s="65">
        <f t="shared" si="507"/>
        <v>191.99999999999997</v>
      </c>
      <c r="L1449" s="21">
        <v>600</v>
      </c>
      <c r="M1449" s="21">
        <v>660</v>
      </c>
      <c r="N1449" s="285"/>
      <c r="O1449" s="285"/>
      <c r="P1449" s="285"/>
      <c r="Q1449" s="285"/>
      <c r="R1449" s="285"/>
      <c r="S1449" s="285"/>
      <c r="T1449" s="285"/>
      <c r="U1449" s="285"/>
      <c r="V1449" s="285"/>
      <c r="W1449" s="285"/>
    </row>
    <row r="1450" spans="1:23" s="26" customFormat="1" ht="30" customHeight="1" x14ac:dyDescent="0.2">
      <c r="A1450" s="106"/>
      <c r="B1450" s="112" t="s">
        <v>3402</v>
      </c>
      <c r="C1450" s="34"/>
      <c r="D1450" s="300">
        <v>1</v>
      </c>
      <c r="E1450" s="34"/>
      <c r="F1450" s="34"/>
      <c r="G1450" s="34"/>
      <c r="H1450" s="223"/>
      <c r="I1450" s="71"/>
      <c r="J1450" s="298"/>
      <c r="K1450" s="302"/>
      <c r="L1450" s="297"/>
      <c r="M1450" s="297"/>
      <c r="N1450" s="285"/>
      <c r="O1450" s="285"/>
      <c r="P1450" s="285"/>
      <c r="Q1450" s="285"/>
      <c r="R1450" s="285"/>
      <c r="S1450" s="285"/>
      <c r="T1450" s="285"/>
      <c r="U1450" s="285"/>
      <c r="V1450" s="285"/>
      <c r="W1450" s="285"/>
    </row>
    <row r="1451" spans="1:23" s="26" customFormat="1" ht="30" customHeight="1" x14ac:dyDescent="0.2">
      <c r="A1451" s="305" t="s">
        <v>3403</v>
      </c>
      <c r="B1451" s="197" t="s">
        <v>3404</v>
      </c>
      <c r="C1451" s="299" t="s">
        <v>902</v>
      </c>
      <c r="D1451" s="300">
        <v>1</v>
      </c>
      <c r="E1451" s="301">
        <f t="shared" ref="E1451" si="508">G1451/11</f>
        <v>8.2644628099173542E-2</v>
      </c>
      <c r="F1451" s="298">
        <f>11/G1451</f>
        <v>12.100000000000001</v>
      </c>
      <c r="G1451" s="302">
        <f t="shared" ref="G1451" si="509">K1451</f>
        <v>0.90909090909090895</v>
      </c>
      <c r="H1451" s="303">
        <v>660</v>
      </c>
      <c r="I1451" s="71">
        <f t="shared" ref="I1451" si="510">M1451/L1451</f>
        <v>1.1000000000000001</v>
      </c>
      <c r="J1451" s="298">
        <f t="shared" ref="J1451" si="511">11/K1451</f>
        <v>12.100000000000001</v>
      </c>
      <c r="K1451" s="302">
        <f t="shared" ref="K1451" si="512">M1451/(H1451*I1451)</f>
        <v>0.90909090909090895</v>
      </c>
      <c r="L1451" s="297">
        <v>600</v>
      </c>
      <c r="M1451" s="297">
        <v>660</v>
      </c>
      <c r="N1451" s="285"/>
      <c r="O1451" s="285"/>
      <c r="P1451" s="285"/>
      <c r="Q1451" s="285"/>
      <c r="R1451" s="285"/>
      <c r="S1451" s="285"/>
      <c r="T1451" s="285"/>
      <c r="U1451" s="285"/>
      <c r="V1451" s="285"/>
      <c r="W1451" s="285"/>
    </row>
    <row r="1452" spans="1:23" s="26" customFormat="1" ht="30" customHeight="1" x14ac:dyDescent="0.2">
      <c r="A1452" s="106"/>
      <c r="B1452" s="112" t="s">
        <v>130</v>
      </c>
      <c r="C1452" s="34"/>
      <c r="D1452" s="300">
        <v>1</v>
      </c>
      <c r="E1452" s="34"/>
      <c r="F1452" s="34"/>
      <c r="G1452" s="34"/>
      <c r="H1452" s="223"/>
      <c r="I1452" s="50">
        <f>K1452</f>
        <v>0</v>
      </c>
      <c r="J1452" s="64"/>
      <c r="K1452" s="64"/>
      <c r="L1452" s="64"/>
      <c r="M1452" s="64"/>
      <c r="N1452" s="285"/>
      <c r="O1452" s="285"/>
      <c r="P1452" s="285"/>
      <c r="Q1452" s="285"/>
      <c r="R1452" s="285"/>
      <c r="S1452" s="285"/>
      <c r="T1452" s="285"/>
      <c r="U1452" s="285"/>
      <c r="V1452" s="285"/>
      <c r="W1452" s="285"/>
    </row>
    <row r="1453" spans="1:23" s="26" customFormat="1" ht="30" customHeight="1" x14ac:dyDescent="0.2">
      <c r="A1453" s="106" t="s">
        <v>2549</v>
      </c>
      <c r="B1453" s="196" t="s">
        <v>322</v>
      </c>
      <c r="C1453" s="49" t="s">
        <v>132</v>
      </c>
      <c r="D1453" s="300">
        <v>1</v>
      </c>
      <c r="E1453" s="51">
        <f t="shared" ref="E1453:E1482" si="513">G1453/11</f>
        <v>2.64</v>
      </c>
      <c r="F1453" s="23">
        <f t="shared" ref="F1453:G1482" si="514">J1453</f>
        <v>0.37878787878787878</v>
      </c>
      <c r="G1453" s="65">
        <f t="shared" si="514"/>
        <v>29.04</v>
      </c>
      <c r="H1453" s="77">
        <v>20.661157024793386</v>
      </c>
      <c r="I1453" s="71">
        <f t="shared" ref="I1453:I1482" si="515">M1453/L1453</f>
        <v>1.1000000000000001</v>
      </c>
      <c r="J1453" s="23">
        <f t="shared" ref="J1453:J1482" si="516">11/K1453</f>
        <v>0.37878787878787878</v>
      </c>
      <c r="K1453" s="65">
        <f t="shared" ref="K1453:K1482" si="517">M1453/(H1453*I1453)</f>
        <v>29.04</v>
      </c>
      <c r="L1453" s="21">
        <v>600</v>
      </c>
      <c r="M1453" s="21">
        <v>660</v>
      </c>
      <c r="N1453" s="285"/>
      <c r="O1453" s="285"/>
      <c r="P1453" s="285"/>
      <c r="Q1453" s="285"/>
      <c r="R1453" s="285"/>
      <c r="S1453" s="285"/>
      <c r="T1453" s="285"/>
      <c r="U1453" s="285"/>
      <c r="V1453" s="285"/>
      <c r="W1453" s="285"/>
    </row>
    <row r="1454" spans="1:23" s="26" customFormat="1" ht="30" customHeight="1" x14ac:dyDescent="0.2">
      <c r="A1454" s="106" t="s">
        <v>2550</v>
      </c>
      <c r="B1454" s="196" t="s">
        <v>541</v>
      </c>
      <c r="C1454" s="49" t="s">
        <v>132</v>
      </c>
      <c r="D1454" s="300">
        <v>1</v>
      </c>
      <c r="E1454" s="51">
        <f t="shared" si="513"/>
        <v>18.48</v>
      </c>
      <c r="F1454" s="23">
        <f t="shared" si="514"/>
        <v>5.4112554112554112E-2</v>
      </c>
      <c r="G1454" s="65">
        <f t="shared" si="514"/>
        <v>203.28</v>
      </c>
      <c r="H1454" s="77">
        <v>2.9515938606847696</v>
      </c>
      <c r="I1454" s="71">
        <f t="shared" si="515"/>
        <v>1.1000000000000001</v>
      </c>
      <c r="J1454" s="23">
        <f t="shared" si="516"/>
        <v>5.4112554112554112E-2</v>
      </c>
      <c r="K1454" s="65">
        <f t="shared" si="517"/>
        <v>203.28</v>
      </c>
      <c r="L1454" s="21">
        <v>600</v>
      </c>
      <c r="M1454" s="21">
        <v>660</v>
      </c>
      <c r="N1454" s="285"/>
      <c r="O1454" s="285"/>
      <c r="P1454" s="285"/>
      <c r="Q1454" s="285"/>
      <c r="R1454" s="285"/>
      <c r="S1454" s="285"/>
      <c r="T1454" s="285"/>
      <c r="U1454" s="285"/>
      <c r="V1454" s="285"/>
      <c r="W1454" s="285"/>
    </row>
    <row r="1455" spans="1:23" s="26" customFormat="1" ht="30" customHeight="1" x14ac:dyDescent="0.2">
      <c r="A1455" s="106" t="s">
        <v>2551</v>
      </c>
      <c r="B1455" s="196" t="s">
        <v>542</v>
      </c>
      <c r="C1455" s="49" t="s">
        <v>132</v>
      </c>
      <c r="D1455" s="300">
        <v>1</v>
      </c>
      <c r="E1455" s="51">
        <f t="shared" si="513"/>
        <v>15.120000000000003</v>
      </c>
      <c r="F1455" s="23">
        <f t="shared" si="514"/>
        <v>6.6137566137566134E-2</v>
      </c>
      <c r="G1455" s="65">
        <f t="shared" si="514"/>
        <v>166.32000000000002</v>
      </c>
      <c r="H1455" s="77">
        <v>3.6075036075036069</v>
      </c>
      <c r="I1455" s="71">
        <f t="shared" si="515"/>
        <v>1.1000000000000001</v>
      </c>
      <c r="J1455" s="23">
        <f t="shared" si="516"/>
        <v>6.6137566137566134E-2</v>
      </c>
      <c r="K1455" s="65">
        <f t="shared" si="517"/>
        <v>166.32000000000002</v>
      </c>
      <c r="L1455" s="21">
        <v>600</v>
      </c>
      <c r="M1455" s="21">
        <v>660</v>
      </c>
      <c r="N1455" s="285"/>
      <c r="O1455" s="285"/>
      <c r="P1455" s="285"/>
      <c r="Q1455" s="285"/>
      <c r="R1455" s="285"/>
      <c r="S1455" s="285"/>
      <c r="T1455" s="285"/>
      <c r="U1455" s="285"/>
      <c r="V1455" s="285"/>
      <c r="W1455" s="285"/>
    </row>
    <row r="1456" spans="1:23" s="26" customFormat="1" ht="30" customHeight="1" x14ac:dyDescent="0.2">
      <c r="A1456" s="106" t="s">
        <v>2552</v>
      </c>
      <c r="B1456" s="196" t="s">
        <v>543</v>
      </c>
      <c r="C1456" s="49" t="s">
        <v>132</v>
      </c>
      <c r="D1456" s="300">
        <v>1</v>
      </c>
      <c r="E1456" s="51">
        <f t="shared" si="513"/>
        <v>11.28</v>
      </c>
      <c r="F1456" s="23">
        <f t="shared" si="514"/>
        <v>8.8652482269503563E-2</v>
      </c>
      <c r="G1456" s="65">
        <f t="shared" si="514"/>
        <v>124.07999999999998</v>
      </c>
      <c r="H1456" s="77">
        <v>4.8355899419729207</v>
      </c>
      <c r="I1456" s="71">
        <f t="shared" si="515"/>
        <v>1.1000000000000001</v>
      </c>
      <c r="J1456" s="23">
        <f t="shared" si="516"/>
        <v>8.8652482269503563E-2</v>
      </c>
      <c r="K1456" s="65">
        <f t="shared" si="517"/>
        <v>124.07999999999998</v>
      </c>
      <c r="L1456" s="21">
        <v>600</v>
      </c>
      <c r="M1456" s="21">
        <v>660</v>
      </c>
      <c r="N1456" s="285"/>
      <c r="O1456" s="285"/>
      <c r="P1456" s="285"/>
      <c r="Q1456" s="285"/>
      <c r="R1456" s="285"/>
      <c r="S1456" s="285"/>
      <c r="T1456" s="285"/>
      <c r="U1456" s="285"/>
      <c r="V1456" s="285"/>
      <c r="W1456" s="285"/>
    </row>
    <row r="1457" spans="1:23" s="26" customFormat="1" ht="30" customHeight="1" x14ac:dyDescent="0.2">
      <c r="A1457" s="106" t="s">
        <v>2553</v>
      </c>
      <c r="B1457" s="196" t="s">
        <v>544</v>
      </c>
      <c r="C1457" s="49" t="s">
        <v>132</v>
      </c>
      <c r="D1457" s="300">
        <v>1</v>
      </c>
      <c r="E1457" s="51">
        <f t="shared" si="513"/>
        <v>7.6800000000000006</v>
      </c>
      <c r="F1457" s="23">
        <f t="shared" si="514"/>
        <v>0.13020833333333331</v>
      </c>
      <c r="G1457" s="65">
        <f t="shared" si="514"/>
        <v>84.48</v>
      </c>
      <c r="H1457" s="77">
        <v>7.1022727272727266</v>
      </c>
      <c r="I1457" s="71">
        <f t="shared" si="515"/>
        <v>1.1000000000000001</v>
      </c>
      <c r="J1457" s="23">
        <f t="shared" si="516"/>
        <v>0.13020833333333331</v>
      </c>
      <c r="K1457" s="65">
        <f t="shared" si="517"/>
        <v>84.48</v>
      </c>
      <c r="L1457" s="21">
        <v>600</v>
      </c>
      <c r="M1457" s="21">
        <v>660</v>
      </c>
      <c r="N1457" s="285"/>
      <c r="O1457" s="285"/>
      <c r="P1457" s="285"/>
      <c r="Q1457" s="285"/>
      <c r="R1457" s="285"/>
      <c r="S1457" s="285"/>
      <c r="T1457" s="285"/>
      <c r="U1457" s="285"/>
      <c r="V1457" s="285"/>
      <c r="W1457" s="285"/>
    </row>
    <row r="1458" spans="1:23" s="26" customFormat="1" ht="30" customHeight="1" x14ac:dyDescent="0.2">
      <c r="A1458" s="106" t="s">
        <v>2554</v>
      </c>
      <c r="B1458" s="196" t="s">
        <v>545</v>
      </c>
      <c r="C1458" s="49" t="s">
        <v>132</v>
      </c>
      <c r="D1458" s="300">
        <v>1</v>
      </c>
      <c r="E1458" s="51">
        <f t="shared" si="513"/>
        <v>5.8800000000000008</v>
      </c>
      <c r="F1458" s="23">
        <f t="shared" si="514"/>
        <v>0.17006802721088435</v>
      </c>
      <c r="G1458" s="65">
        <f t="shared" si="514"/>
        <v>64.680000000000007</v>
      </c>
      <c r="H1458" s="77">
        <v>9.2764378478664185</v>
      </c>
      <c r="I1458" s="71">
        <f t="shared" si="515"/>
        <v>1.1000000000000001</v>
      </c>
      <c r="J1458" s="23">
        <f t="shared" si="516"/>
        <v>0.17006802721088435</v>
      </c>
      <c r="K1458" s="65">
        <f t="shared" si="517"/>
        <v>64.680000000000007</v>
      </c>
      <c r="L1458" s="21">
        <v>600</v>
      </c>
      <c r="M1458" s="21">
        <v>660</v>
      </c>
      <c r="N1458" s="285"/>
      <c r="O1458" s="285"/>
      <c r="P1458" s="285"/>
      <c r="Q1458" s="285"/>
      <c r="R1458" s="285"/>
      <c r="S1458" s="285"/>
      <c r="T1458" s="285"/>
      <c r="U1458" s="285"/>
      <c r="V1458" s="285"/>
      <c r="W1458" s="285"/>
    </row>
    <row r="1459" spans="1:23" s="26" customFormat="1" ht="30" customHeight="1" x14ac:dyDescent="0.2">
      <c r="A1459" s="106" t="s">
        <v>2555</v>
      </c>
      <c r="B1459" s="124" t="s">
        <v>235</v>
      </c>
      <c r="C1459" s="49" t="s">
        <v>132</v>
      </c>
      <c r="D1459" s="300">
        <v>1</v>
      </c>
      <c r="E1459" s="51">
        <f t="shared" si="513"/>
        <v>5.8344000000000014</v>
      </c>
      <c r="F1459" s="23">
        <f t="shared" si="514"/>
        <v>0.17139723022075962</v>
      </c>
      <c r="G1459" s="65">
        <f t="shared" si="514"/>
        <v>64.178400000000011</v>
      </c>
      <c r="H1459" s="79">
        <v>9.3489398302232516</v>
      </c>
      <c r="I1459" s="71">
        <f t="shared" si="515"/>
        <v>1.1000000000000001</v>
      </c>
      <c r="J1459" s="23">
        <f t="shared" si="516"/>
        <v>0.17139723022075962</v>
      </c>
      <c r="K1459" s="65">
        <f t="shared" si="517"/>
        <v>64.178400000000011</v>
      </c>
      <c r="L1459" s="21">
        <v>600</v>
      </c>
      <c r="M1459" s="21">
        <v>660</v>
      </c>
      <c r="N1459" s="285"/>
      <c r="O1459" s="285"/>
      <c r="P1459" s="285"/>
      <c r="Q1459" s="285"/>
      <c r="R1459" s="285"/>
      <c r="S1459" s="285"/>
      <c r="T1459" s="285"/>
      <c r="U1459" s="285"/>
      <c r="V1459" s="285"/>
      <c r="W1459" s="285"/>
    </row>
    <row r="1460" spans="1:23" s="26" customFormat="1" ht="30" customHeight="1" x14ac:dyDescent="0.2">
      <c r="A1460" s="106" t="s">
        <v>2556</v>
      </c>
      <c r="B1460" s="124" t="s">
        <v>225</v>
      </c>
      <c r="C1460" s="49" t="s">
        <v>132</v>
      </c>
      <c r="D1460" s="300">
        <v>1</v>
      </c>
      <c r="E1460" s="51">
        <f t="shared" si="513"/>
        <v>4.4616000000000007</v>
      </c>
      <c r="F1460" s="23">
        <f t="shared" si="514"/>
        <v>0.22413483951945484</v>
      </c>
      <c r="G1460" s="65">
        <f t="shared" si="514"/>
        <v>49.077600000000011</v>
      </c>
      <c r="H1460" s="79">
        <v>12.225536701061174</v>
      </c>
      <c r="I1460" s="71">
        <f t="shared" si="515"/>
        <v>1.1000000000000001</v>
      </c>
      <c r="J1460" s="23">
        <f t="shared" si="516"/>
        <v>0.22413483951945484</v>
      </c>
      <c r="K1460" s="65">
        <f t="shared" si="517"/>
        <v>49.077600000000011</v>
      </c>
      <c r="L1460" s="21">
        <v>600</v>
      </c>
      <c r="M1460" s="21">
        <v>660</v>
      </c>
      <c r="N1460" s="285"/>
      <c r="O1460" s="285"/>
      <c r="P1460" s="285"/>
      <c r="Q1460" s="285"/>
      <c r="R1460" s="285"/>
      <c r="S1460" s="285"/>
      <c r="T1460" s="285"/>
      <c r="U1460" s="285"/>
      <c r="V1460" s="285"/>
      <c r="W1460" s="285"/>
    </row>
    <row r="1461" spans="1:23" s="26" customFormat="1" ht="30" customHeight="1" x14ac:dyDescent="0.2">
      <c r="A1461" s="106" t="s">
        <v>2557</v>
      </c>
      <c r="B1461" s="124" t="s">
        <v>231</v>
      </c>
      <c r="C1461" s="49" t="s">
        <v>132</v>
      </c>
      <c r="D1461" s="300">
        <v>1</v>
      </c>
      <c r="E1461" s="51">
        <f t="shared" si="513"/>
        <v>4.2900000000000018</v>
      </c>
      <c r="F1461" s="23">
        <f t="shared" si="514"/>
        <v>0.23310023310023301</v>
      </c>
      <c r="G1461" s="65">
        <f t="shared" si="514"/>
        <v>47.190000000000019</v>
      </c>
      <c r="H1461" s="79">
        <v>12.714558169103618</v>
      </c>
      <c r="I1461" s="71">
        <f t="shared" si="515"/>
        <v>1.1000000000000001</v>
      </c>
      <c r="J1461" s="23">
        <f t="shared" si="516"/>
        <v>0.23310023310023301</v>
      </c>
      <c r="K1461" s="65">
        <f t="shared" si="517"/>
        <v>47.190000000000019</v>
      </c>
      <c r="L1461" s="21">
        <v>600</v>
      </c>
      <c r="M1461" s="21">
        <v>660</v>
      </c>
      <c r="N1461" s="285"/>
      <c r="O1461" s="285"/>
      <c r="P1461" s="285"/>
      <c r="Q1461" s="285"/>
      <c r="R1461" s="285"/>
      <c r="S1461" s="285"/>
      <c r="T1461" s="285"/>
      <c r="U1461" s="285"/>
      <c r="V1461" s="285"/>
      <c r="W1461" s="285"/>
    </row>
    <row r="1462" spans="1:23" s="26" customFormat="1" ht="32.25" customHeight="1" x14ac:dyDescent="0.2">
      <c r="A1462" s="106" t="s">
        <v>2558</v>
      </c>
      <c r="B1462" s="124" t="s">
        <v>232</v>
      </c>
      <c r="C1462" s="49" t="s">
        <v>132</v>
      </c>
      <c r="D1462" s="300">
        <v>1</v>
      </c>
      <c r="E1462" s="51">
        <f t="shared" si="513"/>
        <v>3.6036000000000001</v>
      </c>
      <c r="F1462" s="23">
        <f t="shared" si="514"/>
        <v>0.2775002775002775</v>
      </c>
      <c r="G1462" s="65">
        <f t="shared" si="514"/>
        <v>39.639600000000002</v>
      </c>
      <c r="H1462" s="79">
        <v>15.136378772742408</v>
      </c>
      <c r="I1462" s="71">
        <f t="shared" si="515"/>
        <v>1.1000000000000001</v>
      </c>
      <c r="J1462" s="23">
        <f t="shared" si="516"/>
        <v>0.2775002775002775</v>
      </c>
      <c r="K1462" s="65">
        <f t="shared" si="517"/>
        <v>39.639600000000002</v>
      </c>
      <c r="L1462" s="21">
        <v>600</v>
      </c>
      <c r="M1462" s="21">
        <v>660</v>
      </c>
      <c r="N1462" s="285"/>
      <c r="O1462" s="285"/>
      <c r="P1462" s="285"/>
      <c r="Q1462" s="285"/>
      <c r="R1462" s="285"/>
      <c r="S1462" s="285"/>
      <c r="T1462" s="285"/>
      <c r="U1462" s="285"/>
      <c r="V1462" s="285"/>
      <c r="W1462" s="285"/>
    </row>
    <row r="1463" spans="1:23" s="26" customFormat="1" ht="30" customHeight="1" x14ac:dyDescent="0.2">
      <c r="A1463" s="106" t="s">
        <v>2559</v>
      </c>
      <c r="B1463" s="124" t="s">
        <v>233</v>
      </c>
      <c r="C1463" s="49" t="s">
        <v>132</v>
      </c>
      <c r="D1463" s="300">
        <v>1</v>
      </c>
      <c r="E1463" s="51">
        <f t="shared" si="513"/>
        <v>3.0887999999999995</v>
      </c>
      <c r="F1463" s="23">
        <f t="shared" si="514"/>
        <v>0.32375032375032375</v>
      </c>
      <c r="G1463" s="65">
        <f t="shared" si="514"/>
        <v>33.976799999999997</v>
      </c>
      <c r="H1463" s="79">
        <v>17.659108568199478</v>
      </c>
      <c r="I1463" s="71">
        <f t="shared" si="515"/>
        <v>1.1000000000000001</v>
      </c>
      <c r="J1463" s="23">
        <f t="shared" si="516"/>
        <v>0.32375032375032375</v>
      </c>
      <c r="K1463" s="65">
        <f t="shared" si="517"/>
        <v>33.976799999999997</v>
      </c>
      <c r="L1463" s="21">
        <v>600</v>
      </c>
      <c r="M1463" s="21">
        <v>660</v>
      </c>
      <c r="N1463" s="285"/>
      <c r="O1463" s="285"/>
      <c r="P1463" s="285"/>
      <c r="Q1463" s="285"/>
      <c r="R1463" s="285"/>
      <c r="S1463" s="285"/>
      <c r="T1463" s="285"/>
      <c r="U1463" s="285"/>
      <c r="V1463" s="285"/>
      <c r="W1463" s="285"/>
    </row>
    <row r="1464" spans="1:23" s="26" customFormat="1" ht="30" customHeight="1" x14ac:dyDescent="0.2">
      <c r="A1464" s="106" t="s">
        <v>2560</v>
      </c>
      <c r="B1464" s="124" t="s">
        <v>234</v>
      </c>
      <c r="C1464" s="49" t="s">
        <v>132</v>
      </c>
      <c r="D1464" s="300">
        <v>1</v>
      </c>
      <c r="E1464" s="51">
        <f t="shared" si="513"/>
        <v>2.4024000000000005</v>
      </c>
      <c r="F1464" s="23">
        <f t="shared" si="514"/>
        <v>0.41625041625041614</v>
      </c>
      <c r="G1464" s="65">
        <f t="shared" si="514"/>
        <v>26.426400000000008</v>
      </c>
      <c r="H1464" s="79">
        <v>22.704568159113606</v>
      </c>
      <c r="I1464" s="71">
        <f t="shared" si="515"/>
        <v>1.1000000000000001</v>
      </c>
      <c r="J1464" s="23">
        <f t="shared" si="516"/>
        <v>0.41625041625041614</v>
      </c>
      <c r="K1464" s="65">
        <f t="shared" si="517"/>
        <v>26.426400000000008</v>
      </c>
      <c r="L1464" s="21">
        <v>600</v>
      </c>
      <c r="M1464" s="21">
        <v>660</v>
      </c>
      <c r="N1464" s="285"/>
      <c r="O1464" s="285"/>
      <c r="P1464" s="285"/>
      <c r="Q1464" s="285"/>
      <c r="R1464" s="285"/>
      <c r="S1464" s="285"/>
      <c r="T1464" s="285"/>
      <c r="U1464" s="285"/>
      <c r="V1464" s="285"/>
      <c r="W1464" s="285"/>
    </row>
    <row r="1465" spans="1:23" s="26" customFormat="1" ht="30" customHeight="1" x14ac:dyDescent="0.2">
      <c r="A1465" s="106" t="s">
        <v>2561</v>
      </c>
      <c r="B1465" s="124" t="s">
        <v>238</v>
      </c>
      <c r="C1465" s="49" t="s">
        <v>132</v>
      </c>
      <c r="D1465" s="300">
        <v>1</v>
      </c>
      <c r="E1465" s="51">
        <f t="shared" si="513"/>
        <v>3.5999999999999988</v>
      </c>
      <c r="F1465" s="23">
        <f t="shared" si="514"/>
        <v>0.27777777777777785</v>
      </c>
      <c r="G1465" s="65">
        <f t="shared" si="514"/>
        <v>39.599999999999987</v>
      </c>
      <c r="H1465" s="77">
        <v>15.151515151515154</v>
      </c>
      <c r="I1465" s="71">
        <f t="shared" si="515"/>
        <v>1.1000000000000001</v>
      </c>
      <c r="J1465" s="23">
        <f t="shared" si="516"/>
        <v>0.27777777777777785</v>
      </c>
      <c r="K1465" s="65">
        <f t="shared" si="517"/>
        <v>39.599999999999987</v>
      </c>
      <c r="L1465" s="21">
        <v>600</v>
      </c>
      <c r="M1465" s="21">
        <v>660</v>
      </c>
      <c r="N1465" s="285"/>
      <c r="O1465" s="285"/>
      <c r="P1465" s="285"/>
      <c r="Q1465" s="285"/>
      <c r="R1465" s="285"/>
      <c r="S1465" s="285"/>
      <c r="T1465" s="285"/>
      <c r="U1465" s="285"/>
      <c r="V1465" s="285"/>
      <c r="W1465" s="285"/>
    </row>
    <row r="1466" spans="1:23" s="26" customFormat="1" ht="38.25" customHeight="1" x14ac:dyDescent="0.2">
      <c r="A1466" s="106" t="s">
        <v>2562</v>
      </c>
      <c r="B1466" s="124" t="s">
        <v>324</v>
      </c>
      <c r="C1466" s="49" t="s">
        <v>132</v>
      </c>
      <c r="D1466" s="300">
        <v>1</v>
      </c>
      <c r="E1466" s="51">
        <f t="shared" si="513"/>
        <v>3.36</v>
      </c>
      <c r="F1466" s="23">
        <f t="shared" si="514"/>
        <v>0.29761904761904762</v>
      </c>
      <c r="G1466" s="65">
        <f t="shared" si="514"/>
        <v>36.96</v>
      </c>
      <c r="H1466" s="77">
        <v>16.233766233766232</v>
      </c>
      <c r="I1466" s="71">
        <f t="shared" si="515"/>
        <v>1.1000000000000001</v>
      </c>
      <c r="J1466" s="23">
        <f t="shared" si="516"/>
        <v>0.29761904761904762</v>
      </c>
      <c r="K1466" s="65">
        <f t="shared" si="517"/>
        <v>36.96</v>
      </c>
      <c r="L1466" s="21">
        <v>600</v>
      </c>
      <c r="M1466" s="21">
        <v>660</v>
      </c>
      <c r="N1466" s="285"/>
      <c r="O1466" s="285"/>
      <c r="P1466" s="285"/>
      <c r="Q1466" s="285"/>
      <c r="R1466" s="285"/>
      <c r="S1466" s="285"/>
      <c r="T1466" s="285"/>
      <c r="U1466" s="285"/>
      <c r="V1466" s="285"/>
      <c r="W1466" s="285"/>
    </row>
    <row r="1467" spans="1:23" s="26" customFormat="1" ht="30" customHeight="1" x14ac:dyDescent="0.2">
      <c r="A1467" s="106" t="s">
        <v>2563</v>
      </c>
      <c r="B1467" s="124" t="s">
        <v>323</v>
      </c>
      <c r="C1467" s="49" t="s">
        <v>132</v>
      </c>
      <c r="D1467" s="300">
        <v>1</v>
      </c>
      <c r="E1467" s="51">
        <f t="shared" si="513"/>
        <v>3</v>
      </c>
      <c r="F1467" s="23">
        <f t="shared" si="514"/>
        <v>0.33333333333333331</v>
      </c>
      <c r="G1467" s="65">
        <f t="shared" si="514"/>
        <v>33</v>
      </c>
      <c r="H1467" s="77">
        <v>18.18181818181818</v>
      </c>
      <c r="I1467" s="71">
        <f t="shared" si="515"/>
        <v>1.1000000000000001</v>
      </c>
      <c r="J1467" s="23">
        <f t="shared" si="516"/>
        <v>0.33333333333333331</v>
      </c>
      <c r="K1467" s="65">
        <f t="shared" si="517"/>
        <v>33</v>
      </c>
      <c r="L1467" s="21">
        <v>600</v>
      </c>
      <c r="M1467" s="21">
        <v>660</v>
      </c>
      <c r="N1467" s="285"/>
      <c r="O1467" s="285"/>
      <c r="P1467" s="285"/>
      <c r="Q1467" s="285"/>
      <c r="R1467" s="285"/>
      <c r="S1467" s="285"/>
      <c r="T1467" s="285"/>
      <c r="U1467" s="285"/>
      <c r="V1467" s="285"/>
      <c r="W1467" s="285"/>
    </row>
    <row r="1468" spans="1:23" s="26" customFormat="1" ht="30" customHeight="1" x14ac:dyDescent="0.2">
      <c r="A1468" s="106" t="s">
        <v>2564</v>
      </c>
      <c r="B1468" s="126" t="s">
        <v>547</v>
      </c>
      <c r="C1468" s="49" t="s">
        <v>132</v>
      </c>
      <c r="D1468" s="300">
        <v>1</v>
      </c>
      <c r="E1468" s="51">
        <f t="shared" si="513"/>
        <v>43.56</v>
      </c>
      <c r="F1468" s="23">
        <f t="shared" si="514"/>
        <v>2.2956841138659319E-2</v>
      </c>
      <c r="G1468" s="65">
        <f t="shared" si="514"/>
        <v>479.16</v>
      </c>
      <c r="H1468" s="77">
        <v>1.2521913348359628</v>
      </c>
      <c r="I1468" s="71">
        <f t="shared" si="515"/>
        <v>1.1000000000000001</v>
      </c>
      <c r="J1468" s="23">
        <f t="shared" si="516"/>
        <v>2.2956841138659319E-2</v>
      </c>
      <c r="K1468" s="65">
        <f t="shared" si="517"/>
        <v>479.16</v>
      </c>
      <c r="L1468" s="21">
        <v>600</v>
      </c>
      <c r="M1468" s="21">
        <v>660</v>
      </c>
      <c r="N1468" s="285"/>
      <c r="O1468" s="285"/>
      <c r="P1468" s="285"/>
      <c r="Q1468" s="285"/>
      <c r="R1468" s="285"/>
      <c r="S1468" s="285"/>
      <c r="T1468" s="285"/>
      <c r="U1468" s="285"/>
      <c r="V1468" s="285"/>
      <c r="W1468" s="285"/>
    </row>
    <row r="1469" spans="1:23" s="26" customFormat="1" ht="30" customHeight="1" x14ac:dyDescent="0.2">
      <c r="A1469" s="106" t="s">
        <v>2565</v>
      </c>
      <c r="B1469" s="124" t="s">
        <v>228</v>
      </c>
      <c r="C1469" s="49" t="s">
        <v>132</v>
      </c>
      <c r="D1469" s="300">
        <v>1</v>
      </c>
      <c r="E1469" s="51">
        <f t="shared" si="513"/>
        <v>1.68</v>
      </c>
      <c r="F1469" s="23">
        <f t="shared" si="514"/>
        <v>0.59523809523809523</v>
      </c>
      <c r="G1469" s="65">
        <f t="shared" si="514"/>
        <v>18.48</v>
      </c>
      <c r="H1469" s="77">
        <v>32.467532467532465</v>
      </c>
      <c r="I1469" s="71">
        <f t="shared" si="515"/>
        <v>1.1000000000000001</v>
      </c>
      <c r="J1469" s="23">
        <f t="shared" si="516"/>
        <v>0.59523809523809523</v>
      </c>
      <c r="K1469" s="65">
        <f t="shared" si="517"/>
        <v>18.48</v>
      </c>
      <c r="L1469" s="21">
        <v>600</v>
      </c>
      <c r="M1469" s="21">
        <v>660</v>
      </c>
      <c r="N1469" s="285"/>
      <c r="O1469" s="285"/>
      <c r="P1469" s="285"/>
      <c r="Q1469" s="285"/>
      <c r="R1469" s="285"/>
      <c r="S1469" s="285"/>
      <c r="T1469" s="285"/>
      <c r="U1469" s="285"/>
      <c r="V1469" s="285"/>
      <c r="W1469" s="285"/>
    </row>
    <row r="1470" spans="1:23" s="26" customFormat="1" ht="30" customHeight="1" x14ac:dyDescent="0.2">
      <c r="A1470" s="106" t="s">
        <v>2566</v>
      </c>
      <c r="B1470" s="124" t="s">
        <v>239</v>
      </c>
      <c r="C1470" s="49" t="s">
        <v>132</v>
      </c>
      <c r="D1470" s="300">
        <v>1</v>
      </c>
      <c r="E1470" s="51">
        <f t="shared" si="513"/>
        <v>1.56</v>
      </c>
      <c r="F1470" s="23">
        <f t="shared" si="514"/>
        <v>0.64102564102564097</v>
      </c>
      <c r="G1470" s="65">
        <f t="shared" si="514"/>
        <v>17.16</v>
      </c>
      <c r="H1470" s="77">
        <v>34.96503496503496</v>
      </c>
      <c r="I1470" s="71">
        <f t="shared" si="515"/>
        <v>1.1000000000000001</v>
      </c>
      <c r="J1470" s="23">
        <f t="shared" si="516"/>
        <v>0.64102564102564097</v>
      </c>
      <c r="K1470" s="65">
        <f t="shared" si="517"/>
        <v>17.16</v>
      </c>
      <c r="L1470" s="21">
        <v>600</v>
      </c>
      <c r="M1470" s="21">
        <v>660</v>
      </c>
      <c r="N1470" s="285"/>
      <c r="O1470" s="285"/>
      <c r="P1470" s="285"/>
      <c r="Q1470" s="285"/>
      <c r="R1470" s="285"/>
      <c r="S1470" s="285"/>
      <c r="T1470" s="285"/>
      <c r="U1470" s="285"/>
      <c r="V1470" s="285"/>
      <c r="W1470" s="285"/>
    </row>
    <row r="1471" spans="1:23" s="26" customFormat="1" ht="30" customHeight="1" x14ac:dyDescent="0.2">
      <c r="A1471" s="106" t="s">
        <v>2567</v>
      </c>
      <c r="B1471" s="124" t="s">
        <v>251</v>
      </c>
      <c r="C1471" s="49" t="s">
        <v>132</v>
      </c>
      <c r="D1471" s="300">
        <v>1</v>
      </c>
      <c r="E1471" s="51">
        <f t="shared" si="513"/>
        <v>1.4399999999999997</v>
      </c>
      <c r="F1471" s="23">
        <f t="shared" si="514"/>
        <v>0.69444444444444453</v>
      </c>
      <c r="G1471" s="65">
        <f t="shared" si="514"/>
        <v>15.839999999999998</v>
      </c>
      <c r="H1471" s="77">
        <v>37.878787878787882</v>
      </c>
      <c r="I1471" s="71">
        <f t="shared" si="515"/>
        <v>1.1000000000000001</v>
      </c>
      <c r="J1471" s="23">
        <f t="shared" si="516"/>
        <v>0.69444444444444453</v>
      </c>
      <c r="K1471" s="65">
        <f t="shared" si="517"/>
        <v>15.839999999999998</v>
      </c>
      <c r="L1471" s="21">
        <v>600</v>
      </c>
      <c r="M1471" s="21">
        <v>660</v>
      </c>
      <c r="N1471" s="285"/>
      <c r="O1471" s="285"/>
      <c r="P1471" s="285"/>
      <c r="Q1471" s="285"/>
      <c r="R1471" s="285"/>
      <c r="S1471" s="285"/>
      <c r="T1471" s="285"/>
      <c r="U1471" s="285"/>
      <c r="V1471" s="285"/>
      <c r="W1471" s="285"/>
    </row>
    <row r="1472" spans="1:23" s="26" customFormat="1" ht="30" customHeight="1" x14ac:dyDescent="0.2">
      <c r="A1472" s="106" t="s">
        <v>2568</v>
      </c>
      <c r="B1472" s="124" t="s">
        <v>222</v>
      </c>
      <c r="C1472" s="49" t="s">
        <v>132</v>
      </c>
      <c r="D1472" s="300">
        <v>1</v>
      </c>
      <c r="E1472" s="51">
        <f t="shared" si="513"/>
        <v>6.3360000000000021</v>
      </c>
      <c r="F1472" s="23">
        <f t="shared" si="514"/>
        <v>0.15782828282828276</v>
      </c>
      <c r="G1472" s="65">
        <f t="shared" si="514"/>
        <v>69.696000000000026</v>
      </c>
      <c r="H1472" s="77">
        <v>8.6088154269972428</v>
      </c>
      <c r="I1472" s="71">
        <f t="shared" si="515"/>
        <v>1.1000000000000001</v>
      </c>
      <c r="J1472" s="23">
        <f t="shared" si="516"/>
        <v>0.15782828282828276</v>
      </c>
      <c r="K1472" s="65">
        <f t="shared" si="517"/>
        <v>69.696000000000026</v>
      </c>
      <c r="L1472" s="21">
        <v>600</v>
      </c>
      <c r="M1472" s="21">
        <v>660</v>
      </c>
      <c r="N1472" s="285"/>
      <c r="O1472" s="285"/>
      <c r="P1472" s="285"/>
      <c r="Q1472" s="285"/>
      <c r="R1472" s="285"/>
      <c r="S1472" s="285"/>
      <c r="T1472" s="285"/>
      <c r="U1472" s="285"/>
      <c r="V1472" s="285"/>
      <c r="W1472" s="285"/>
    </row>
    <row r="1473" spans="1:23" s="26" customFormat="1" ht="30" customHeight="1" x14ac:dyDescent="0.2">
      <c r="A1473" s="106" t="s">
        <v>2569</v>
      </c>
      <c r="B1473" s="124" t="s">
        <v>221</v>
      </c>
      <c r="C1473" s="49" t="s">
        <v>132</v>
      </c>
      <c r="D1473" s="300">
        <v>1</v>
      </c>
      <c r="E1473" s="51">
        <f t="shared" si="513"/>
        <v>5.28</v>
      </c>
      <c r="F1473" s="23">
        <f t="shared" si="514"/>
        <v>0.18939393939393939</v>
      </c>
      <c r="G1473" s="65">
        <f t="shared" si="514"/>
        <v>58.08</v>
      </c>
      <c r="H1473" s="77">
        <v>10.330578512396693</v>
      </c>
      <c r="I1473" s="71">
        <f t="shared" si="515"/>
        <v>1.1000000000000001</v>
      </c>
      <c r="J1473" s="23">
        <f t="shared" si="516"/>
        <v>0.18939393939393939</v>
      </c>
      <c r="K1473" s="65">
        <f t="shared" si="517"/>
        <v>58.08</v>
      </c>
      <c r="L1473" s="21">
        <v>600</v>
      </c>
      <c r="M1473" s="21">
        <v>660</v>
      </c>
      <c r="N1473" s="285"/>
      <c r="O1473" s="285"/>
      <c r="P1473" s="285"/>
      <c r="Q1473" s="285"/>
      <c r="R1473" s="285"/>
      <c r="S1473" s="285"/>
      <c r="T1473" s="285"/>
      <c r="U1473" s="285"/>
      <c r="V1473" s="285"/>
      <c r="W1473" s="285"/>
    </row>
    <row r="1474" spans="1:23" s="26" customFormat="1" ht="30" customHeight="1" x14ac:dyDescent="0.2">
      <c r="A1474" s="106" t="s">
        <v>2570</v>
      </c>
      <c r="B1474" s="126" t="s">
        <v>248</v>
      </c>
      <c r="C1474" s="49" t="s">
        <v>261</v>
      </c>
      <c r="D1474" s="300">
        <v>1</v>
      </c>
      <c r="E1474" s="51">
        <f t="shared" si="513"/>
        <v>34.090909090909086</v>
      </c>
      <c r="F1474" s="23">
        <f t="shared" si="514"/>
        <v>2.9333333333333336E-2</v>
      </c>
      <c r="G1474" s="65">
        <f t="shared" si="514"/>
        <v>374.99999999999994</v>
      </c>
      <c r="H1474" s="77">
        <v>1.6</v>
      </c>
      <c r="I1474" s="71">
        <f t="shared" si="515"/>
        <v>1.1000000000000001</v>
      </c>
      <c r="J1474" s="23">
        <f t="shared" si="516"/>
        <v>2.9333333333333336E-2</v>
      </c>
      <c r="K1474" s="65">
        <f t="shared" si="517"/>
        <v>374.99999999999994</v>
      </c>
      <c r="L1474" s="21">
        <v>600</v>
      </c>
      <c r="M1474" s="21">
        <v>660</v>
      </c>
      <c r="N1474" s="285"/>
      <c r="O1474" s="285"/>
      <c r="P1474" s="285"/>
      <c r="Q1474" s="285"/>
      <c r="R1474" s="285"/>
      <c r="S1474" s="285"/>
      <c r="T1474" s="285"/>
      <c r="U1474" s="285"/>
      <c r="V1474" s="285"/>
      <c r="W1474" s="285"/>
    </row>
    <row r="1475" spans="1:23" s="26" customFormat="1" ht="30" customHeight="1" x14ac:dyDescent="0.2">
      <c r="A1475" s="106" t="s">
        <v>2571</v>
      </c>
      <c r="B1475" s="126" t="s">
        <v>249</v>
      </c>
      <c r="C1475" s="49" t="s">
        <v>261</v>
      </c>
      <c r="D1475" s="300">
        <v>1</v>
      </c>
      <c r="E1475" s="51">
        <f t="shared" si="513"/>
        <v>27.709090909090904</v>
      </c>
      <c r="F1475" s="23">
        <f t="shared" si="514"/>
        <v>3.608923884514436E-2</v>
      </c>
      <c r="G1475" s="65">
        <f t="shared" si="514"/>
        <v>304.79999999999995</v>
      </c>
      <c r="H1475" s="77">
        <v>1.9685039370078738</v>
      </c>
      <c r="I1475" s="71">
        <f t="shared" si="515"/>
        <v>1.1000000000000001</v>
      </c>
      <c r="J1475" s="23">
        <f t="shared" si="516"/>
        <v>3.608923884514436E-2</v>
      </c>
      <c r="K1475" s="65">
        <f t="shared" si="517"/>
        <v>304.79999999999995</v>
      </c>
      <c r="L1475" s="21">
        <v>600</v>
      </c>
      <c r="M1475" s="21">
        <v>660</v>
      </c>
      <c r="N1475" s="285"/>
      <c r="O1475" s="285"/>
      <c r="P1475" s="285"/>
      <c r="Q1475" s="285"/>
      <c r="R1475" s="285"/>
      <c r="S1475" s="285"/>
      <c r="T1475" s="285"/>
      <c r="U1475" s="285"/>
      <c r="V1475" s="285"/>
      <c r="W1475" s="285"/>
    </row>
    <row r="1476" spans="1:23" s="26" customFormat="1" ht="30" customHeight="1" x14ac:dyDescent="0.2">
      <c r="A1476" s="106" t="s">
        <v>2572</v>
      </c>
      <c r="B1476" s="126" t="s">
        <v>250</v>
      </c>
      <c r="C1476" s="49" t="s">
        <v>261</v>
      </c>
      <c r="D1476" s="300">
        <v>1</v>
      </c>
      <c r="E1476" s="51">
        <f t="shared" si="513"/>
        <v>21.16363636363636</v>
      </c>
      <c r="F1476" s="23">
        <f t="shared" si="514"/>
        <v>4.7250859106529222E-2</v>
      </c>
      <c r="G1476" s="65">
        <f t="shared" si="514"/>
        <v>232.79999999999995</v>
      </c>
      <c r="H1476" s="77">
        <v>2.5773195876288661</v>
      </c>
      <c r="I1476" s="71">
        <f t="shared" si="515"/>
        <v>1.1000000000000001</v>
      </c>
      <c r="J1476" s="23">
        <f t="shared" si="516"/>
        <v>4.7250859106529222E-2</v>
      </c>
      <c r="K1476" s="65">
        <f t="shared" si="517"/>
        <v>232.79999999999995</v>
      </c>
      <c r="L1476" s="21">
        <v>600</v>
      </c>
      <c r="M1476" s="21">
        <v>660</v>
      </c>
      <c r="N1476" s="285"/>
      <c r="O1476" s="285"/>
      <c r="P1476" s="285"/>
      <c r="Q1476" s="285"/>
      <c r="R1476" s="285"/>
      <c r="S1476" s="285"/>
      <c r="T1476" s="285"/>
      <c r="U1476" s="285"/>
      <c r="V1476" s="285"/>
      <c r="W1476" s="285"/>
    </row>
    <row r="1477" spans="1:23" s="26" customFormat="1" ht="30" customHeight="1" x14ac:dyDescent="0.2">
      <c r="A1477" s="106" t="s">
        <v>2573</v>
      </c>
      <c r="B1477" s="126" t="s">
        <v>223</v>
      </c>
      <c r="C1477" s="49" t="s">
        <v>132</v>
      </c>
      <c r="D1477" s="300">
        <v>1</v>
      </c>
      <c r="E1477" s="51">
        <f t="shared" si="513"/>
        <v>29.040000000000006</v>
      </c>
      <c r="F1477" s="23">
        <f t="shared" si="514"/>
        <v>3.4435261707988975E-2</v>
      </c>
      <c r="G1477" s="65">
        <f t="shared" si="514"/>
        <v>319.44000000000005</v>
      </c>
      <c r="H1477" s="77">
        <v>1.8782870022539442</v>
      </c>
      <c r="I1477" s="71">
        <f t="shared" si="515"/>
        <v>1.1000000000000001</v>
      </c>
      <c r="J1477" s="23">
        <f t="shared" si="516"/>
        <v>3.4435261707988975E-2</v>
      </c>
      <c r="K1477" s="65">
        <f t="shared" si="517"/>
        <v>319.44000000000005</v>
      </c>
      <c r="L1477" s="21">
        <v>600</v>
      </c>
      <c r="M1477" s="21">
        <v>660</v>
      </c>
      <c r="N1477" s="285"/>
      <c r="O1477" s="285"/>
      <c r="P1477" s="285"/>
      <c r="Q1477" s="285"/>
      <c r="R1477" s="285"/>
      <c r="S1477" s="285"/>
      <c r="T1477" s="285"/>
      <c r="U1477" s="285"/>
      <c r="V1477" s="285"/>
      <c r="W1477" s="285"/>
    </row>
    <row r="1478" spans="1:23" s="26" customFormat="1" ht="30" customHeight="1" x14ac:dyDescent="0.2">
      <c r="A1478" s="106" t="s">
        <v>2574</v>
      </c>
      <c r="B1478" s="126" t="s">
        <v>237</v>
      </c>
      <c r="C1478" s="49" t="s">
        <v>132</v>
      </c>
      <c r="D1478" s="300">
        <v>1</v>
      </c>
      <c r="E1478" s="51">
        <f t="shared" si="513"/>
        <v>145.19999999999996</v>
      </c>
      <c r="F1478" s="23">
        <f t="shared" si="514"/>
        <v>6.8870523415977981E-3</v>
      </c>
      <c r="G1478" s="65">
        <f t="shared" si="514"/>
        <v>1597.1999999999996</v>
      </c>
      <c r="H1478" s="77">
        <v>0.37565740045078894</v>
      </c>
      <c r="I1478" s="71">
        <f t="shared" si="515"/>
        <v>1.1000000000000001</v>
      </c>
      <c r="J1478" s="23">
        <f t="shared" si="516"/>
        <v>6.8870523415977981E-3</v>
      </c>
      <c r="K1478" s="65">
        <f t="shared" si="517"/>
        <v>1597.1999999999996</v>
      </c>
      <c r="L1478" s="21">
        <v>600</v>
      </c>
      <c r="M1478" s="21">
        <v>660</v>
      </c>
      <c r="N1478" s="285"/>
      <c r="O1478" s="285"/>
      <c r="P1478" s="285"/>
      <c r="Q1478" s="285"/>
      <c r="R1478" s="285"/>
      <c r="S1478" s="285"/>
      <c r="T1478" s="285"/>
      <c r="U1478" s="285"/>
      <c r="V1478" s="285"/>
      <c r="W1478" s="285"/>
    </row>
    <row r="1479" spans="1:23" s="26" customFormat="1" ht="30" customHeight="1" x14ac:dyDescent="0.2">
      <c r="A1479" s="106" t="s">
        <v>2575</v>
      </c>
      <c r="B1479" s="126" t="s">
        <v>546</v>
      </c>
      <c r="C1479" s="49" t="s">
        <v>132</v>
      </c>
      <c r="D1479" s="300">
        <v>1</v>
      </c>
      <c r="E1479" s="51">
        <f t="shared" si="513"/>
        <v>3.9599999999999995</v>
      </c>
      <c r="F1479" s="23">
        <f t="shared" si="514"/>
        <v>0.25252525252525254</v>
      </c>
      <c r="G1479" s="65">
        <f t="shared" si="514"/>
        <v>43.559999999999995</v>
      </c>
      <c r="H1479" s="77">
        <v>13.774104683195592</v>
      </c>
      <c r="I1479" s="71">
        <f t="shared" si="515"/>
        <v>1.1000000000000001</v>
      </c>
      <c r="J1479" s="23">
        <f t="shared" si="516"/>
        <v>0.25252525252525254</v>
      </c>
      <c r="K1479" s="65">
        <f t="shared" si="517"/>
        <v>43.559999999999995</v>
      </c>
      <c r="L1479" s="21">
        <v>600</v>
      </c>
      <c r="M1479" s="21">
        <v>660</v>
      </c>
      <c r="N1479" s="285"/>
      <c r="O1479" s="285"/>
      <c r="P1479" s="285"/>
      <c r="Q1479" s="285"/>
      <c r="R1479" s="285"/>
      <c r="S1479" s="285"/>
      <c r="T1479" s="285"/>
      <c r="U1479" s="285"/>
      <c r="V1479" s="285"/>
      <c r="W1479" s="285"/>
    </row>
    <row r="1480" spans="1:23" s="26" customFormat="1" ht="30" customHeight="1" x14ac:dyDescent="0.2">
      <c r="A1480" s="106" t="s">
        <v>2576</v>
      </c>
      <c r="B1480" s="126" t="s">
        <v>730</v>
      </c>
      <c r="C1480" s="49" t="s">
        <v>132</v>
      </c>
      <c r="D1480" s="300">
        <v>1</v>
      </c>
      <c r="E1480" s="51">
        <f t="shared" si="513"/>
        <v>163.6363636363636</v>
      </c>
      <c r="F1480" s="23">
        <f t="shared" si="514"/>
        <v>6.1111111111111123E-3</v>
      </c>
      <c r="G1480" s="65">
        <f t="shared" si="514"/>
        <v>1799.9999999999995</v>
      </c>
      <c r="H1480" s="77">
        <v>0.33333333333333337</v>
      </c>
      <c r="I1480" s="71">
        <f t="shared" si="515"/>
        <v>1.1000000000000001</v>
      </c>
      <c r="J1480" s="23">
        <f t="shared" si="516"/>
        <v>6.1111111111111123E-3</v>
      </c>
      <c r="K1480" s="65">
        <f t="shared" si="517"/>
        <v>1799.9999999999995</v>
      </c>
      <c r="L1480" s="21">
        <v>600</v>
      </c>
      <c r="M1480" s="21">
        <v>660</v>
      </c>
      <c r="N1480" s="285"/>
      <c r="O1480" s="285"/>
      <c r="P1480" s="285"/>
      <c r="Q1480" s="285"/>
      <c r="R1480" s="285"/>
      <c r="S1480" s="285"/>
      <c r="T1480" s="285"/>
      <c r="U1480" s="285"/>
      <c r="V1480" s="285"/>
      <c r="W1480" s="285"/>
    </row>
    <row r="1481" spans="1:23" s="26" customFormat="1" ht="30" customHeight="1" x14ac:dyDescent="0.2">
      <c r="A1481" s="106" t="s">
        <v>2577</v>
      </c>
      <c r="B1481" s="126" t="s">
        <v>731</v>
      </c>
      <c r="C1481" s="49" t="s">
        <v>132</v>
      </c>
      <c r="D1481" s="300">
        <v>1</v>
      </c>
      <c r="E1481" s="51">
        <f t="shared" si="513"/>
        <v>125.45454545454545</v>
      </c>
      <c r="F1481" s="23">
        <f t="shared" si="514"/>
        <v>7.9710144927536229E-3</v>
      </c>
      <c r="G1481" s="65">
        <f t="shared" si="514"/>
        <v>1380</v>
      </c>
      <c r="H1481" s="77">
        <v>0.43478260869565216</v>
      </c>
      <c r="I1481" s="71">
        <f t="shared" si="515"/>
        <v>1.1000000000000001</v>
      </c>
      <c r="J1481" s="23">
        <f t="shared" si="516"/>
        <v>7.9710144927536229E-3</v>
      </c>
      <c r="K1481" s="65">
        <f t="shared" si="517"/>
        <v>1380</v>
      </c>
      <c r="L1481" s="21">
        <v>600</v>
      </c>
      <c r="M1481" s="21">
        <v>660</v>
      </c>
      <c r="N1481" s="285"/>
      <c r="O1481" s="285"/>
      <c r="P1481" s="285"/>
      <c r="Q1481" s="285"/>
      <c r="R1481" s="285"/>
      <c r="S1481" s="285"/>
      <c r="T1481" s="285"/>
      <c r="U1481" s="285"/>
      <c r="V1481" s="285"/>
      <c r="W1481" s="285"/>
    </row>
    <row r="1482" spans="1:23" s="26" customFormat="1" ht="30" customHeight="1" x14ac:dyDescent="0.2">
      <c r="A1482" s="106" t="s">
        <v>2578</v>
      </c>
      <c r="B1482" s="126" t="s">
        <v>971</v>
      </c>
      <c r="C1482" s="49" t="s">
        <v>132</v>
      </c>
      <c r="D1482" s="300">
        <v>1</v>
      </c>
      <c r="E1482" s="51">
        <f t="shared" si="513"/>
        <v>0.55096418732782371</v>
      </c>
      <c r="F1482" s="23">
        <f t="shared" si="514"/>
        <v>1.8149999999999999</v>
      </c>
      <c r="G1482" s="65">
        <f t="shared" si="514"/>
        <v>6.0606060606060606</v>
      </c>
      <c r="H1482" s="77">
        <v>99</v>
      </c>
      <c r="I1482" s="71">
        <f t="shared" si="515"/>
        <v>1.1000000000000001</v>
      </c>
      <c r="J1482" s="23">
        <f t="shared" si="516"/>
        <v>1.8149999999999999</v>
      </c>
      <c r="K1482" s="65">
        <f t="shared" si="517"/>
        <v>6.0606060606060606</v>
      </c>
      <c r="L1482" s="21">
        <v>600</v>
      </c>
      <c r="M1482" s="21">
        <v>660</v>
      </c>
      <c r="N1482" s="285"/>
      <c r="O1482" s="285"/>
      <c r="P1482" s="285"/>
      <c r="Q1482" s="285"/>
      <c r="R1482" s="285"/>
      <c r="S1482" s="285"/>
      <c r="T1482" s="285"/>
      <c r="U1482" s="285"/>
      <c r="V1482" s="285"/>
      <c r="W1482" s="285"/>
    </row>
    <row r="1483" spans="1:23" s="26" customFormat="1" ht="30" customHeight="1" x14ac:dyDescent="0.2">
      <c r="A1483" s="106"/>
      <c r="B1483" s="198" t="s">
        <v>681</v>
      </c>
      <c r="C1483" s="34"/>
      <c r="D1483" s="300">
        <v>1</v>
      </c>
      <c r="E1483" s="34"/>
      <c r="F1483" s="34"/>
      <c r="G1483" s="34"/>
      <c r="H1483" s="223"/>
      <c r="I1483" s="50">
        <f>K1483</f>
        <v>0</v>
      </c>
      <c r="J1483" s="64"/>
      <c r="K1483" s="64"/>
      <c r="L1483" s="64"/>
      <c r="M1483" s="64"/>
      <c r="N1483" s="285"/>
      <c r="O1483" s="285"/>
      <c r="P1483" s="285"/>
      <c r="Q1483" s="285"/>
      <c r="R1483" s="285"/>
      <c r="S1483" s="285"/>
      <c r="T1483" s="285"/>
      <c r="U1483" s="285"/>
      <c r="V1483" s="285"/>
      <c r="W1483" s="285"/>
    </row>
    <row r="1484" spans="1:23" s="26" customFormat="1" ht="30" customHeight="1" x14ac:dyDescent="0.2">
      <c r="A1484" s="106" t="s">
        <v>2579</v>
      </c>
      <c r="B1484" s="131" t="s">
        <v>695</v>
      </c>
      <c r="C1484" s="49" t="s">
        <v>132</v>
      </c>
      <c r="D1484" s="300">
        <v>1</v>
      </c>
      <c r="E1484" s="51">
        <f>G1484/11</f>
        <v>23.520000000000003</v>
      </c>
      <c r="F1484" s="23">
        <f>J1484</f>
        <v>4.2517006802721087E-2</v>
      </c>
      <c r="G1484" s="65">
        <f>K1484</f>
        <v>258.72000000000003</v>
      </c>
      <c r="H1484" s="77">
        <v>2.3191094619666046</v>
      </c>
      <c r="I1484" s="71">
        <f>M1484/L1484</f>
        <v>1.1000000000000001</v>
      </c>
      <c r="J1484" s="23">
        <f>11/K1484</f>
        <v>4.2517006802721087E-2</v>
      </c>
      <c r="K1484" s="65">
        <f>M1484/(H1484*I1484)</f>
        <v>258.72000000000003</v>
      </c>
      <c r="L1484" s="21">
        <v>600</v>
      </c>
      <c r="M1484" s="21">
        <v>660</v>
      </c>
      <c r="N1484" s="285"/>
      <c r="O1484" s="285"/>
      <c r="P1484" s="285"/>
      <c r="Q1484" s="285"/>
      <c r="R1484" s="285"/>
      <c r="S1484" s="285"/>
      <c r="T1484" s="285"/>
      <c r="U1484" s="285"/>
      <c r="V1484" s="285"/>
      <c r="W1484" s="285"/>
    </row>
    <row r="1485" spans="1:23" s="26" customFormat="1" ht="30" customHeight="1" x14ac:dyDescent="0.2">
      <c r="A1485" s="106" t="s">
        <v>2580</v>
      </c>
      <c r="B1485" s="131" t="s">
        <v>680</v>
      </c>
      <c r="C1485" s="49" t="s">
        <v>132</v>
      </c>
      <c r="D1485" s="300">
        <v>1</v>
      </c>
      <c r="E1485" s="51">
        <f>G1485/11</f>
        <v>20.88</v>
      </c>
      <c r="F1485" s="23">
        <f>J1485</f>
        <v>4.7892720306513412E-2</v>
      </c>
      <c r="G1485" s="65">
        <f>K1485</f>
        <v>229.67999999999998</v>
      </c>
      <c r="H1485" s="77">
        <v>2.6123301985370952</v>
      </c>
      <c r="I1485" s="71">
        <f>M1485/L1485</f>
        <v>1.1000000000000001</v>
      </c>
      <c r="J1485" s="23">
        <f>11/K1485</f>
        <v>4.7892720306513412E-2</v>
      </c>
      <c r="K1485" s="65">
        <f>M1485/(H1485*I1485)</f>
        <v>229.67999999999998</v>
      </c>
      <c r="L1485" s="21">
        <v>600</v>
      </c>
      <c r="M1485" s="21">
        <v>660</v>
      </c>
      <c r="N1485" s="285"/>
      <c r="O1485" s="285"/>
      <c r="P1485" s="285"/>
      <c r="Q1485" s="285"/>
      <c r="R1485" s="285"/>
      <c r="S1485" s="285"/>
      <c r="T1485" s="285"/>
      <c r="U1485" s="285"/>
      <c r="V1485" s="285"/>
      <c r="W1485" s="285"/>
    </row>
    <row r="1486" spans="1:23" s="26" customFormat="1" ht="30" customHeight="1" x14ac:dyDescent="0.2">
      <c r="A1486" s="106"/>
      <c r="B1486" s="112" t="s">
        <v>3067</v>
      </c>
      <c r="C1486" s="34"/>
      <c r="D1486" s="300">
        <v>1</v>
      </c>
      <c r="E1486" s="34"/>
      <c r="F1486" s="34"/>
      <c r="G1486" s="34"/>
      <c r="H1486" s="223"/>
      <c r="I1486" s="50">
        <f>K1486</f>
        <v>0</v>
      </c>
      <c r="J1486" s="64"/>
      <c r="K1486" s="64"/>
      <c r="L1486" s="64"/>
      <c r="M1486" s="64"/>
      <c r="N1486" s="285"/>
      <c r="O1486" s="285"/>
      <c r="P1486" s="285"/>
      <c r="Q1486" s="285"/>
      <c r="R1486" s="285"/>
      <c r="S1486" s="285"/>
      <c r="T1486" s="285"/>
      <c r="U1486" s="285"/>
      <c r="V1486" s="285"/>
      <c r="W1486" s="285"/>
    </row>
    <row r="1487" spans="1:23" s="26" customFormat="1" ht="30" customHeight="1" x14ac:dyDescent="0.2">
      <c r="A1487" s="106" t="s">
        <v>2581</v>
      </c>
      <c r="B1487" s="126" t="s">
        <v>131</v>
      </c>
      <c r="C1487" s="21" t="s">
        <v>1</v>
      </c>
      <c r="D1487" s="300">
        <v>1</v>
      </c>
      <c r="E1487" s="51">
        <f t="shared" ref="E1487:E1502" si="518">G1487/11</f>
        <v>1.5840000000000005</v>
      </c>
      <c r="F1487" s="23">
        <f t="shared" ref="F1487:G1502" si="519">J1487</f>
        <v>0.63131313131313105</v>
      </c>
      <c r="G1487" s="65">
        <f t="shared" si="519"/>
        <v>17.424000000000007</v>
      </c>
      <c r="H1487" s="77">
        <v>34.435261707988971</v>
      </c>
      <c r="I1487" s="71">
        <f t="shared" ref="I1487:I1502" si="520">M1487/L1487</f>
        <v>1.1000000000000001</v>
      </c>
      <c r="J1487" s="23">
        <f t="shared" ref="J1487:J1502" si="521">11/K1487</f>
        <v>0.63131313131313105</v>
      </c>
      <c r="K1487" s="65">
        <f t="shared" ref="K1487:K1501" si="522">M1487/(H1487*I1487)</f>
        <v>17.424000000000007</v>
      </c>
      <c r="L1487" s="21">
        <v>600</v>
      </c>
      <c r="M1487" s="21">
        <v>660</v>
      </c>
      <c r="N1487" s="285"/>
      <c r="O1487" s="285"/>
      <c r="P1487" s="285"/>
      <c r="Q1487" s="285"/>
      <c r="R1487" s="285"/>
      <c r="S1487" s="285"/>
      <c r="T1487" s="285"/>
      <c r="U1487" s="285"/>
      <c r="V1487" s="285"/>
      <c r="W1487" s="285"/>
    </row>
    <row r="1488" spans="1:23" s="26" customFormat="1" ht="30" customHeight="1" x14ac:dyDescent="0.2">
      <c r="A1488" s="106" t="s">
        <v>2582</v>
      </c>
      <c r="B1488" s="126" t="s">
        <v>119</v>
      </c>
      <c r="C1488" s="21" t="s">
        <v>1</v>
      </c>
      <c r="D1488" s="300">
        <v>1</v>
      </c>
      <c r="E1488" s="51">
        <f t="shared" si="518"/>
        <v>0.28842000000000001</v>
      </c>
      <c r="F1488" s="23">
        <f t="shared" si="519"/>
        <v>3.4671659385618194</v>
      </c>
      <c r="G1488" s="65">
        <f t="shared" si="519"/>
        <v>3.1726200000000002</v>
      </c>
      <c r="H1488" s="77">
        <v>189.11814210337195</v>
      </c>
      <c r="I1488" s="71">
        <f t="shared" si="520"/>
        <v>1.1000000000000001</v>
      </c>
      <c r="J1488" s="23">
        <f t="shared" si="521"/>
        <v>3.4671659385618194</v>
      </c>
      <c r="K1488" s="65">
        <f t="shared" si="522"/>
        <v>3.1726200000000002</v>
      </c>
      <c r="L1488" s="21">
        <v>600</v>
      </c>
      <c r="M1488" s="21">
        <v>660</v>
      </c>
      <c r="N1488" s="285"/>
      <c r="O1488" s="285"/>
      <c r="P1488" s="285"/>
      <c r="Q1488" s="285"/>
      <c r="R1488" s="285"/>
      <c r="S1488" s="285"/>
      <c r="T1488" s="285"/>
      <c r="U1488" s="285"/>
      <c r="V1488" s="285"/>
      <c r="W1488" s="285"/>
    </row>
    <row r="1489" spans="1:23" s="26" customFormat="1" ht="30" customHeight="1" x14ac:dyDescent="0.2">
      <c r="A1489" s="106" t="s">
        <v>2583</v>
      </c>
      <c r="B1489" s="126" t="s">
        <v>120</v>
      </c>
      <c r="C1489" s="21" t="s">
        <v>1</v>
      </c>
      <c r="D1489" s="300">
        <v>1</v>
      </c>
      <c r="E1489" s="51">
        <f t="shared" si="518"/>
        <v>0.24221999999999999</v>
      </c>
      <c r="F1489" s="23">
        <f t="shared" si="519"/>
        <v>4.1284782429196598</v>
      </c>
      <c r="G1489" s="65">
        <f t="shared" si="519"/>
        <v>2.6644199999999998</v>
      </c>
      <c r="H1489" s="77">
        <v>225.18972234107235</v>
      </c>
      <c r="I1489" s="71">
        <f t="shared" si="520"/>
        <v>1.1000000000000001</v>
      </c>
      <c r="J1489" s="23">
        <f t="shared" si="521"/>
        <v>4.1284782429196598</v>
      </c>
      <c r="K1489" s="65">
        <f t="shared" si="522"/>
        <v>2.6644199999999998</v>
      </c>
      <c r="L1489" s="21">
        <v>600</v>
      </c>
      <c r="M1489" s="21">
        <v>660</v>
      </c>
      <c r="N1489" s="285"/>
      <c r="O1489" s="285"/>
      <c r="P1489" s="285"/>
      <c r="Q1489" s="285"/>
      <c r="R1489" s="285"/>
      <c r="S1489" s="285"/>
      <c r="T1489" s="285"/>
      <c r="U1489" s="285"/>
      <c r="V1489" s="285"/>
      <c r="W1489" s="285"/>
    </row>
    <row r="1490" spans="1:23" s="26" customFormat="1" ht="30" customHeight="1" x14ac:dyDescent="0.2">
      <c r="A1490" s="106" t="s">
        <v>2584</v>
      </c>
      <c r="B1490" s="126" t="s">
        <v>269</v>
      </c>
      <c r="C1490" s="21" t="s">
        <v>1</v>
      </c>
      <c r="D1490" s="300">
        <v>1</v>
      </c>
      <c r="E1490" s="51">
        <f t="shared" si="518"/>
        <v>12.144</v>
      </c>
      <c r="F1490" s="23">
        <f t="shared" si="519"/>
        <v>8.2345191040843216E-2</v>
      </c>
      <c r="G1490" s="65">
        <f t="shared" si="519"/>
        <v>133.584</v>
      </c>
      <c r="H1490" s="77">
        <v>4.4915558749550843</v>
      </c>
      <c r="I1490" s="71">
        <f t="shared" si="520"/>
        <v>1.1000000000000001</v>
      </c>
      <c r="J1490" s="23">
        <f t="shared" si="521"/>
        <v>8.2345191040843216E-2</v>
      </c>
      <c r="K1490" s="65">
        <f t="shared" si="522"/>
        <v>133.584</v>
      </c>
      <c r="L1490" s="21">
        <v>600</v>
      </c>
      <c r="M1490" s="21">
        <v>660</v>
      </c>
      <c r="N1490" s="285"/>
      <c r="O1490" s="285"/>
      <c r="P1490" s="285"/>
      <c r="Q1490" s="285"/>
      <c r="R1490" s="285"/>
      <c r="S1490" s="285"/>
      <c r="T1490" s="285"/>
      <c r="U1490" s="285"/>
      <c r="V1490" s="285"/>
      <c r="W1490" s="285"/>
    </row>
    <row r="1491" spans="1:23" s="26" customFormat="1" ht="30" customHeight="1" x14ac:dyDescent="0.2">
      <c r="A1491" s="106" t="s">
        <v>2585</v>
      </c>
      <c r="B1491" s="126" t="s">
        <v>270</v>
      </c>
      <c r="C1491" s="21" t="s">
        <v>1</v>
      </c>
      <c r="D1491" s="300">
        <v>1</v>
      </c>
      <c r="E1491" s="51">
        <f t="shared" si="518"/>
        <v>8.1179999999999986</v>
      </c>
      <c r="F1491" s="23">
        <f t="shared" si="519"/>
        <v>0.12318305001231832</v>
      </c>
      <c r="G1491" s="65">
        <f t="shared" si="519"/>
        <v>89.297999999999988</v>
      </c>
      <c r="H1491" s="77">
        <v>6.7190754552173617</v>
      </c>
      <c r="I1491" s="71">
        <f t="shared" si="520"/>
        <v>1.1000000000000001</v>
      </c>
      <c r="J1491" s="23">
        <f t="shared" si="521"/>
        <v>0.12318305001231832</v>
      </c>
      <c r="K1491" s="65">
        <f t="shared" si="522"/>
        <v>89.297999999999988</v>
      </c>
      <c r="L1491" s="21">
        <v>600</v>
      </c>
      <c r="M1491" s="21">
        <v>660</v>
      </c>
      <c r="N1491" s="285"/>
      <c r="O1491" s="285"/>
      <c r="P1491" s="285"/>
      <c r="Q1491" s="285"/>
      <c r="R1491" s="285"/>
      <c r="S1491" s="285"/>
      <c r="T1491" s="285"/>
      <c r="U1491" s="285"/>
      <c r="V1491" s="285"/>
      <c r="W1491" s="285"/>
    </row>
    <row r="1492" spans="1:23" s="26" customFormat="1" ht="30" customHeight="1" x14ac:dyDescent="0.2">
      <c r="A1492" s="106" t="s">
        <v>2586</v>
      </c>
      <c r="B1492" s="126" t="s">
        <v>271</v>
      </c>
      <c r="C1492" s="21" t="s">
        <v>1</v>
      </c>
      <c r="D1492" s="300">
        <v>1</v>
      </c>
      <c r="E1492" s="51">
        <f t="shared" si="518"/>
        <v>4.1580000000000004</v>
      </c>
      <c r="F1492" s="23">
        <f t="shared" si="519"/>
        <v>0.24050024050024049</v>
      </c>
      <c r="G1492" s="65">
        <f t="shared" si="519"/>
        <v>45.738</v>
      </c>
      <c r="H1492" s="77">
        <v>13.118194936376753</v>
      </c>
      <c r="I1492" s="71">
        <f t="shared" si="520"/>
        <v>1.1000000000000001</v>
      </c>
      <c r="J1492" s="23">
        <f t="shared" si="521"/>
        <v>0.24050024050024049</v>
      </c>
      <c r="K1492" s="65">
        <f t="shared" si="522"/>
        <v>45.738</v>
      </c>
      <c r="L1492" s="21">
        <v>600</v>
      </c>
      <c r="M1492" s="21">
        <v>660</v>
      </c>
      <c r="N1492" s="285"/>
      <c r="O1492" s="285"/>
      <c r="P1492" s="285"/>
      <c r="Q1492" s="285"/>
      <c r="R1492" s="285"/>
      <c r="S1492" s="285"/>
      <c r="T1492" s="285"/>
      <c r="U1492" s="285"/>
      <c r="V1492" s="285"/>
      <c r="W1492" s="285"/>
    </row>
    <row r="1493" spans="1:23" s="26" customFormat="1" ht="30" customHeight="1" x14ac:dyDescent="0.2">
      <c r="A1493" s="106" t="s">
        <v>2587</v>
      </c>
      <c r="B1493" s="126" t="s">
        <v>272</v>
      </c>
      <c r="C1493" s="21" t="s">
        <v>1</v>
      </c>
      <c r="D1493" s="300">
        <v>1</v>
      </c>
      <c r="E1493" s="51">
        <f t="shared" si="518"/>
        <v>10.428000000000001</v>
      </c>
      <c r="F1493" s="23">
        <f t="shared" si="519"/>
        <v>9.5895665515918674E-2</v>
      </c>
      <c r="G1493" s="65">
        <f t="shared" si="519"/>
        <v>114.70800000000001</v>
      </c>
      <c r="H1493" s="77">
        <v>5.2306726645046542</v>
      </c>
      <c r="I1493" s="71">
        <f t="shared" si="520"/>
        <v>1.1000000000000001</v>
      </c>
      <c r="J1493" s="23">
        <f t="shared" si="521"/>
        <v>9.5895665515918674E-2</v>
      </c>
      <c r="K1493" s="65">
        <f t="shared" si="522"/>
        <v>114.70800000000001</v>
      </c>
      <c r="L1493" s="21">
        <v>600</v>
      </c>
      <c r="M1493" s="21">
        <v>660</v>
      </c>
      <c r="N1493" s="285"/>
      <c r="O1493" s="285"/>
      <c r="P1493" s="285"/>
      <c r="Q1493" s="285"/>
      <c r="R1493" s="285"/>
      <c r="S1493" s="285"/>
      <c r="T1493" s="285"/>
      <c r="U1493" s="285"/>
      <c r="V1493" s="285"/>
      <c r="W1493" s="285"/>
    </row>
    <row r="1494" spans="1:23" s="26" customFormat="1" ht="30" customHeight="1" x14ac:dyDescent="0.2">
      <c r="A1494" s="106" t="s">
        <v>2588</v>
      </c>
      <c r="B1494" s="126" t="s">
        <v>273</v>
      </c>
      <c r="C1494" s="21" t="s">
        <v>1</v>
      </c>
      <c r="D1494" s="300">
        <v>1</v>
      </c>
      <c r="E1494" s="51">
        <f t="shared" si="518"/>
        <v>5.0819999999999999</v>
      </c>
      <c r="F1494" s="23">
        <f t="shared" si="519"/>
        <v>0.1967729240456513</v>
      </c>
      <c r="G1494" s="65">
        <f t="shared" si="519"/>
        <v>55.902000000000001</v>
      </c>
      <c r="H1494" s="77">
        <v>10.733068584308253</v>
      </c>
      <c r="I1494" s="71">
        <f t="shared" si="520"/>
        <v>1.1000000000000001</v>
      </c>
      <c r="J1494" s="23">
        <f t="shared" si="521"/>
        <v>0.1967729240456513</v>
      </c>
      <c r="K1494" s="65">
        <f t="shared" si="522"/>
        <v>55.902000000000001</v>
      </c>
      <c r="L1494" s="21">
        <v>600</v>
      </c>
      <c r="M1494" s="21">
        <v>660</v>
      </c>
      <c r="N1494" s="285"/>
      <c r="O1494" s="285"/>
      <c r="P1494" s="285"/>
      <c r="Q1494" s="285"/>
      <c r="R1494" s="285"/>
      <c r="S1494" s="285"/>
      <c r="T1494" s="285"/>
      <c r="U1494" s="285"/>
      <c r="V1494" s="285"/>
      <c r="W1494" s="285"/>
    </row>
    <row r="1495" spans="1:23" s="26" customFormat="1" ht="30" customHeight="1" x14ac:dyDescent="0.2">
      <c r="A1495" s="106" t="s">
        <v>2589</v>
      </c>
      <c r="B1495" s="126" t="s">
        <v>274</v>
      </c>
      <c r="C1495" s="21" t="s">
        <v>1</v>
      </c>
      <c r="D1495" s="300">
        <v>1</v>
      </c>
      <c r="E1495" s="51">
        <f t="shared" si="518"/>
        <v>3.234</v>
      </c>
      <c r="F1495" s="23">
        <f t="shared" si="519"/>
        <v>0.30921459492888065</v>
      </c>
      <c r="G1495" s="65">
        <f t="shared" si="519"/>
        <v>35.573999999999998</v>
      </c>
      <c r="H1495" s="77">
        <v>16.866250632484398</v>
      </c>
      <c r="I1495" s="71">
        <f t="shared" si="520"/>
        <v>1.1000000000000001</v>
      </c>
      <c r="J1495" s="23">
        <f t="shared" si="521"/>
        <v>0.30921459492888065</v>
      </c>
      <c r="K1495" s="65">
        <f t="shared" si="522"/>
        <v>35.573999999999998</v>
      </c>
      <c r="L1495" s="21">
        <v>600</v>
      </c>
      <c r="M1495" s="21">
        <v>660</v>
      </c>
      <c r="N1495" s="285"/>
      <c r="O1495" s="285"/>
      <c r="P1495" s="285"/>
      <c r="Q1495" s="285"/>
      <c r="R1495" s="285"/>
      <c r="S1495" s="285"/>
      <c r="T1495" s="285"/>
      <c r="U1495" s="285"/>
      <c r="V1495" s="285"/>
      <c r="W1495" s="285"/>
    </row>
    <row r="1496" spans="1:23" s="26" customFormat="1" ht="30" customHeight="1" x14ac:dyDescent="0.2">
      <c r="A1496" s="106" t="s">
        <v>2590</v>
      </c>
      <c r="B1496" s="126" t="s">
        <v>266</v>
      </c>
      <c r="C1496" s="21" t="s">
        <v>260</v>
      </c>
      <c r="D1496" s="300">
        <v>1</v>
      </c>
      <c r="E1496" s="51">
        <f t="shared" si="518"/>
        <v>2.1780000000000004</v>
      </c>
      <c r="F1496" s="23">
        <f t="shared" si="519"/>
        <v>0.45913682277318635</v>
      </c>
      <c r="G1496" s="65">
        <f t="shared" si="519"/>
        <v>23.958000000000002</v>
      </c>
      <c r="H1496" s="77">
        <v>25.043826696719258</v>
      </c>
      <c r="I1496" s="71">
        <f t="shared" si="520"/>
        <v>1.1000000000000001</v>
      </c>
      <c r="J1496" s="23">
        <f t="shared" si="521"/>
        <v>0.45913682277318635</v>
      </c>
      <c r="K1496" s="65">
        <f t="shared" si="522"/>
        <v>23.958000000000002</v>
      </c>
      <c r="L1496" s="21">
        <v>600</v>
      </c>
      <c r="M1496" s="21">
        <v>660</v>
      </c>
      <c r="N1496" s="285"/>
      <c r="O1496" s="285"/>
      <c r="P1496" s="285"/>
      <c r="Q1496" s="285"/>
      <c r="R1496" s="285"/>
      <c r="S1496" s="285"/>
      <c r="T1496" s="285"/>
      <c r="U1496" s="285"/>
      <c r="V1496" s="285"/>
      <c r="W1496" s="285"/>
    </row>
    <row r="1497" spans="1:23" s="26" customFormat="1" ht="30" customHeight="1" x14ac:dyDescent="0.2">
      <c r="A1497" s="106" t="s">
        <v>2591</v>
      </c>
      <c r="B1497" s="126" t="s">
        <v>267</v>
      </c>
      <c r="C1497" s="21" t="s">
        <v>260</v>
      </c>
      <c r="D1497" s="300">
        <v>1</v>
      </c>
      <c r="E1497" s="51">
        <f t="shared" si="518"/>
        <v>1.8480000000000005</v>
      </c>
      <c r="F1497" s="23">
        <f t="shared" si="519"/>
        <v>0.5411255411255409</v>
      </c>
      <c r="G1497" s="65">
        <f t="shared" si="519"/>
        <v>20.328000000000007</v>
      </c>
      <c r="H1497" s="77">
        <v>29.515938606847687</v>
      </c>
      <c r="I1497" s="71">
        <f t="shared" si="520"/>
        <v>1.1000000000000001</v>
      </c>
      <c r="J1497" s="23">
        <f t="shared" si="521"/>
        <v>0.5411255411255409</v>
      </c>
      <c r="K1497" s="65">
        <f t="shared" si="522"/>
        <v>20.328000000000007</v>
      </c>
      <c r="L1497" s="21">
        <v>600</v>
      </c>
      <c r="M1497" s="21">
        <v>660</v>
      </c>
      <c r="N1497" s="285"/>
      <c r="O1497" s="285"/>
      <c r="P1497" s="285"/>
      <c r="Q1497" s="285"/>
      <c r="R1497" s="285"/>
      <c r="S1497" s="285"/>
      <c r="T1497" s="285"/>
      <c r="U1497" s="285"/>
      <c r="V1497" s="285"/>
      <c r="W1497" s="285"/>
    </row>
    <row r="1498" spans="1:23" s="26" customFormat="1" ht="30" customHeight="1" x14ac:dyDescent="0.2">
      <c r="A1498" s="106" t="s">
        <v>2592</v>
      </c>
      <c r="B1498" s="126" t="s">
        <v>268</v>
      </c>
      <c r="C1498" s="21" t="s">
        <v>260</v>
      </c>
      <c r="D1498" s="300">
        <v>1</v>
      </c>
      <c r="E1498" s="51">
        <f t="shared" si="518"/>
        <v>1.4520000000000002</v>
      </c>
      <c r="F1498" s="23">
        <f t="shared" si="519"/>
        <v>0.68870523415977958</v>
      </c>
      <c r="G1498" s="65">
        <f t="shared" si="519"/>
        <v>15.972000000000001</v>
      </c>
      <c r="H1498" s="77">
        <v>37.565740045078883</v>
      </c>
      <c r="I1498" s="71">
        <f t="shared" si="520"/>
        <v>1.1000000000000001</v>
      </c>
      <c r="J1498" s="23">
        <f t="shared" si="521"/>
        <v>0.68870523415977958</v>
      </c>
      <c r="K1498" s="65">
        <f t="shared" si="522"/>
        <v>15.972000000000001</v>
      </c>
      <c r="L1498" s="21">
        <v>600</v>
      </c>
      <c r="M1498" s="21">
        <v>660</v>
      </c>
      <c r="N1498" s="285"/>
      <c r="O1498" s="285"/>
      <c r="P1498" s="285"/>
      <c r="Q1498" s="285"/>
      <c r="R1498" s="285"/>
      <c r="S1498" s="285"/>
      <c r="T1498" s="285"/>
      <c r="U1498" s="285"/>
      <c r="V1498" s="285"/>
      <c r="W1498" s="285"/>
    </row>
    <row r="1499" spans="1:23" s="26" customFormat="1" ht="30" customHeight="1" x14ac:dyDescent="0.2">
      <c r="A1499" s="106" t="s">
        <v>2593</v>
      </c>
      <c r="B1499" s="126" t="s">
        <v>262</v>
      </c>
      <c r="C1499" s="21" t="s">
        <v>261</v>
      </c>
      <c r="D1499" s="300">
        <v>1</v>
      </c>
      <c r="E1499" s="51">
        <f t="shared" si="518"/>
        <v>30.756000000000004</v>
      </c>
      <c r="F1499" s="23">
        <f t="shared" si="519"/>
        <v>3.2513981011835086E-2</v>
      </c>
      <c r="G1499" s="65">
        <f t="shared" si="519"/>
        <v>338.31600000000003</v>
      </c>
      <c r="H1499" s="77">
        <v>1.7734898733728226</v>
      </c>
      <c r="I1499" s="71">
        <f t="shared" si="520"/>
        <v>1.1000000000000001</v>
      </c>
      <c r="J1499" s="23">
        <f t="shared" si="521"/>
        <v>3.2513981011835086E-2</v>
      </c>
      <c r="K1499" s="65">
        <f t="shared" si="522"/>
        <v>338.31600000000003</v>
      </c>
      <c r="L1499" s="21">
        <v>600</v>
      </c>
      <c r="M1499" s="21">
        <v>660</v>
      </c>
      <c r="N1499" s="285"/>
      <c r="O1499" s="285"/>
      <c r="P1499" s="285"/>
      <c r="Q1499" s="285"/>
      <c r="R1499" s="285"/>
      <c r="S1499" s="285"/>
      <c r="T1499" s="285"/>
      <c r="U1499" s="285"/>
      <c r="V1499" s="285"/>
      <c r="W1499" s="285"/>
    </row>
    <row r="1500" spans="1:23" s="26" customFormat="1" ht="30" customHeight="1" x14ac:dyDescent="0.2">
      <c r="A1500" s="106" t="s">
        <v>2594</v>
      </c>
      <c r="B1500" s="126" t="s">
        <v>263</v>
      </c>
      <c r="C1500" s="21" t="s">
        <v>261</v>
      </c>
      <c r="D1500" s="300">
        <v>1</v>
      </c>
      <c r="E1500" s="51">
        <f t="shared" si="518"/>
        <v>15.246000000000002</v>
      </c>
      <c r="F1500" s="23">
        <f t="shared" si="519"/>
        <v>6.5590974681883768E-2</v>
      </c>
      <c r="G1500" s="65">
        <f t="shared" si="519"/>
        <v>167.70600000000002</v>
      </c>
      <c r="H1500" s="77">
        <v>3.5776895281027508</v>
      </c>
      <c r="I1500" s="71">
        <f t="shared" si="520"/>
        <v>1.1000000000000001</v>
      </c>
      <c r="J1500" s="23">
        <f t="shared" si="521"/>
        <v>6.5590974681883768E-2</v>
      </c>
      <c r="K1500" s="65">
        <f t="shared" si="522"/>
        <v>167.70600000000002</v>
      </c>
      <c r="L1500" s="21">
        <v>600</v>
      </c>
      <c r="M1500" s="21">
        <v>660</v>
      </c>
      <c r="N1500" s="285"/>
      <c r="O1500" s="285"/>
      <c r="P1500" s="285"/>
      <c r="Q1500" s="285"/>
      <c r="R1500" s="285"/>
      <c r="S1500" s="285"/>
      <c r="T1500" s="285"/>
      <c r="U1500" s="285"/>
      <c r="V1500" s="285"/>
      <c r="W1500" s="285"/>
    </row>
    <row r="1501" spans="1:23" s="26" customFormat="1" ht="30" customHeight="1" x14ac:dyDescent="0.2">
      <c r="A1501" s="106" t="s">
        <v>2595</v>
      </c>
      <c r="B1501" s="126" t="s">
        <v>264</v>
      </c>
      <c r="C1501" s="21" t="s">
        <v>261</v>
      </c>
      <c r="D1501" s="300">
        <v>1</v>
      </c>
      <c r="E1501" s="51">
        <f t="shared" si="518"/>
        <v>10.362000000000002</v>
      </c>
      <c r="F1501" s="23">
        <f t="shared" si="519"/>
        <v>9.6506465933217517E-2</v>
      </c>
      <c r="G1501" s="65">
        <f t="shared" si="519"/>
        <v>113.98200000000001</v>
      </c>
      <c r="H1501" s="77">
        <v>5.2639890509027731</v>
      </c>
      <c r="I1501" s="71">
        <f t="shared" si="520"/>
        <v>1.1000000000000001</v>
      </c>
      <c r="J1501" s="23">
        <f t="shared" si="521"/>
        <v>9.6506465933217517E-2</v>
      </c>
      <c r="K1501" s="65">
        <f t="shared" si="522"/>
        <v>113.98200000000001</v>
      </c>
      <c r="L1501" s="21">
        <v>600</v>
      </c>
      <c r="M1501" s="21">
        <v>660</v>
      </c>
      <c r="N1501" s="285"/>
      <c r="O1501" s="285"/>
      <c r="P1501" s="285"/>
      <c r="Q1501" s="285"/>
      <c r="R1501" s="285"/>
      <c r="S1501" s="285"/>
      <c r="T1501" s="285"/>
      <c r="U1501" s="285"/>
      <c r="V1501" s="285"/>
      <c r="W1501" s="285"/>
    </row>
    <row r="1502" spans="1:23" s="26" customFormat="1" ht="30" customHeight="1" x14ac:dyDescent="0.2">
      <c r="A1502" s="106" t="s">
        <v>2596</v>
      </c>
      <c r="B1502" s="126" t="s">
        <v>265</v>
      </c>
      <c r="C1502" s="21" t="s">
        <v>132</v>
      </c>
      <c r="D1502" s="300">
        <v>1</v>
      </c>
      <c r="E1502" s="51">
        <f t="shared" si="518"/>
        <v>18.612000000000002</v>
      </c>
      <c r="F1502" s="23">
        <f t="shared" si="519"/>
        <v>5.3728777133032445E-2</v>
      </c>
      <c r="G1502" s="65">
        <f t="shared" si="519"/>
        <v>204.73200000000003</v>
      </c>
      <c r="H1502" s="77">
        <v>2.9306605708926785</v>
      </c>
      <c r="I1502" s="71">
        <f t="shared" si="520"/>
        <v>1.1000000000000001</v>
      </c>
      <c r="J1502" s="23">
        <f t="shared" si="521"/>
        <v>5.3728777133032445E-2</v>
      </c>
      <c r="K1502" s="65">
        <f>M1502/(H1502*I1502)</f>
        <v>204.73200000000003</v>
      </c>
      <c r="L1502" s="21">
        <v>600</v>
      </c>
      <c r="M1502" s="21">
        <v>660</v>
      </c>
      <c r="N1502" s="285"/>
      <c r="O1502" s="285"/>
      <c r="P1502" s="285"/>
      <c r="Q1502" s="285"/>
      <c r="R1502" s="285"/>
      <c r="S1502" s="285"/>
      <c r="T1502" s="285"/>
      <c r="U1502" s="285"/>
      <c r="V1502" s="285"/>
      <c r="W1502" s="285"/>
    </row>
    <row r="1503" spans="1:23" s="26" customFormat="1" ht="30" customHeight="1" x14ac:dyDescent="0.2">
      <c r="A1503" s="106"/>
      <c r="B1503" s="112" t="s">
        <v>3116</v>
      </c>
      <c r="C1503" s="21"/>
      <c r="D1503" s="300">
        <v>1</v>
      </c>
      <c r="E1503" s="51"/>
      <c r="F1503" s="23"/>
      <c r="G1503" s="65"/>
      <c r="H1503" s="77"/>
      <c r="I1503" s="71"/>
      <c r="J1503" s="23"/>
      <c r="K1503" s="65"/>
      <c r="L1503" s="21"/>
      <c r="M1503" s="21"/>
      <c r="N1503" s="285"/>
      <c r="O1503" s="285"/>
      <c r="P1503" s="285"/>
      <c r="Q1503" s="285"/>
      <c r="R1503" s="285"/>
      <c r="S1503" s="285"/>
      <c r="T1503" s="285"/>
      <c r="U1503" s="285"/>
      <c r="V1503" s="285"/>
      <c r="W1503" s="285"/>
    </row>
    <row r="1504" spans="1:23" s="26" customFormat="1" ht="30" customHeight="1" x14ac:dyDescent="0.2">
      <c r="A1504" s="106" t="s">
        <v>2597</v>
      </c>
      <c r="B1504" s="131" t="s">
        <v>3068</v>
      </c>
      <c r="C1504" s="21" t="s">
        <v>132</v>
      </c>
      <c r="D1504" s="300">
        <v>1</v>
      </c>
      <c r="E1504" s="51">
        <f>G1504/11</f>
        <v>0.95727368454641171</v>
      </c>
      <c r="F1504" s="23">
        <f>11/G1504</f>
        <v>1.0446333333333335</v>
      </c>
      <c r="G1504" s="65">
        <f>L1504/H1504</f>
        <v>10.530010530010529</v>
      </c>
      <c r="H1504" s="243">
        <v>56.980000000000004</v>
      </c>
      <c r="I1504" s="71">
        <f t="shared" ref="I1504" si="523">M1504/L1504</f>
        <v>1.1000000000000001</v>
      </c>
      <c r="J1504" s="23">
        <f t="shared" ref="J1504" si="524">11/K1504</f>
        <v>1.0446333333333335</v>
      </c>
      <c r="K1504" s="65">
        <f>M1504/(H1504*I1504)</f>
        <v>10.530010530010529</v>
      </c>
      <c r="L1504" s="21">
        <v>600</v>
      </c>
      <c r="M1504" s="21">
        <v>660</v>
      </c>
      <c r="N1504" s="285"/>
      <c r="O1504" s="285"/>
      <c r="P1504" s="285"/>
      <c r="Q1504" s="285"/>
      <c r="R1504" s="285"/>
      <c r="S1504" s="285"/>
      <c r="T1504" s="285"/>
      <c r="U1504" s="285"/>
      <c r="V1504" s="285"/>
      <c r="W1504" s="285"/>
    </row>
    <row r="1505" spans="1:23" s="26" customFormat="1" ht="30" customHeight="1" x14ac:dyDescent="0.2">
      <c r="A1505" s="106" t="s">
        <v>2598</v>
      </c>
      <c r="B1505" s="131" t="s">
        <v>3103</v>
      </c>
      <c r="C1505" s="21" t="s">
        <v>132</v>
      </c>
      <c r="D1505" s="300">
        <v>1</v>
      </c>
      <c r="E1505" s="51">
        <f t="shared" ref="E1505:E1514" si="525">G1505/11</f>
        <v>0.87300663485042485</v>
      </c>
      <c r="F1505" s="23">
        <f t="shared" ref="F1505:F1514" si="526">11/G1505</f>
        <v>1.1454666666666666</v>
      </c>
      <c r="G1505" s="65">
        <f t="shared" ref="G1505:G1514" si="527">L1505/H1505</f>
        <v>9.6030729833546733</v>
      </c>
      <c r="H1505" s="243">
        <v>62.480000000000004</v>
      </c>
      <c r="I1505" s="71">
        <f t="shared" ref="I1505:I1514" si="528">M1505/L1505</f>
        <v>1.1000000000000001</v>
      </c>
      <c r="J1505" s="23">
        <f t="shared" ref="J1505:J1514" si="529">11/K1505</f>
        <v>1.1454666666666669</v>
      </c>
      <c r="K1505" s="65">
        <f t="shared" ref="K1505:K1514" si="530">M1505/(H1505*I1505)</f>
        <v>9.6030729833546715</v>
      </c>
      <c r="L1505" s="21">
        <v>600</v>
      </c>
      <c r="M1505" s="21">
        <v>660</v>
      </c>
      <c r="N1505" s="285"/>
      <c r="O1505" s="285"/>
      <c r="P1505" s="285"/>
      <c r="Q1505" s="285"/>
      <c r="R1505" s="285"/>
      <c r="S1505" s="285"/>
      <c r="T1505" s="285"/>
      <c r="U1505" s="285"/>
      <c r="V1505" s="285"/>
      <c r="W1505" s="285"/>
    </row>
    <row r="1506" spans="1:23" s="26" customFormat="1" ht="30" customHeight="1" x14ac:dyDescent="0.2">
      <c r="A1506" s="106" t="s">
        <v>2599</v>
      </c>
      <c r="B1506" s="131" t="s">
        <v>3104</v>
      </c>
      <c r="C1506" s="21" t="s">
        <v>132</v>
      </c>
      <c r="D1506" s="300">
        <v>1</v>
      </c>
      <c r="E1506" s="51">
        <f t="shared" si="525"/>
        <v>0.82644628099173556</v>
      </c>
      <c r="F1506" s="23">
        <f t="shared" si="526"/>
        <v>1.21</v>
      </c>
      <c r="G1506" s="65">
        <f t="shared" si="527"/>
        <v>9.0909090909090917</v>
      </c>
      <c r="H1506" s="243">
        <v>66</v>
      </c>
      <c r="I1506" s="71">
        <f t="shared" si="528"/>
        <v>1.1000000000000001</v>
      </c>
      <c r="J1506" s="23">
        <f t="shared" si="529"/>
        <v>1.2100000000000002</v>
      </c>
      <c r="K1506" s="65">
        <f t="shared" si="530"/>
        <v>9.0909090909090899</v>
      </c>
      <c r="L1506" s="21">
        <v>600</v>
      </c>
      <c r="M1506" s="21">
        <v>660</v>
      </c>
      <c r="N1506" s="285"/>
      <c r="O1506" s="285"/>
      <c r="P1506" s="285"/>
      <c r="Q1506" s="285"/>
      <c r="R1506" s="285"/>
      <c r="S1506" s="285"/>
      <c r="T1506" s="285"/>
      <c r="U1506" s="285"/>
      <c r="V1506" s="285"/>
      <c r="W1506" s="285"/>
    </row>
    <row r="1507" spans="1:23" s="26" customFormat="1" ht="30" customHeight="1" x14ac:dyDescent="0.2">
      <c r="A1507" s="106" t="s">
        <v>2600</v>
      </c>
      <c r="B1507" s="131" t="s">
        <v>3105</v>
      </c>
      <c r="C1507" s="21" t="s">
        <v>132</v>
      </c>
      <c r="D1507" s="300">
        <v>1</v>
      </c>
      <c r="E1507" s="51">
        <f t="shared" si="525"/>
        <v>0.78460089967569824</v>
      </c>
      <c r="F1507" s="23">
        <f t="shared" si="526"/>
        <v>1.2745333333333335</v>
      </c>
      <c r="G1507" s="65">
        <f t="shared" si="527"/>
        <v>8.6306098964326807</v>
      </c>
      <c r="H1507" s="243">
        <v>69.52000000000001</v>
      </c>
      <c r="I1507" s="71">
        <f t="shared" si="528"/>
        <v>1.1000000000000001</v>
      </c>
      <c r="J1507" s="23">
        <f t="shared" si="529"/>
        <v>1.2745333333333337</v>
      </c>
      <c r="K1507" s="65">
        <f t="shared" si="530"/>
        <v>8.630609896432679</v>
      </c>
      <c r="L1507" s="21">
        <v>600</v>
      </c>
      <c r="M1507" s="21">
        <v>660</v>
      </c>
      <c r="N1507" s="285"/>
      <c r="O1507" s="285"/>
      <c r="P1507" s="285"/>
      <c r="Q1507" s="285"/>
      <c r="R1507" s="285"/>
      <c r="S1507" s="285"/>
      <c r="T1507" s="285"/>
      <c r="U1507" s="285"/>
      <c r="V1507" s="285"/>
      <c r="W1507" s="285"/>
    </row>
    <row r="1508" spans="1:23" s="26" customFormat="1" ht="30" customHeight="1" x14ac:dyDescent="0.2">
      <c r="A1508" s="106" t="s">
        <v>2601</v>
      </c>
      <c r="B1508" s="131" t="s">
        <v>3107</v>
      </c>
      <c r="C1508" s="21" t="s">
        <v>132</v>
      </c>
      <c r="D1508" s="300">
        <v>1</v>
      </c>
      <c r="E1508" s="51">
        <f t="shared" si="525"/>
        <v>0.74566581743615223</v>
      </c>
      <c r="F1508" s="23">
        <f t="shared" si="526"/>
        <v>1.3410833333333334</v>
      </c>
      <c r="G1508" s="65">
        <f t="shared" si="527"/>
        <v>8.2023239917976749</v>
      </c>
      <c r="H1508" s="243">
        <v>73.150000000000006</v>
      </c>
      <c r="I1508" s="71">
        <f t="shared" si="528"/>
        <v>1.1000000000000001</v>
      </c>
      <c r="J1508" s="23">
        <f t="shared" si="529"/>
        <v>1.3410833333333334</v>
      </c>
      <c r="K1508" s="65">
        <f t="shared" si="530"/>
        <v>8.2023239917976749</v>
      </c>
      <c r="L1508" s="21">
        <v>600</v>
      </c>
      <c r="M1508" s="21">
        <v>660</v>
      </c>
      <c r="N1508" s="285"/>
      <c r="O1508" s="285"/>
      <c r="P1508" s="285"/>
      <c r="Q1508" s="285"/>
      <c r="R1508" s="285"/>
      <c r="S1508" s="285"/>
      <c r="T1508" s="285"/>
      <c r="U1508" s="285"/>
      <c r="V1508" s="285"/>
      <c r="W1508" s="285"/>
    </row>
    <row r="1509" spans="1:23" s="26" customFormat="1" ht="30" customHeight="1" x14ac:dyDescent="0.2">
      <c r="A1509" s="106" t="s">
        <v>2602</v>
      </c>
      <c r="B1509" s="131" t="s">
        <v>3106</v>
      </c>
      <c r="C1509" s="21" t="s">
        <v>132</v>
      </c>
      <c r="D1509" s="300">
        <v>1</v>
      </c>
      <c r="E1509" s="51">
        <f t="shared" si="525"/>
        <v>0.67465002529937601</v>
      </c>
      <c r="F1509" s="23">
        <f t="shared" si="526"/>
        <v>1.4822499999999998</v>
      </c>
      <c r="G1509" s="65">
        <f t="shared" si="527"/>
        <v>7.421150278293136</v>
      </c>
      <c r="H1509" s="243">
        <v>80.849999999999994</v>
      </c>
      <c r="I1509" s="71">
        <f t="shared" si="528"/>
        <v>1.1000000000000001</v>
      </c>
      <c r="J1509" s="23">
        <f t="shared" si="529"/>
        <v>1.4822500000000001</v>
      </c>
      <c r="K1509" s="65">
        <f t="shared" si="530"/>
        <v>7.4211502782931351</v>
      </c>
      <c r="L1509" s="21">
        <v>600</v>
      </c>
      <c r="M1509" s="21">
        <v>660</v>
      </c>
      <c r="N1509" s="285"/>
      <c r="O1509" s="285"/>
      <c r="P1509" s="285"/>
      <c r="Q1509" s="285"/>
      <c r="R1509" s="285"/>
      <c r="S1509" s="285"/>
      <c r="T1509" s="285"/>
      <c r="U1509" s="285"/>
      <c r="V1509" s="285"/>
      <c r="W1509" s="285"/>
    </row>
    <row r="1510" spans="1:23" s="26" customFormat="1" ht="30" customHeight="1" x14ac:dyDescent="0.2">
      <c r="A1510" s="106" t="s">
        <v>3117</v>
      </c>
      <c r="B1510" s="131" t="s">
        <v>3108</v>
      </c>
      <c r="C1510" s="21" t="s">
        <v>132</v>
      </c>
      <c r="D1510" s="300">
        <v>1</v>
      </c>
      <c r="E1510" s="51">
        <f t="shared" si="525"/>
        <v>0.4634099878572952</v>
      </c>
      <c r="F1510" s="23">
        <f t="shared" si="526"/>
        <v>2.1579163725490202</v>
      </c>
      <c r="G1510" s="65">
        <f t="shared" si="527"/>
        <v>5.0975098664302472</v>
      </c>
      <c r="H1510" s="243">
        <v>117.70452941176474</v>
      </c>
      <c r="I1510" s="71">
        <f t="shared" si="528"/>
        <v>1.1000000000000001</v>
      </c>
      <c r="J1510" s="23">
        <f t="shared" si="529"/>
        <v>2.1579163725490202</v>
      </c>
      <c r="K1510" s="65">
        <f t="shared" si="530"/>
        <v>5.0975098664302472</v>
      </c>
      <c r="L1510" s="21">
        <v>600</v>
      </c>
      <c r="M1510" s="21">
        <v>660</v>
      </c>
      <c r="N1510" s="285"/>
      <c r="O1510" s="285"/>
      <c r="P1510" s="285"/>
      <c r="Q1510" s="285"/>
      <c r="R1510" s="285"/>
      <c r="S1510" s="285"/>
      <c r="T1510" s="285"/>
      <c r="U1510" s="285"/>
      <c r="V1510" s="285"/>
      <c r="W1510" s="285"/>
    </row>
    <row r="1511" spans="1:23" s="26" customFormat="1" ht="30" customHeight="1" x14ac:dyDescent="0.2">
      <c r="A1511" s="106" t="s">
        <v>3118</v>
      </c>
      <c r="B1511" s="131" t="s">
        <v>3109</v>
      </c>
      <c r="C1511" s="21" t="s">
        <v>132</v>
      </c>
      <c r="D1511" s="300">
        <v>1</v>
      </c>
      <c r="E1511" s="51">
        <f t="shared" si="525"/>
        <v>0.43480345924516839</v>
      </c>
      <c r="F1511" s="23">
        <f t="shared" si="526"/>
        <v>2.2998897058823533</v>
      </c>
      <c r="G1511" s="65">
        <f t="shared" si="527"/>
        <v>4.7828380516968521</v>
      </c>
      <c r="H1511" s="243">
        <v>125.44852941176471</v>
      </c>
      <c r="I1511" s="71">
        <f t="shared" si="528"/>
        <v>1.1000000000000001</v>
      </c>
      <c r="J1511" s="23">
        <f t="shared" si="529"/>
        <v>2.2998897058823533</v>
      </c>
      <c r="K1511" s="65">
        <f t="shared" si="530"/>
        <v>4.7828380516968521</v>
      </c>
      <c r="L1511" s="21">
        <v>600</v>
      </c>
      <c r="M1511" s="21">
        <v>660</v>
      </c>
      <c r="N1511" s="285"/>
      <c r="O1511" s="285"/>
      <c r="P1511" s="285"/>
      <c r="Q1511" s="285"/>
      <c r="R1511" s="285"/>
      <c r="S1511" s="285"/>
      <c r="T1511" s="285"/>
      <c r="U1511" s="285"/>
      <c r="V1511" s="285"/>
      <c r="W1511" s="285"/>
    </row>
    <row r="1512" spans="1:23" s="26" customFormat="1" ht="30" customHeight="1" x14ac:dyDescent="0.2">
      <c r="A1512" s="106" t="s">
        <v>3119</v>
      </c>
      <c r="B1512" s="131" t="s">
        <v>3110</v>
      </c>
      <c r="C1512" s="21" t="s">
        <v>132</v>
      </c>
      <c r="D1512" s="300">
        <v>1</v>
      </c>
      <c r="E1512" s="51">
        <f t="shared" si="525"/>
        <v>0.40952337782269504</v>
      </c>
      <c r="F1512" s="23">
        <f t="shared" si="526"/>
        <v>2.4418630392156864</v>
      </c>
      <c r="G1512" s="65">
        <f t="shared" si="527"/>
        <v>4.5047571560496458</v>
      </c>
      <c r="H1512" s="243">
        <v>133.19252941176472</v>
      </c>
      <c r="I1512" s="71">
        <f t="shared" si="528"/>
        <v>1.1000000000000001</v>
      </c>
      <c r="J1512" s="23">
        <f t="shared" si="529"/>
        <v>2.4418630392156864</v>
      </c>
      <c r="K1512" s="65">
        <f t="shared" si="530"/>
        <v>4.5047571560496458</v>
      </c>
      <c r="L1512" s="21">
        <v>600</v>
      </c>
      <c r="M1512" s="21">
        <v>660</v>
      </c>
      <c r="N1512" s="285"/>
      <c r="O1512" s="285"/>
      <c r="P1512" s="285"/>
      <c r="Q1512" s="285"/>
      <c r="R1512" s="285"/>
      <c r="S1512" s="285"/>
      <c r="T1512" s="285"/>
      <c r="U1512" s="285"/>
      <c r="V1512" s="285"/>
      <c r="W1512" s="285"/>
    </row>
    <row r="1513" spans="1:23" s="26" customFormat="1" ht="30" customHeight="1" x14ac:dyDescent="0.2">
      <c r="A1513" s="106" t="s">
        <v>3120</v>
      </c>
      <c r="B1513" s="131" t="s">
        <v>3111</v>
      </c>
      <c r="C1513" s="21" t="s">
        <v>132</v>
      </c>
      <c r="D1513" s="300">
        <v>1</v>
      </c>
      <c r="E1513" s="51">
        <f>G1513/11</f>
        <v>0.20946345627640303</v>
      </c>
      <c r="F1513" s="23">
        <f>11/G1513</f>
        <v>4.7741024509803927</v>
      </c>
      <c r="G1513" s="65">
        <f t="shared" si="527"/>
        <v>2.3040980190404334</v>
      </c>
      <c r="H1513" s="243">
        <v>260.40558823529415</v>
      </c>
      <c r="I1513" s="71">
        <f t="shared" si="528"/>
        <v>1.1000000000000001</v>
      </c>
      <c r="J1513" s="23">
        <f t="shared" si="529"/>
        <v>4.7741024509803935</v>
      </c>
      <c r="K1513" s="65">
        <f t="shared" si="530"/>
        <v>2.304098019040433</v>
      </c>
      <c r="L1513" s="21">
        <v>600</v>
      </c>
      <c r="M1513" s="21">
        <v>660</v>
      </c>
      <c r="N1513" s="285"/>
      <c r="O1513" s="285"/>
      <c r="P1513" s="285"/>
      <c r="Q1513" s="285"/>
      <c r="R1513" s="285"/>
      <c r="S1513" s="285"/>
      <c r="T1513" s="285"/>
      <c r="U1513" s="285"/>
      <c r="V1513" s="285"/>
      <c r="W1513" s="285"/>
    </row>
    <row r="1514" spans="1:23" s="26" customFormat="1" ht="30" customHeight="1" x14ac:dyDescent="0.2">
      <c r="A1514" s="106" t="s">
        <v>3121</v>
      </c>
      <c r="B1514" s="131" t="s">
        <v>3112</v>
      </c>
      <c r="C1514" s="21" t="s">
        <v>132</v>
      </c>
      <c r="D1514" s="300">
        <v>1</v>
      </c>
      <c r="E1514" s="51">
        <f t="shared" si="525"/>
        <v>0.18534871134037009</v>
      </c>
      <c r="F1514" s="23">
        <f t="shared" si="526"/>
        <v>5.3952357843137255</v>
      </c>
      <c r="G1514" s="65">
        <f t="shared" si="527"/>
        <v>2.038835824744071</v>
      </c>
      <c r="H1514" s="243">
        <v>294.28558823529414</v>
      </c>
      <c r="I1514" s="71">
        <f t="shared" si="528"/>
        <v>1.1000000000000001</v>
      </c>
      <c r="J1514" s="23">
        <f t="shared" si="529"/>
        <v>5.3952357843137255</v>
      </c>
      <c r="K1514" s="65">
        <f t="shared" si="530"/>
        <v>2.038835824744071</v>
      </c>
      <c r="L1514" s="21">
        <v>600</v>
      </c>
      <c r="M1514" s="21">
        <v>660</v>
      </c>
      <c r="N1514" s="285"/>
      <c r="O1514" s="285"/>
      <c r="P1514" s="285"/>
      <c r="Q1514" s="285"/>
      <c r="R1514" s="285"/>
      <c r="S1514" s="285"/>
      <c r="T1514" s="285"/>
      <c r="U1514" s="285"/>
      <c r="V1514" s="285"/>
      <c r="W1514" s="285"/>
    </row>
    <row r="1515" spans="1:23" s="26" customFormat="1" ht="30" customHeight="1" x14ac:dyDescent="0.2">
      <c r="A1515" s="106"/>
      <c r="B1515" s="112" t="s">
        <v>930</v>
      </c>
      <c r="C1515" s="34"/>
      <c r="D1515" s="300">
        <v>1</v>
      </c>
      <c r="E1515" s="34"/>
      <c r="F1515" s="34"/>
      <c r="G1515" s="34"/>
      <c r="H1515" s="223"/>
      <c r="I1515" s="50">
        <f>K1515</f>
        <v>0</v>
      </c>
      <c r="J1515" s="64"/>
      <c r="K1515" s="64"/>
      <c r="L1515" s="64"/>
      <c r="M1515" s="64"/>
      <c r="N1515" s="285"/>
      <c r="O1515" s="285"/>
      <c r="P1515" s="285"/>
      <c r="Q1515" s="285"/>
      <c r="R1515" s="285"/>
      <c r="S1515" s="285"/>
      <c r="T1515" s="285"/>
      <c r="U1515" s="285"/>
      <c r="V1515" s="285"/>
      <c r="W1515" s="285"/>
    </row>
    <row r="1516" spans="1:23" s="26" customFormat="1" ht="30" customHeight="1" x14ac:dyDescent="0.2">
      <c r="A1516" s="106" t="s">
        <v>2603</v>
      </c>
      <c r="B1516" s="126" t="s">
        <v>18</v>
      </c>
      <c r="C1516" s="21" t="s">
        <v>17</v>
      </c>
      <c r="D1516" s="300">
        <v>1</v>
      </c>
      <c r="E1516" s="51">
        <f t="shared" ref="E1516:E1536" si="531">G1516/11</f>
        <v>1.2599999999999998</v>
      </c>
      <c r="F1516" s="23">
        <f t="shared" ref="F1516:G1534" si="532">J1516</f>
        <v>0.79365079365079383</v>
      </c>
      <c r="G1516" s="65">
        <f t="shared" si="532"/>
        <v>13.859999999999998</v>
      </c>
      <c r="H1516" s="77">
        <v>43.290043290043293</v>
      </c>
      <c r="I1516" s="71">
        <f t="shared" ref="I1516:I1536" si="533">M1516/L1516</f>
        <v>1.1000000000000001</v>
      </c>
      <c r="J1516" s="23">
        <f t="shared" ref="J1516:J1536" si="534">11/K1516</f>
        <v>0.79365079365079383</v>
      </c>
      <c r="K1516" s="65">
        <f t="shared" ref="K1516:K1536" si="535">M1516/(H1516*I1516)</f>
        <v>13.859999999999998</v>
      </c>
      <c r="L1516" s="21">
        <v>600</v>
      </c>
      <c r="M1516" s="21">
        <v>660</v>
      </c>
      <c r="N1516" s="285"/>
      <c r="O1516" s="285"/>
      <c r="P1516" s="285"/>
      <c r="Q1516" s="285"/>
      <c r="R1516" s="285"/>
      <c r="S1516" s="285"/>
      <c r="T1516" s="285"/>
      <c r="U1516" s="285"/>
      <c r="V1516" s="285"/>
      <c r="W1516" s="285"/>
    </row>
    <row r="1517" spans="1:23" s="26" customFormat="1" ht="30" customHeight="1" x14ac:dyDescent="0.2">
      <c r="A1517" s="106" t="s">
        <v>2604</v>
      </c>
      <c r="B1517" s="126" t="s">
        <v>219</v>
      </c>
      <c r="C1517" s="21" t="s">
        <v>17</v>
      </c>
      <c r="D1517" s="300">
        <v>1</v>
      </c>
      <c r="E1517" s="51">
        <f t="shared" si="531"/>
        <v>0.96000000000000008</v>
      </c>
      <c r="F1517" s="23">
        <f t="shared" si="532"/>
        <v>1.0416666666666665</v>
      </c>
      <c r="G1517" s="65">
        <f t="shared" si="532"/>
        <v>10.56</v>
      </c>
      <c r="H1517" s="77">
        <v>56.818181818181813</v>
      </c>
      <c r="I1517" s="71">
        <f t="shared" si="533"/>
        <v>1.1000000000000001</v>
      </c>
      <c r="J1517" s="23">
        <f t="shared" si="534"/>
        <v>1.0416666666666665</v>
      </c>
      <c r="K1517" s="65">
        <f t="shared" si="535"/>
        <v>10.56</v>
      </c>
      <c r="L1517" s="21">
        <v>600</v>
      </c>
      <c r="M1517" s="21">
        <v>660</v>
      </c>
      <c r="N1517" s="285"/>
      <c r="O1517" s="285"/>
      <c r="P1517" s="285"/>
      <c r="Q1517" s="285"/>
      <c r="R1517" s="285"/>
      <c r="S1517" s="285"/>
      <c r="T1517" s="285"/>
      <c r="U1517" s="285"/>
      <c r="V1517" s="285"/>
      <c r="W1517" s="285"/>
    </row>
    <row r="1518" spans="1:23" s="26" customFormat="1" ht="30" customHeight="1" x14ac:dyDescent="0.2">
      <c r="A1518" s="106" t="s">
        <v>2605</v>
      </c>
      <c r="B1518" s="126" t="s">
        <v>252</v>
      </c>
      <c r="C1518" s="21" t="s">
        <v>17</v>
      </c>
      <c r="D1518" s="300">
        <v>1</v>
      </c>
      <c r="E1518" s="51">
        <f t="shared" si="531"/>
        <v>0.71999999999999986</v>
      </c>
      <c r="F1518" s="23">
        <f t="shared" si="532"/>
        <v>1.3888888888888891</v>
      </c>
      <c r="G1518" s="65">
        <f t="shared" si="532"/>
        <v>7.919999999999999</v>
      </c>
      <c r="H1518" s="77">
        <v>75.757575757575765</v>
      </c>
      <c r="I1518" s="71">
        <f t="shared" si="533"/>
        <v>1.1000000000000001</v>
      </c>
      <c r="J1518" s="23">
        <f t="shared" si="534"/>
        <v>1.3888888888888891</v>
      </c>
      <c r="K1518" s="65">
        <f t="shared" si="535"/>
        <v>7.919999999999999</v>
      </c>
      <c r="L1518" s="21">
        <v>600</v>
      </c>
      <c r="M1518" s="21">
        <v>660</v>
      </c>
      <c r="N1518" s="285"/>
      <c r="O1518" s="285"/>
      <c r="P1518" s="285"/>
      <c r="Q1518" s="285"/>
      <c r="R1518" s="285"/>
      <c r="S1518" s="285"/>
      <c r="T1518" s="285"/>
      <c r="U1518" s="285"/>
      <c r="V1518" s="285"/>
      <c r="W1518" s="285"/>
    </row>
    <row r="1519" spans="1:23" s="26" customFormat="1" ht="30" customHeight="1" x14ac:dyDescent="0.2">
      <c r="A1519" s="106" t="s">
        <v>2606</v>
      </c>
      <c r="B1519" s="126" t="s">
        <v>255</v>
      </c>
      <c r="C1519" s="21" t="s">
        <v>17</v>
      </c>
      <c r="D1519" s="300">
        <v>1</v>
      </c>
      <c r="E1519" s="51">
        <f t="shared" si="531"/>
        <v>0.53999999999999992</v>
      </c>
      <c r="F1519" s="23">
        <f t="shared" si="532"/>
        <v>1.8518518518518521</v>
      </c>
      <c r="G1519" s="65">
        <f t="shared" si="532"/>
        <v>5.9399999999999995</v>
      </c>
      <c r="H1519" s="77">
        <v>101.01010101010101</v>
      </c>
      <c r="I1519" s="71">
        <f t="shared" si="533"/>
        <v>1.1000000000000001</v>
      </c>
      <c r="J1519" s="23">
        <f t="shared" si="534"/>
        <v>1.8518518518518521</v>
      </c>
      <c r="K1519" s="65">
        <f t="shared" si="535"/>
        <v>5.9399999999999995</v>
      </c>
      <c r="L1519" s="21">
        <v>600</v>
      </c>
      <c r="M1519" s="21">
        <v>660</v>
      </c>
      <c r="N1519" s="285"/>
      <c r="O1519" s="285"/>
      <c r="P1519" s="285"/>
      <c r="Q1519" s="285"/>
      <c r="R1519" s="285"/>
      <c r="S1519" s="285"/>
      <c r="T1519" s="285"/>
      <c r="U1519" s="285"/>
      <c r="V1519" s="285"/>
      <c r="W1519" s="285"/>
    </row>
    <row r="1520" spans="1:23" s="26" customFormat="1" ht="30" customHeight="1" x14ac:dyDescent="0.2">
      <c r="A1520" s="106" t="s">
        <v>2607</v>
      </c>
      <c r="B1520" s="126" t="s">
        <v>256</v>
      </c>
      <c r="C1520" s="21" t="s">
        <v>17</v>
      </c>
      <c r="D1520" s="300">
        <v>1</v>
      </c>
      <c r="E1520" s="51">
        <f t="shared" si="531"/>
        <v>0.42</v>
      </c>
      <c r="F1520" s="23">
        <f t="shared" si="532"/>
        <v>2.3809523809523809</v>
      </c>
      <c r="G1520" s="65">
        <f t="shared" si="532"/>
        <v>4.62</v>
      </c>
      <c r="H1520" s="77">
        <v>129.87012987012986</v>
      </c>
      <c r="I1520" s="71">
        <f t="shared" si="533"/>
        <v>1.1000000000000001</v>
      </c>
      <c r="J1520" s="23">
        <f t="shared" si="534"/>
        <v>2.3809523809523809</v>
      </c>
      <c r="K1520" s="65">
        <f t="shared" si="535"/>
        <v>4.62</v>
      </c>
      <c r="L1520" s="21">
        <v>600</v>
      </c>
      <c r="M1520" s="21">
        <v>660</v>
      </c>
      <c r="N1520" s="285"/>
      <c r="O1520" s="285"/>
      <c r="P1520" s="285"/>
      <c r="Q1520" s="285"/>
      <c r="R1520" s="285"/>
      <c r="S1520" s="285"/>
      <c r="T1520" s="285"/>
      <c r="U1520" s="285"/>
      <c r="V1520" s="285"/>
      <c r="W1520" s="285"/>
    </row>
    <row r="1521" spans="1:23" s="26" customFormat="1" ht="30" customHeight="1" x14ac:dyDescent="0.2">
      <c r="A1521" s="106" t="s">
        <v>2608</v>
      </c>
      <c r="B1521" s="126" t="s">
        <v>180</v>
      </c>
      <c r="C1521" s="21" t="s">
        <v>17</v>
      </c>
      <c r="D1521" s="300">
        <v>1</v>
      </c>
      <c r="E1521" s="51">
        <f t="shared" si="531"/>
        <v>1.68</v>
      </c>
      <c r="F1521" s="23">
        <f t="shared" si="532"/>
        <v>0.59523809523809523</v>
      </c>
      <c r="G1521" s="65">
        <f t="shared" si="532"/>
        <v>18.48</v>
      </c>
      <c r="H1521" s="77">
        <v>32.467532467532465</v>
      </c>
      <c r="I1521" s="71">
        <f t="shared" si="533"/>
        <v>1.1000000000000001</v>
      </c>
      <c r="J1521" s="23">
        <f t="shared" si="534"/>
        <v>0.59523809523809523</v>
      </c>
      <c r="K1521" s="65">
        <f t="shared" si="535"/>
        <v>18.48</v>
      </c>
      <c r="L1521" s="21">
        <v>600</v>
      </c>
      <c r="M1521" s="21">
        <v>660</v>
      </c>
      <c r="N1521" s="285"/>
      <c r="O1521" s="285"/>
      <c r="P1521" s="285"/>
      <c r="Q1521" s="285"/>
      <c r="R1521" s="285"/>
      <c r="S1521" s="285"/>
      <c r="T1521" s="285"/>
      <c r="U1521" s="285"/>
      <c r="V1521" s="285"/>
      <c r="W1521" s="285"/>
    </row>
    <row r="1522" spans="1:23" s="26" customFormat="1" ht="30" customHeight="1" x14ac:dyDescent="0.2">
      <c r="A1522" s="106" t="s">
        <v>2609</v>
      </c>
      <c r="B1522" s="126" t="s">
        <v>210</v>
      </c>
      <c r="C1522" s="21" t="s">
        <v>17</v>
      </c>
      <c r="D1522" s="300">
        <v>1</v>
      </c>
      <c r="E1522" s="51">
        <f t="shared" si="531"/>
        <v>0.53999999999999992</v>
      </c>
      <c r="F1522" s="23">
        <f t="shared" si="532"/>
        <v>1.8518518518518521</v>
      </c>
      <c r="G1522" s="65">
        <f t="shared" si="532"/>
        <v>5.9399999999999995</v>
      </c>
      <c r="H1522" s="77">
        <v>101.01010101010101</v>
      </c>
      <c r="I1522" s="71">
        <f t="shared" si="533"/>
        <v>1.1000000000000001</v>
      </c>
      <c r="J1522" s="23">
        <f t="shared" si="534"/>
        <v>1.8518518518518521</v>
      </c>
      <c r="K1522" s="65">
        <f t="shared" si="535"/>
        <v>5.9399999999999995</v>
      </c>
      <c r="L1522" s="21">
        <v>600</v>
      </c>
      <c r="M1522" s="21">
        <v>660</v>
      </c>
      <c r="N1522" s="285"/>
      <c r="O1522" s="285"/>
      <c r="P1522" s="285"/>
      <c r="Q1522" s="285"/>
      <c r="R1522" s="285"/>
      <c r="S1522" s="285"/>
      <c r="T1522" s="285"/>
      <c r="U1522" s="285"/>
      <c r="V1522" s="285"/>
      <c r="W1522" s="285"/>
    </row>
    <row r="1523" spans="1:23" s="26" customFormat="1" ht="30" customHeight="1" x14ac:dyDescent="0.2">
      <c r="A1523" s="106" t="s">
        <v>2610</v>
      </c>
      <c r="B1523" s="126" t="s">
        <v>211</v>
      </c>
      <c r="C1523" s="21" t="s">
        <v>17</v>
      </c>
      <c r="D1523" s="300">
        <v>1</v>
      </c>
      <c r="E1523" s="51">
        <f t="shared" si="531"/>
        <v>0.59999999999999987</v>
      </c>
      <c r="F1523" s="23">
        <f t="shared" si="532"/>
        <v>1.666666666666667</v>
      </c>
      <c r="G1523" s="65">
        <f t="shared" si="532"/>
        <v>6.5999999999999988</v>
      </c>
      <c r="H1523" s="77">
        <v>90.909090909090921</v>
      </c>
      <c r="I1523" s="71">
        <f t="shared" si="533"/>
        <v>1.1000000000000001</v>
      </c>
      <c r="J1523" s="23">
        <f t="shared" si="534"/>
        <v>1.666666666666667</v>
      </c>
      <c r="K1523" s="65">
        <f t="shared" si="535"/>
        <v>6.5999999999999988</v>
      </c>
      <c r="L1523" s="21">
        <v>600</v>
      </c>
      <c r="M1523" s="21">
        <v>660</v>
      </c>
      <c r="N1523" s="285"/>
      <c r="O1523" s="285"/>
      <c r="P1523" s="285"/>
      <c r="Q1523" s="285"/>
      <c r="R1523" s="285"/>
      <c r="S1523" s="285"/>
      <c r="T1523" s="285"/>
      <c r="U1523" s="285"/>
      <c r="V1523" s="285"/>
      <c r="W1523" s="285"/>
    </row>
    <row r="1524" spans="1:23" s="26" customFormat="1" ht="30" customHeight="1" x14ac:dyDescent="0.2">
      <c r="A1524" s="106" t="s">
        <v>2611</v>
      </c>
      <c r="B1524" s="126" t="s">
        <v>212</v>
      </c>
      <c r="C1524" s="21" t="s">
        <v>17</v>
      </c>
      <c r="D1524" s="300">
        <v>1</v>
      </c>
      <c r="E1524" s="51">
        <f t="shared" si="531"/>
        <v>0.66</v>
      </c>
      <c r="F1524" s="23">
        <f t="shared" si="532"/>
        <v>1.5151515151515151</v>
      </c>
      <c r="G1524" s="65">
        <f t="shared" si="532"/>
        <v>7.26</v>
      </c>
      <c r="H1524" s="77">
        <v>82.644628099173545</v>
      </c>
      <c r="I1524" s="71">
        <f t="shared" si="533"/>
        <v>1.1000000000000001</v>
      </c>
      <c r="J1524" s="23">
        <f t="shared" si="534"/>
        <v>1.5151515151515151</v>
      </c>
      <c r="K1524" s="65">
        <f t="shared" si="535"/>
        <v>7.26</v>
      </c>
      <c r="L1524" s="21">
        <v>600</v>
      </c>
      <c r="M1524" s="21">
        <v>660</v>
      </c>
      <c r="N1524" s="285"/>
      <c r="O1524" s="285"/>
      <c r="P1524" s="285"/>
      <c r="Q1524" s="285"/>
      <c r="R1524" s="285"/>
      <c r="S1524" s="285"/>
      <c r="T1524" s="285"/>
      <c r="U1524" s="285"/>
      <c r="V1524" s="285"/>
      <c r="W1524" s="285"/>
    </row>
    <row r="1525" spans="1:23" s="26" customFormat="1" ht="30" customHeight="1" x14ac:dyDescent="0.2">
      <c r="A1525" s="106" t="s">
        <v>2612</v>
      </c>
      <c r="B1525" s="126" t="s">
        <v>213</v>
      </c>
      <c r="C1525" s="21" t="s">
        <v>17</v>
      </c>
      <c r="D1525" s="300">
        <v>1</v>
      </c>
      <c r="E1525" s="51">
        <f t="shared" si="531"/>
        <v>0.35999999999999993</v>
      </c>
      <c r="F1525" s="23">
        <f t="shared" si="532"/>
        <v>2.7777777777777781</v>
      </c>
      <c r="G1525" s="65">
        <f t="shared" si="532"/>
        <v>3.9599999999999995</v>
      </c>
      <c r="H1525" s="77">
        <v>151.51515151515153</v>
      </c>
      <c r="I1525" s="71">
        <f t="shared" si="533"/>
        <v>1.1000000000000001</v>
      </c>
      <c r="J1525" s="23">
        <f t="shared" si="534"/>
        <v>2.7777777777777781</v>
      </c>
      <c r="K1525" s="65">
        <f t="shared" si="535"/>
        <v>3.9599999999999995</v>
      </c>
      <c r="L1525" s="21">
        <v>600</v>
      </c>
      <c r="M1525" s="21">
        <v>660</v>
      </c>
      <c r="N1525" s="285"/>
      <c r="O1525" s="285"/>
      <c r="P1525" s="285"/>
      <c r="Q1525" s="285"/>
      <c r="R1525" s="285"/>
      <c r="S1525" s="285"/>
      <c r="T1525" s="285"/>
      <c r="U1525" s="285"/>
      <c r="V1525" s="285"/>
      <c r="W1525" s="285"/>
    </row>
    <row r="1526" spans="1:23" s="26" customFormat="1" ht="30" customHeight="1" x14ac:dyDescent="0.2">
      <c r="A1526" s="106" t="s">
        <v>2613</v>
      </c>
      <c r="B1526" s="126" t="s">
        <v>214</v>
      </c>
      <c r="C1526" s="21" t="s">
        <v>17</v>
      </c>
      <c r="D1526" s="300">
        <v>1</v>
      </c>
      <c r="E1526" s="51">
        <f t="shared" si="531"/>
        <v>0.42</v>
      </c>
      <c r="F1526" s="23">
        <f t="shared" si="532"/>
        <v>2.3809523809523809</v>
      </c>
      <c r="G1526" s="65">
        <f t="shared" si="532"/>
        <v>4.62</v>
      </c>
      <c r="H1526" s="77">
        <v>129.87012987012986</v>
      </c>
      <c r="I1526" s="71">
        <f t="shared" si="533"/>
        <v>1.1000000000000001</v>
      </c>
      <c r="J1526" s="23">
        <f t="shared" si="534"/>
        <v>2.3809523809523809</v>
      </c>
      <c r="K1526" s="65">
        <f t="shared" si="535"/>
        <v>4.62</v>
      </c>
      <c r="L1526" s="21">
        <v>600</v>
      </c>
      <c r="M1526" s="21">
        <v>660</v>
      </c>
      <c r="N1526" s="285"/>
      <c r="O1526" s="285"/>
      <c r="P1526" s="285"/>
      <c r="Q1526" s="285"/>
      <c r="R1526" s="285"/>
      <c r="S1526" s="285"/>
      <c r="T1526" s="285"/>
      <c r="U1526" s="285"/>
      <c r="V1526" s="285"/>
      <c r="W1526" s="285"/>
    </row>
    <row r="1527" spans="1:23" s="26" customFormat="1" ht="30" customHeight="1" x14ac:dyDescent="0.2">
      <c r="A1527" s="106" t="s">
        <v>2614</v>
      </c>
      <c r="B1527" s="126" t="s">
        <v>215</v>
      </c>
      <c r="C1527" s="21" t="s">
        <v>17</v>
      </c>
      <c r="D1527" s="300">
        <v>1</v>
      </c>
      <c r="E1527" s="51">
        <f t="shared" si="531"/>
        <v>0.48000000000000004</v>
      </c>
      <c r="F1527" s="23">
        <f t="shared" si="532"/>
        <v>2.083333333333333</v>
      </c>
      <c r="G1527" s="65">
        <f t="shared" si="532"/>
        <v>5.28</v>
      </c>
      <c r="H1527" s="77">
        <v>113.63636363636363</v>
      </c>
      <c r="I1527" s="71">
        <f t="shared" si="533"/>
        <v>1.1000000000000001</v>
      </c>
      <c r="J1527" s="23">
        <f t="shared" si="534"/>
        <v>2.083333333333333</v>
      </c>
      <c r="K1527" s="65">
        <f t="shared" si="535"/>
        <v>5.28</v>
      </c>
      <c r="L1527" s="21">
        <v>600</v>
      </c>
      <c r="M1527" s="21">
        <v>660</v>
      </c>
      <c r="N1527" s="285"/>
      <c r="O1527" s="285"/>
      <c r="P1527" s="285"/>
      <c r="Q1527" s="285"/>
      <c r="R1527" s="285"/>
      <c r="S1527" s="285"/>
      <c r="T1527" s="285"/>
      <c r="U1527" s="285"/>
      <c r="V1527" s="285"/>
      <c r="W1527" s="285"/>
    </row>
    <row r="1528" spans="1:23" s="26" customFormat="1" ht="30" customHeight="1" x14ac:dyDescent="0.2">
      <c r="A1528" s="106" t="s">
        <v>2615</v>
      </c>
      <c r="B1528" s="126" t="s">
        <v>216</v>
      </c>
      <c r="C1528" s="21" t="s">
        <v>17</v>
      </c>
      <c r="D1528" s="300">
        <v>1</v>
      </c>
      <c r="E1528" s="51">
        <f t="shared" si="531"/>
        <v>1.32</v>
      </c>
      <c r="F1528" s="23">
        <f t="shared" si="532"/>
        <v>0.75757575757575757</v>
      </c>
      <c r="G1528" s="65">
        <f t="shared" si="532"/>
        <v>14.52</v>
      </c>
      <c r="H1528" s="77">
        <v>41.322314049586772</v>
      </c>
      <c r="I1528" s="71">
        <f t="shared" si="533"/>
        <v>1.1000000000000001</v>
      </c>
      <c r="J1528" s="23">
        <f t="shared" si="534"/>
        <v>0.75757575757575757</v>
      </c>
      <c r="K1528" s="65">
        <f t="shared" si="535"/>
        <v>14.52</v>
      </c>
      <c r="L1528" s="21">
        <v>600</v>
      </c>
      <c r="M1528" s="21">
        <v>660</v>
      </c>
      <c r="N1528" s="285"/>
      <c r="O1528" s="285"/>
      <c r="P1528" s="285"/>
      <c r="Q1528" s="285"/>
      <c r="R1528" s="285"/>
      <c r="S1528" s="285"/>
      <c r="T1528" s="285"/>
      <c r="U1528" s="285"/>
      <c r="V1528" s="285"/>
      <c r="W1528" s="285"/>
    </row>
    <row r="1529" spans="1:23" s="26" customFormat="1" ht="30" customHeight="1" x14ac:dyDescent="0.2">
      <c r="A1529" s="106" t="s">
        <v>2616</v>
      </c>
      <c r="B1529" s="126" t="s">
        <v>217</v>
      </c>
      <c r="C1529" s="21" t="s">
        <v>17</v>
      </c>
      <c r="D1529" s="300">
        <v>1</v>
      </c>
      <c r="E1529" s="51">
        <f t="shared" si="531"/>
        <v>1.38</v>
      </c>
      <c r="F1529" s="23">
        <f t="shared" si="532"/>
        <v>0.72463768115942029</v>
      </c>
      <c r="G1529" s="65">
        <f t="shared" si="532"/>
        <v>15.18</v>
      </c>
      <c r="H1529" s="77">
        <v>39.525691699604742</v>
      </c>
      <c r="I1529" s="71">
        <f t="shared" si="533"/>
        <v>1.1000000000000001</v>
      </c>
      <c r="J1529" s="23">
        <f t="shared" si="534"/>
        <v>0.72463768115942029</v>
      </c>
      <c r="K1529" s="65">
        <f t="shared" si="535"/>
        <v>15.18</v>
      </c>
      <c r="L1529" s="21">
        <v>600</v>
      </c>
      <c r="M1529" s="21">
        <v>660</v>
      </c>
      <c r="N1529" s="285"/>
      <c r="O1529" s="285"/>
      <c r="P1529" s="285"/>
      <c r="Q1529" s="285"/>
      <c r="R1529" s="285"/>
      <c r="S1529" s="285"/>
      <c r="T1529" s="285"/>
      <c r="U1529" s="285"/>
      <c r="V1529" s="285"/>
      <c r="W1529" s="285"/>
    </row>
    <row r="1530" spans="1:23" s="26" customFormat="1" ht="30" customHeight="1" x14ac:dyDescent="0.2">
      <c r="A1530" s="106" t="s">
        <v>2617</v>
      </c>
      <c r="B1530" s="126" t="s">
        <v>218</v>
      </c>
      <c r="C1530" s="21" t="s">
        <v>17</v>
      </c>
      <c r="D1530" s="300">
        <v>1</v>
      </c>
      <c r="E1530" s="51">
        <f t="shared" si="531"/>
        <v>1.4399999999999997</v>
      </c>
      <c r="F1530" s="23">
        <f t="shared" si="532"/>
        <v>0.69444444444444453</v>
      </c>
      <c r="G1530" s="65">
        <f t="shared" si="532"/>
        <v>15.839999999999998</v>
      </c>
      <c r="H1530" s="77">
        <v>37.878787878787882</v>
      </c>
      <c r="I1530" s="71">
        <f t="shared" si="533"/>
        <v>1.1000000000000001</v>
      </c>
      <c r="J1530" s="23">
        <f t="shared" si="534"/>
        <v>0.69444444444444453</v>
      </c>
      <c r="K1530" s="65">
        <f t="shared" si="535"/>
        <v>15.839999999999998</v>
      </c>
      <c r="L1530" s="21">
        <v>600</v>
      </c>
      <c r="M1530" s="21">
        <v>660</v>
      </c>
      <c r="N1530" s="285"/>
      <c r="O1530" s="285"/>
      <c r="P1530" s="285"/>
      <c r="Q1530" s="285"/>
      <c r="R1530" s="285"/>
      <c r="S1530" s="285"/>
      <c r="T1530" s="285"/>
      <c r="U1530" s="285"/>
      <c r="V1530" s="285"/>
      <c r="W1530" s="285"/>
    </row>
    <row r="1531" spans="1:23" s="26" customFormat="1" ht="30" customHeight="1" x14ac:dyDescent="0.2">
      <c r="A1531" s="106" t="s">
        <v>2618</v>
      </c>
      <c r="B1531" s="137" t="s">
        <v>56</v>
      </c>
      <c r="C1531" s="60" t="s">
        <v>8</v>
      </c>
      <c r="D1531" s="300">
        <v>1</v>
      </c>
      <c r="E1531" s="51">
        <f t="shared" si="531"/>
        <v>15</v>
      </c>
      <c r="F1531" s="23">
        <f t="shared" si="532"/>
        <v>6.6666666666666666E-2</v>
      </c>
      <c r="G1531" s="65">
        <f t="shared" si="532"/>
        <v>165</v>
      </c>
      <c r="H1531" s="77">
        <v>3.6363636363636362</v>
      </c>
      <c r="I1531" s="71">
        <f t="shared" si="533"/>
        <v>1.1000000000000001</v>
      </c>
      <c r="J1531" s="23">
        <f t="shared" si="534"/>
        <v>6.6666666666666666E-2</v>
      </c>
      <c r="K1531" s="65">
        <f t="shared" si="535"/>
        <v>165</v>
      </c>
      <c r="L1531" s="21">
        <v>600</v>
      </c>
      <c r="M1531" s="21">
        <v>660</v>
      </c>
      <c r="N1531" s="285"/>
      <c r="O1531" s="285"/>
      <c r="P1531" s="285"/>
      <c r="Q1531" s="285"/>
      <c r="R1531" s="285"/>
      <c r="S1531" s="285"/>
      <c r="T1531" s="285"/>
      <c r="U1531" s="285"/>
      <c r="V1531" s="285"/>
      <c r="W1531" s="285"/>
    </row>
    <row r="1532" spans="1:23" s="26" customFormat="1" ht="30" customHeight="1" x14ac:dyDescent="0.2">
      <c r="A1532" s="106" t="s">
        <v>2619</v>
      </c>
      <c r="B1532" s="126" t="s">
        <v>172</v>
      </c>
      <c r="C1532" s="21" t="s">
        <v>102</v>
      </c>
      <c r="D1532" s="300">
        <v>1</v>
      </c>
      <c r="E1532" s="51">
        <f t="shared" si="531"/>
        <v>7.2600000000000016</v>
      </c>
      <c r="F1532" s="23">
        <f t="shared" si="532"/>
        <v>0.1377410468319559</v>
      </c>
      <c r="G1532" s="65">
        <f t="shared" si="532"/>
        <v>79.860000000000014</v>
      </c>
      <c r="H1532" s="77">
        <v>7.5131480090157767</v>
      </c>
      <c r="I1532" s="71">
        <f t="shared" si="533"/>
        <v>1.1000000000000001</v>
      </c>
      <c r="J1532" s="23">
        <f t="shared" si="534"/>
        <v>0.1377410468319559</v>
      </c>
      <c r="K1532" s="65">
        <f t="shared" si="535"/>
        <v>79.860000000000014</v>
      </c>
      <c r="L1532" s="21">
        <v>600</v>
      </c>
      <c r="M1532" s="21">
        <v>660</v>
      </c>
      <c r="N1532" s="285"/>
      <c r="O1532" s="285"/>
      <c r="P1532" s="285"/>
      <c r="Q1532" s="285"/>
      <c r="R1532" s="285"/>
      <c r="S1532" s="285"/>
      <c r="T1532" s="285"/>
      <c r="U1532" s="285"/>
      <c r="V1532" s="285"/>
      <c r="W1532" s="285"/>
    </row>
    <row r="1533" spans="1:23" s="26" customFormat="1" ht="30" customHeight="1" x14ac:dyDescent="0.2">
      <c r="A1533" s="106" t="s">
        <v>2620</v>
      </c>
      <c r="B1533" s="126" t="s">
        <v>171</v>
      </c>
      <c r="C1533" s="21" t="s">
        <v>132</v>
      </c>
      <c r="D1533" s="300">
        <v>1</v>
      </c>
      <c r="E1533" s="51">
        <f t="shared" si="531"/>
        <v>21.599999999999998</v>
      </c>
      <c r="F1533" s="23">
        <f t="shared" si="532"/>
        <v>4.6296296296296301E-2</v>
      </c>
      <c r="G1533" s="65">
        <f t="shared" si="532"/>
        <v>237.6</v>
      </c>
      <c r="H1533" s="77">
        <v>2.5252525252525251</v>
      </c>
      <c r="I1533" s="71">
        <f t="shared" si="533"/>
        <v>1.1000000000000001</v>
      </c>
      <c r="J1533" s="23">
        <f t="shared" si="534"/>
        <v>4.6296296296296301E-2</v>
      </c>
      <c r="K1533" s="65">
        <f t="shared" si="535"/>
        <v>237.6</v>
      </c>
      <c r="L1533" s="21">
        <v>600</v>
      </c>
      <c r="M1533" s="21">
        <v>660</v>
      </c>
      <c r="N1533" s="285"/>
      <c r="O1533" s="285"/>
      <c r="P1533" s="285"/>
      <c r="Q1533" s="285"/>
      <c r="R1533" s="285"/>
      <c r="S1533" s="285"/>
      <c r="T1533" s="285"/>
      <c r="U1533" s="285"/>
      <c r="V1533" s="285"/>
      <c r="W1533" s="285"/>
    </row>
    <row r="1534" spans="1:23" s="26" customFormat="1" ht="30" customHeight="1" x14ac:dyDescent="0.2">
      <c r="A1534" s="106" t="s">
        <v>2621</v>
      </c>
      <c r="B1534" s="126" t="s">
        <v>931</v>
      </c>
      <c r="C1534" s="21" t="s">
        <v>17</v>
      </c>
      <c r="D1534" s="300">
        <v>1</v>
      </c>
      <c r="E1534" s="51">
        <f t="shared" si="531"/>
        <v>0.83916083916083906</v>
      </c>
      <c r="F1534" s="23">
        <f t="shared" si="532"/>
        <v>1.1916666666666669</v>
      </c>
      <c r="G1534" s="65">
        <f t="shared" si="532"/>
        <v>9.2307692307692299</v>
      </c>
      <c r="H1534" s="77">
        <v>65</v>
      </c>
      <c r="I1534" s="71">
        <f t="shared" si="533"/>
        <v>1.1000000000000001</v>
      </c>
      <c r="J1534" s="23">
        <f t="shared" si="534"/>
        <v>1.1916666666666669</v>
      </c>
      <c r="K1534" s="65">
        <f t="shared" si="535"/>
        <v>9.2307692307692299</v>
      </c>
      <c r="L1534" s="21">
        <v>600</v>
      </c>
      <c r="M1534" s="21">
        <v>660</v>
      </c>
      <c r="N1534" s="285"/>
      <c r="O1534" s="285"/>
      <c r="P1534" s="285"/>
      <c r="Q1534" s="285"/>
      <c r="R1534" s="285"/>
      <c r="S1534" s="285"/>
      <c r="T1534" s="285"/>
      <c r="U1534" s="285"/>
      <c r="V1534" s="285"/>
      <c r="W1534" s="285"/>
    </row>
    <row r="1535" spans="1:23" s="26" customFormat="1" ht="30" customHeight="1" x14ac:dyDescent="0.2">
      <c r="A1535" s="106" t="s">
        <v>2622</v>
      </c>
      <c r="B1535" s="126" t="s">
        <v>932</v>
      </c>
      <c r="C1535" s="21" t="s">
        <v>17</v>
      </c>
      <c r="D1535" s="300">
        <v>1</v>
      </c>
      <c r="E1535" s="51">
        <f t="shared" si="531"/>
        <v>0.27272727272727271</v>
      </c>
      <c r="F1535" s="23">
        <f>J1535</f>
        <v>2.6766666666666667</v>
      </c>
      <c r="G1535" s="65">
        <v>3</v>
      </c>
      <c r="H1535" s="77">
        <v>146</v>
      </c>
      <c r="I1535" s="71">
        <f t="shared" si="533"/>
        <v>1.1000000000000001</v>
      </c>
      <c r="J1535" s="23">
        <f t="shared" si="534"/>
        <v>2.6766666666666667</v>
      </c>
      <c r="K1535" s="65">
        <f t="shared" si="535"/>
        <v>4.10958904109589</v>
      </c>
      <c r="L1535" s="21">
        <v>600</v>
      </c>
      <c r="M1535" s="21">
        <v>660</v>
      </c>
      <c r="N1535" s="285"/>
      <c r="O1535" s="285"/>
      <c r="P1535" s="285"/>
      <c r="Q1535" s="285"/>
      <c r="R1535" s="285"/>
      <c r="S1535" s="285"/>
      <c r="T1535" s="285"/>
      <c r="U1535" s="285"/>
      <c r="V1535" s="285"/>
      <c r="W1535" s="285"/>
    </row>
    <row r="1536" spans="1:23" s="26" customFormat="1" ht="30" customHeight="1" x14ac:dyDescent="0.2">
      <c r="A1536" s="106" t="s">
        <v>2623</v>
      </c>
      <c r="B1536" s="126" t="s">
        <v>933</v>
      </c>
      <c r="C1536" s="21" t="s">
        <v>17</v>
      </c>
      <c r="D1536" s="300">
        <v>1</v>
      </c>
      <c r="E1536" s="51">
        <f t="shared" si="531"/>
        <v>0.27272727272727271</v>
      </c>
      <c r="F1536" s="23">
        <f>J1536</f>
        <v>2.6766666666666667</v>
      </c>
      <c r="G1536" s="65">
        <v>3</v>
      </c>
      <c r="H1536" s="77">
        <v>146</v>
      </c>
      <c r="I1536" s="71">
        <f t="shared" si="533"/>
        <v>1.1000000000000001</v>
      </c>
      <c r="J1536" s="23">
        <f t="shared" si="534"/>
        <v>2.6766666666666667</v>
      </c>
      <c r="K1536" s="65">
        <f t="shared" si="535"/>
        <v>4.10958904109589</v>
      </c>
      <c r="L1536" s="21">
        <v>600</v>
      </c>
      <c r="M1536" s="21">
        <v>660</v>
      </c>
      <c r="N1536" s="285"/>
      <c r="O1536" s="285"/>
      <c r="P1536" s="285"/>
      <c r="Q1536" s="285"/>
      <c r="R1536" s="285"/>
      <c r="S1536" s="285"/>
      <c r="T1536" s="285"/>
      <c r="U1536" s="285"/>
      <c r="V1536" s="285"/>
      <c r="W1536" s="285"/>
    </row>
    <row r="1537" spans="1:23" s="26" customFormat="1" ht="30" customHeight="1" x14ac:dyDescent="0.2">
      <c r="A1537" s="106"/>
      <c r="B1537" s="112" t="s">
        <v>939</v>
      </c>
      <c r="C1537" s="34"/>
      <c r="D1537" s="300">
        <v>1</v>
      </c>
      <c r="E1537" s="34"/>
      <c r="F1537" s="34"/>
      <c r="G1537" s="34"/>
      <c r="H1537" s="223"/>
      <c r="I1537" s="50"/>
      <c r="J1537" s="64"/>
      <c r="K1537" s="64"/>
      <c r="L1537" s="64"/>
      <c r="M1537" s="64"/>
      <c r="N1537" s="285"/>
      <c r="O1537" s="285"/>
      <c r="P1537" s="285"/>
      <c r="Q1537" s="285"/>
      <c r="R1537" s="285"/>
      <c r="S1537" s="285"/>
      <c r="T1537" s="285"/>
      <c r="U1537" s="285"/>
      <c r="V1537" s="285"/>
      <c r="W1537" s="285"/>
    </row>
    <row r="1538" spans="1:23" s="26" customFormat="1" ht="30" customHeight="1" x14ac:dyDescent="0.2">
      <c r="A1538" s="106" t="s">
        <v>2624</v>
      </c>
      <c r="B1538" s="126" t="s">
        <v>949</v>
      </c>
      <c r="C1538" s="21" t="s">
        <v>17</v>
      </c>
      <c r="D1538" s="300">
        <v>1</v>
      </c>
      <c r="E1538" s="51">
        <f>G1538/11</f>
        <v>1.0499999999999998</v>
      </c>
      <c r="F1538" s="23">
        <f t="shared" ref="F1538:G1542" si="536">J1538</f>
        <v>0.95238095238095244</v>
      </c>
      <c r="G1538" s="65">
        <f t="shared" si="536"/>
        <v>11.549999999999999</v>
      </c>
      <c r="H1538" s="79">
        <v>51.948051948051948</v>
      </c>
      <c r="I1538" s="71">
        <f>M1538/L1538</f>
        <v>1.1000000000000001</v>
      </c>
      <c r="J1538" s="23">
        <f>11/K1538</f>
        <v>0.95238095238095244</v>
      </c>
      <c r="K1538" s="65">
        <f>M1538/(H1538*I1538)</f>
        <v>11.549999999999999</v>
      </c>
      <c r="L1538" s="21">
        <v>600</v>
      </c>
      <c r="M1538" s="21">
        <v>660</v>
      </c>
      <c r="N1538" s="285"/>
      <c r="O1538" s="285"/>
      <c r="P1538" s="285"/>
      <c r="Q1538" s="285"/>
      <c r="R1538" s="285"/>
      <c r="S1538" s="285"/>
      <c r="T1538" s="285"/>
      <c r="U1538" s="285"/>
      <c r="V1538" s="285"/>
      <c r="W1538" s="285"/>
    </row>
    <row r="1539" spans="1:23" s="26" customFormat="1" ht="30" customHeight="1" x14ac:dyDescent="0.2">
      <c r="A1539" s="106" t="s">
        <v>2625</v>
      </c>
      <c r="B1539" s="126" t="s">
        <v>950</v>
      </c>
      <c r="C1539" s="21" t="s">
        <v>17</v>
      </c>
      <c r="D1539" s="300">
        <v>1</v>
      </c>
      <c r="E1539" s="51">
        <f>G1539/11</f>
        <v>0.8</v>
      </c>
      <c r="F1539" s="23">
        <f t="shared" si="536"/>
        <v>1.25</v>
      </c>
      <c r="G1539" s="65">
        <f t="shared" si="536"/>
        <v>8.8000000000000007</v>
      </c>
      <c r="H1539" s="79">
        <v>68.181818181818173</v>
      </c>
      <c r="I1539" s="71">
        <f>M1539/L1539</f>
        <v>1.1000000000000001</v>
      </c>
      <c r="J1539" s="23">
        <f>11/K1539</f>
        <v>1.25</v>
      </c>
      <c r="K1539" s="65">
        <f>M1539/(H1539*I1539)</f>
        <v>8.8000000000000007</v>
      </c>
      <c r="L1539" s="21">
        <v>600</v>
      </c>
      <c r="M1539" s="21">
        <v>660</v>
      </c>
      <c r="N1539" s="285"/>
      <c r="O1539" s="285"/>
      <c r="P1539" s="285"/>
      <c r="Q1539" s="285"/>
      <c r="R1539" s="285"/>
      <c r="S1539" s="285"/>
      <c r="T1539" s="285"/>
      <c r="U1539" s="285"/>
      <c r="V1539" s="285"/>
      <c r="W1539" s="285"/>
    </row>
    <row r="1540" spans="1:23" s="26" customFormat="1" ht="30" customHeight="1" x14ac:dyDescent="0.2">
      <c r="A1540" s="106" t="s">
        <v>2626</v>
      </c>
      <c r="B1540" s="126" t="s">
        <v>951</v>
      </c>
      <c r="C1540" s="21" t="s">
        <v>17</v>
      </c>
      <c r="D1540" s="300">
        <v>1</v>
      </c>
      <c r="E1540" s="51">
        <f>G1540/11</f>
        <v>0.59999999999999987</v>
      </c>
      <c r="F1540" s="23">
        <f t="shared" si="536"/>
        <v>1.666666666666667</v>
      </c>
      <c r="G1540" s="65">
        <f t="shared" si="536"/>
        <v>6.5999999999999988</v>
      </c>
      <c r="H1540" s="79">
        <v>90.909090909090921</v>
      </c>
      <c r="I1540" s="71">
        <f>M1540/L1540</f>
        <v>1.1000000000000001</v>
      </c>
      <c r="J1540" s="23">
        <f>11/K1540</f>
        <v>1.666666666666667</v>
      </c>
      <c r="K1540" s="65">
        <f>M1540/(H1540*I1540)</f>
        <v>6.5999999999999988</v>
      </c>
      <c r="L1540" s="21">
        <v>600</v>
      </c>
      <c r="M1540" s="21">
        <v>660</v>
      </c>
      <c r="N1540" s="285"/>
      <c r="O1540" s="285"/>
      <c r="P1540" s="285"/>
      <c r="Q1540" s="285"/>
      <c r="R1540" s="285"/>
      <c r="S1540" s="285"/>
      <c r="T1540" s="285"/>
      <c r="U1540" s="285"/>
      <c r="V1540" s="285"/>
      <c r="W1540" s="285"/>
    </row>
    <row r="1541" spans="1:23" s="26" customFormat="1" ht="30" customHeight="1" x14ac:dyDescent="0.2">
      <c r="A1541" s="106" t="s">
        <v>2627</v>
      </c>
      <c r="B1541" s="126" t="s">
        <v>952</v>
      </c>
      <c r="C1541" s="21" t="s">
        <v>17</v>
      </c>
      <c r="D1541" s="300">
        <v>1</v>
      </c>
      <c r="E1541" s="51">
        <f>G1541/11</f>
        <v>0.44999999999999996</v>
      </c>
      <c r="F1541" s="23">
        <f t="shared" si="536"/>
        <v>2.2222222222222223</v>
      </c>
      <c r="G1541" s="65">
        <f t="shared" si="536"/>
        <v>4.9499999999999993</v>
      </c>
      <c r="H1541" s="79">
        <v>121.2121212121212</v>
      </c>
      <c r="I1541" s="71">
        <f>M1541/L1541</f>
        <v>1.1000000000000001</v>
      </c>
      <c r="J1541" s="23">
        <f>11/K1541</f>
        <v>2.2222222222222223</v>
      </c>
      <c r="K1541" s="65">
        <f>M1541/(H1541*I1541)</f>
        <v>4.9499999999999993</v>
      </c>
      <c r="L1541" s="21">
        <v>600</v>
      </c>
      <c r="M1541" s="21">
        <v>660</v>
      </c>
      <c r="N1541" s="285"/>
      <c r="O1541" s="285"/>
      <c r="P1541" s="285"/>
      <c r="Q1541" s="285"/>
      <c r="R1541" s="285"/>
      <c r="S1541" s="285"/>
      <c r="T1541" s="285"/>
      <c r="U1541" s="285"/>
      <c r="V1541" s="285"/>
      <c r="W1541" s="285"/>
    </row>
    <row r="1542" spans="1:23" s="26" customFormat="1" ht="30" customHeight="1" x14ac:dyDescent="0.2">
      <c r="A1542" s="106" t="s">
        <v>2628</v>
      </c>
      <c r="B1542" s="126" t="s">
        <v>954</v>
      </c>
      <c r="C1542" s="21" t="s">
        <v>17</v>
      </c>
      <c r="D1542" s="300">
        <v>1</v>
      </c>
      <c r="E1542" s="51">
        <f>G1542/11</f>
        <v>0.35</v>
      </c>
      <c r="F1542" s="23">
        <f t="shared" si="536"/>
        <v>2.8571428571428572</v>
      </c>
      <c r="G1542" s="65">
        <f t="shared" si="536"/>
        <v>3.8499999999999996</v>
      </c>
      <c r="H1542" s="79">
        <v>155.84415584415584</v>
      </c>
      <c r="I1542" s="71">
        <f>M1542/L1542</f>
        <v>1.1000000000000001</v>
      </c>
      <c r="J1542" s="23">
        <f>11/K1542</f>
        <v>2.8571428571428572</v>
      </c>
      <c r="K1542" s="65">
        <f>M1542/(H1542*I1542)</f>
        <v>3.8499999999999996</v>
      </c>
      <c r="L1542" s="21">
        <v>600</v>
      </c>
      <c r="M1542" s="21">
        <v>660</v>
      </c>
      <c r="N1542" s="285"/>
      <c r="O1542" s="285"/>
      <c r="P1542" s="285"/>
      <c r="Q1542" s="285"/>
      <c r="R1542" s="285"/>
      <c r="S1542" s="285"/>
      <c r="T1542" s="285"/>
      <c r="U1542" s="285"/>
      <c r="V1542" s="285"/>
      <c r="W1542" s="285"/>
    </row>
    <row r="1543" spans="1:23" s="26" customFormat="1" ht="30" customHeight="1" x14ac:dyDescent="0.2">
      <c r="A1543" s="106"/>
      <c r="B1543" s="198" t="s">
        <v>940</v>
      </c>
      <c r="C1543" s="34"/>
      <c r="D1543" s="300">
        <v>1</v>
      </c>
      <c r="E1543" s="34"/>
      <c r="F1543" s="34"/>
      <c r="G1543" s="34"/>
      <c r="H1543" s="242"/>
      <c r="I1543" s="50"/>
      <c r="J1543" s="64"/>
      <c r="K1543" s="64"/>
      <c r="L1543" s="64"/>
      <c r="M1543" s="64"/>
      <c r="N1543" s="285"/>
      <c r="O1543" s="285"/>
      <c r="P1543" s="285"/>
      <c r="Q1543" s="285"/>
      <c r="R1543" s="285"/>
      <c r="S1543" s="285"/>
      <c r="T1543" s="285"/>
      <c r="U1543" s="285"/>
      <c r="V1543" s="285"/>
      <c r="W1543" s="285"/>
    </row>
    <row r="1544" spans="1:23" s="26" customFormat="1" ht="30" customHeight="1" x14ac:dyDescent="0.2">
      <c r="A1544" s="106" t="s">
        <v>2629</v>
      </c>
      <c r="B1544" s="126" t="s">
        <v>955</v>
      </c>
      <c r="C1544" s="21" t="s">
        <v>17</v>
      </c>
      <c r="D1544" s="300">
        <v>1</v>
      </c>
      <c r="E1544" s="51">
        <f>G1544/11</f>
        <v>1.0499999999999998</v>
      </c>
      <c r="F1544" s="23">
        <f t="shared" ref="F1544:G1548" si="537">J1544</f>
        <v>0.95238095238095244</v>
      </c>
      <c r="G1544" s="65">
        <f t="shared" si="537"/>
        <v>11.549999999999999</v>
      </c>
      <c r="H1544" s="79">
        <v>51.948051948051948</v>
      </c>
      <c r="I1544" s="71">
        <f>M1544/L1544</f>
        <v>1.1000000000000001</v>
      </c>
      <c r="J1544" s="23">
        <f>11/K1544</f>
        <v>0.95238095238095244</v>
      </c>
      <c r="K1544" s="65">
        <f>M1544/(H1544*I1544)</f>
        <v>11.549999999999999</v>
      </c>
      <c r="L1544" s="21">
        <v>600</v>
      </c>
      <c r="M1544" s="21">
        <v>660</v>
      </c>
      <c r="N1544" s="285"/>
      <c r="O1544" s="285"/>
      <c r="P1544" s="285"/>
      <c r="Q1544" s="285"/>
      <c r="R1544" s="285"/>
      <c r="S1544" s="285"/>
      <c r="T1544" s="285"/>
      <c r="U1544" s="285"/>
      <c r="V1544" s="285"/>
      <c r="W1544" s="285"/>
    </row>
    <row r="1545" spans="1:23" s="26" customFormat="1" ht="30" customHeight="1" x14ac:dyDescent="0.2">
      <c r="A1545" s="106" t="s">
        <v>2630</v>
      </c>
      <c r="B1545" s="126" t="s">
        <v>956</v>
      </c>
      <c r="C1545" s="21" t="s">
        <v>17</v>
      </c>
      <c r="D1545" s="300">
        <v>1</v>
      </c>
      <c r="E1545" s="51">
        <f>G1545/11</f>
        <v>0.8</v>
      </c>
      <c r="F1545" s="23">
        <f t="shared" si="537"/>
        <v>1.25</v>
      </c>
      <c r="G1545" s="65">
        <f t="shared" si="537"/>
        <v>8.8000000000000007</v>
      </c>
      <c r="H1545" s="79">
        <v>68.181818181818173</v>
      </c>
      <c r="I1545" s="71">
        <f>M1545/L1545</f>
        <v>1.1000000000000001</v>
      </c>
      <c r="J1545" s="23">
        <f>11/K1545</f>
        <v>1.25</v>
      </c>
      <c r="K1545" s="65">
        <f>M1545/(H1545*I1545)</f>
        <v>8.8000000000000007</v>
      </c>
      <c r="L1545" s="21">
        <v>600</v>
      </c>
      <c r="M1545" s="21">
        <v>660</v>
      </c>
      <c r="N1545" s="285"/>
      <c r="O1545" s="285"/>
      <c r="P1545" s="285"/>
      <c r="Q1545" s="285"/>
      <c r="R1545" s="285"/>
      <c r="S1545" s="285"/>
      <c r="T1545" s="285"/>
      <c r="U1545" s="285"/>
      <c r="V1545" s="285"/>
      <c r="W1545" s="285"/>
    </row>
    <row r="1546" spans="1:23" s="26" customFormat="1" ht="30" customHeight="1" x14ac:dyDescent="0.2">
      <c r="A1546" s="106" t="s">
        <v>2631</v>
      </c>
      <c r="B1546" s="126" t="s">
        <v>957</v>
      </c>
      <c r="C1546" s="21" t="s">
        <v>17</v>
      </c>
      <c r="D1546" s="300">
        <v>1</v>
      </c>
      <c r="E1546" s="51">
        <f>G1546/11</f>
        <v>0.59999999999999987</v>
      </c>
      <c r="F1546" s="23">
        <f t="shared" si="537"/>
        <v>1.666666666666667</v>
      </c>
      <c r="G1546" s="65">
        <f t="shared" si="537"/>
        <v>6.5999999999999988</v>
      </c>
      <c r="H1546" s="79">
        <v>90.909090909090921</v>
      </c>
      <c r="I1546" s="71">
        <f>M1546/L1546</f>
        <v>1.1000000000000001</v>
      </c>
      <c r="J1546" s="23">
        <f>11/K1546</f>
        <v>1.666666666666667</v>
      </c>
      <c r="K1546" s="65">
        <f>M1546/(H1546*I1546)</f>
        <v>6.5999999999999988</v>
      </c>
      <c r="L1546" s="21">
        <v>600</v>
      </c>
      <c r="M1546" s="21">
        <v>660</v>
      </c>
      <c r="N1546" s="285"/>
      <c r="O1546" s="285"/>
      <c r="P1546" s="285"/>
      <c r="Q1546" s="285"/>
      <c r="R1546" s="285"/>
      <c r="S1546" s="285"/>
      <c r="T1546" s="285"/>
      <c r="U1546" s="285"/>
      <c r="V1546" s="285"/>
      <c r="W1546" s="285"/>
    </row>
    <row r="1547" spans="1:23" s="26" customFormat="1" ht="30" customHeight="1" x14ac:dyDescent="0.2">
      <c r="A1547" s="106" t="s">
        <v>2632</v>
      </c>
      <c r="B1547" s="126" t="s">
        <v>958</v>
      </c>
      <c r="C1547" s="21" t="s">
        <v>17</v>
      </c>
      <c r="D1547" s="300">
        <v>1</v>
      </c>
      <c r="E1547" s="51">
        <f>G1547/11</f>
        <v>0.44999999999999996</v>
      </c>
      <c r="F1547" s="23">
        <f t="shared" si="537"/>
        <v>2.2222222222222223</v>
      </c>
      <c r="G1547" s="65">
        <f t="shared" si="537"/>
        <v>4.9499999999999993</v>
      </c>
      <c r="H1547" s="79">
        <v>121.2121212121212</v>
      </c>
      <c r="I1547" s="71">
        <f>M1547/L1547</f>
        <v>1.1000000000000001</v>
      </c>
      <c r="J1547" s="23">
        <f>11/K1547</f>
        <v>2.2222222222222223</v>
      </c>
      <c r="K1547" s="65">
        <f>M1547/(H1547*I1547)</f>
        <v>4.9499999999999993</v>
      </c>
      <c r="L1547" s="21">
        <v>600</v>
      </c>
      <c r="M1547" s="21">
        <v>660</v>
      </c>
      <c r="N1547" s="285"/>
      <c r="O1547" s="285"/>
      <c r="P1547" s="285"/>
      <c r="Q1547" s="285"/>
      <c r="R1547" s="285"/>
      <c r="S1547" s="285"/>
      <c r="T1547" s="285"/>
      <c r="U1547" s="285"/>
      <c r="V1547" s="285"/>
      <c r="W1547" s="285"/>
    </row>
    <row r="1548" spans="1:23" s="26" customFormat="1" ht="30" customHeight="1" x14ac:dyDescent="0.2">
      <c r="A1548" s="106" t="s">
        <v>2633</v>
      </c>
      <c r="B1548" s="126" t="s">
        <v>959</v>
      </c>
      <c r="C1548" s="21" t="s">
        <v>17</v>
      </c>
      <c r="D1548" s="300">
        <v>1</v>
      </c>
      <c r="E1548" s="51">
        <f>G1548/11</f>
        <v>0.35</v>
      </c>
      <c r="F1548" s="23">
        <f t="shared" si="537"/>
        <v>2.8571428571428572</v>
      </c>
      <c r="G1548" s="65">
        <f t="shared" si="537"/>
        <v>3.8499999999999996</v>
      </c>
      <c r="H1548" s="79">
        <v>155.84415584415584</v>
      </c>
      <c r="I1548" s="71">
        <f>M1548/L1548</f>
        <v>1.1000000000000001</v>
      </c>
      <c r="J1548" s="23">
        <f>11/K1548</f>
        <v>2.8571428571428572</v>
      </c>
      <c r="K1548" s="65">
        <f>M1548/(H1548*I1548)</f>
        <v>3.8499999999999996</v>
      </c>
      <c r="L1548" s="21">
        <v>600</v>
      </c>
      <c r="M1548" s="21">
        <v>660</v>
      </c>
      <c r="N1548" s="285"/>
      <c r="O1548" s="285"/>
      <c r="P1548" s="285"/>
      <c r="Q1548" s="285"/>
      <c r="R1548" s="285"/>
      <c r="S1548" s="285"/>
      <c r="T1548" s="285"/>
      <c r="U1548" s="285"/>
      <c r="V1548" s="285"/>
      <c r="W1548" s="285"/>
    </row>
    <row r="1549" spans="1:23" s="26" customFormat="1" ht="30" customHeight="1" x14ac:dyDescent="0.2">
      <c r="A1549" s="106"/>
      <c r="B1549" s="182" t="s">
        <v>825</v>
      </c>
      <c r="C1549" s="55"/>
      <c r="D1549" s="300">
        <v>1</v>
      </c>
      <c r="E1549" s="55"/>
      <c r="F1549" s="55"/>
      <c r="G1549" s="55"/>
      <c r="H1549" s="238"/>
      <c r="I1549" s="21"/>
      <c r="J1549" s="21"/>
      <c r="K1549" s="21"/>
      <c r="L1549" s="21"/>
      <c r="M1549" s="21"/>
      <c r="N1549" s="285"/>
      <c r="O1549" s="285"/>
      <c r="P1549" s="285"/>
      <c r="Q1549" s="285"/>
      <c r="R1549" s="285"/>
      <c r="S1549" s="285"/>
      <c r="T1549" s="285"/>
      <c r="U1549" s="285"/>
      <c r="V1549" s="285"/>
      <c r="W1549" s="285"/>
    </row>
    <row r="1550" spans="1:23" s="26" customFormat="1" ht="30" customHeight="1" x14ac:dyDescent="0.2">
      <c r="A1550" s="106"/>
      <c r="B1550" s="199" t="s">
        <v>827</v>
      </c>
      <c r="C1550" s="53"/>
      <c r="D1550" s="300">
        <v>1</v>
      </c>
      <c r="E1550" s="53"/>
      <c r="F1550" s="53"/>
      <c r="G1550" s="53"/>
      <c r="H1550" s="222"/>
      <c r="I1550" s="21"/>
      <c r="J1550" s="21"/>
      <c r="K1550" s="21"/>
      <c r="L1550" s="21"/>
      <c r="M1550" s="21"/>
      <c r="N1550" s="285"/>
      <c r="O1550" s="285"/>
      <c r="P1550" s="285"/>
      <c r="Q1550" s="285"/>
      <c r="R1550" s="285"/>
      <c r="S1550" s="285"/>
      <c r="T1550" s="285"/>
      <c r="U1550" s="285"/>
      <c r="V1550" s="285"/>
      <c r="W1550" s="285"/>
    </row>
    <row r="1551" spans="1:23" s="26" customFormat="1" ht="30" customHeight="1" x14ac:dyDescent="0.2">
      <c r="A1551" s="106" t="s">
        <v>2634</v>
      </c>
      <c r="B1551" s="120" t="s">
        <v>828</v>
      </c>
      <c r="C1551" s="21" t="s">
        <v>829</v>
      </c>
      <c r="D1551" s="300">
        <v>1</v>
      </c>
      <c r="E1551" s="301">
        <f t="shared" ref="E1551:E1563" si="538">G1551/11</f>
        <v>11.454545454545455</v>
      </c>
      <c r="F1551" s="298">
        <f t="shared" ref="F1551:F1563" si="539">11/G1551</f>
        <v>8.7301587301587297E-2</v>
      </c>
      <c r="G1551" s="302">
        <f t="shared" ref="G1551:G1563" si="540">L1551/H1551</f>
        <v>126</v>
      </c>
      <c r="H1551" s="220">
        <v>4.7619047619047619</v>
      </c>
      <c r="I1551" s="71">
        <v>1.1000000000000001</v>
      </c>
      <c r="J1551" s="23">
        <v>8.7301587301587297E-2</v>
      </c>
      <c r="K1551" s="65">
        <v>126</v>
      </c>
      <c r="L1551" s="21">
        <v>600</v>
      </c>
      <c r="M1551" s="21">
        <v>660</v>
      </c>
      <c r="N1551" s="285"/>
      <c r="O1551" s="285"/>
      <c r="P1551" s="285"/>
      <c r="Q1551" s="285"/>
      <c r="R1551" s="285"/>
      <c r="S1551" s="285"/>
      <c r="T1551" s="285"/>
      <c r="U1551" s="285"/>
      <c r="V1551" s="285"/>
      <c r="W1551" s="285"/>
    </row>
    <row r="1552" spans="1:23" s="26" customFormat="1" ht="30" customHeight="1" x14ac:dyDescent="0.2">
      <c r="A1552" s="106" t="s">
        <v>2635</v>
      </c>
      <c r="B1552" s="120" t="s">
        <v>830</v>
      </c>
      <c r="C1552" s="21" t="s">
        <v>220</v>
      </c>
      <c r="D1552" s="300">
        <v>1</v>
      </c>
      <c r="E1552" s="301">
        <f t="shared" si="538"/>
        <v>30.303030303030301</v>
      </c>
      <c r="F1552" s="298">
        <f t="shared" si="539"/>
        <v>3.3000000000000002E-2</v>
      </c>
      <c r="G1552" s="302">
        <f t="shared" si="540"/>
        <v>333.33333333333331</v>
      </c>
      <c r="H1552" s="77">
        <v>1.8</v>
      </c>
      <c r="I1552" s="71">
        <f t="shared" ref="I1552:I1566" si="541">M1552/L1552</f>
        <v>1.1000000000000001</v>
      </c>
      <c r="J1552" s="23">
        <f t="shared" ref="J1552:J1566" si="542">11/K1552</f>
        <v>3.3000000000000002E-2</v>
      </c>
      <c r="K1552" s="65">
        <f t="shared" ref="K1552:K1566" si="543">M1552/(H1552*I1552)</f>
        <v>333.33333333333331</v>
      </c>
      <c r="L1552" s="21">
        <v>600</v>
      </c>
      <c r="M1552" s="21">
        <v>660</v>
      </c>
      <c r="N1552" s="285"/>
      <c r="O1552" s="285"/>
      <c r="P1552" s="285"/>
      <c r="Q1552" s="285"/>
      <c r="R1552" s="285"/>
      <c r="S1552" s="285"/>
      <c r="T1552" s="285"/>
      <c r="U1552" s="285"/>
      <c r="V1552" s="285"/>
      <c r="W1552" s="285"/>
    </row>
    <row r="1553" spans="1:23" s="26" customFormat="1" ht="30" customHeight="1" x14ac:dyDescent="0.2">
      <c r="A1553" s="106" t="s">
        <v>1554</v>
      </c>
      <c r="B1553" s="120" t="s">
        <v>831</v>
      </c>
      <c r="C1553" s="21" t="s">
        <v>1</v>
      </c>
      <c r="D1553" s="300">
        <v>1</v>
      </c>
      <c r="E1553" s="301">
        <f t="shared" si="538"/>
        <v>50.041701417848202</v>
      </c>
      <c r="F1553" s="298">
        <f t="shared" si="539"/>
        <v>1.9983333333333336E-2</v>
      </c>
      <c r="G1553" s="302">
        <f t="shared" si="540"/>
        <v>550.45871559633019</v>
      </c>
      <c r="H1553" s="77">
        <v>1.0900000000000001</v>
      </c>
      <c r="I1553" s="71">
        <f t="shared" si="541"/>
        <v>1.1000000000000001</v>
      </c>
      <c r="J1553" s="23">
        <f t="shared" si="542"/>
        <v>1.9983333333333336E-2</v>
      </c>
      <c r="K1553" s="65">
        <f t="shared" si="543"/>
        <v>550.45871559633019</v>
      </c>
      <c r="L1553" s="21">
        <v>600</v>
      </c>
      <c r="M1553" s="21">
        <v>660</v>
      </c>
      <c r="N1553" s="285"/>
      <c r="O1553" s="285"/>
      <c r="P1553" s="285"/>
      <c r="Q1553" s="285"/>
      <c r="R1553" s="285"/>
      <c r="S1553" s="285"/>
      <c r="T1553" s="285"/>
      <c r="U1553" s="285"/>
      <c r="V1553" s="285"/>
      <c r="W1553" s="285"/>
    </row>
    <row r="1554" spans="1:23" s="26" customFormat="1" ht="30" customHeight="1" x14ac:dyDescent="0.2">
      <c r="A1554" s="106" t="s">
        <v>1555</v>
      </c>
      <c r="B1554" s="120" t="s">
        <v>832</v>
      </c>
      <c r="C1554" s="21" t="s">
        <v>1</v>
      </c>
      <c r="D1554" s="300">
        <v>1</v>
      </c>
      <c r="E1554" s="301">
        <f t="shared" si="538"/>
        <v>45.454545454545453</v>
      </c>
      <c r="F1554" s="298">
        <f t="shared" si="539"/>
        <v>2.1999999999999999E-2</v>
      </c>
      <c r="G1554" s="302">
        <f t="shared" si="540"/>
        <v>500</v>
      </c>
      <c r="H1554" s="77">
        <v>1.2</v>
      </c>
      <c r="I1554" s="71">
        <f t="shared" si="541"/>
        <v>1.1000000000000001</v>
      </c>
      <c r="J1554" s="23">
        <f t="shared" si="542"/>
        <v>2.1999999999999999E-2</v>
      </c>
      <c r="K1554" s="65">
        <f t="shared" si="543"/>
        <v>500</v>
      </c>
      <c r="L1554" s="21">
        <v>600</v>
      </c>
      <c r="M1554" s="21">
        <v>660</v>
      </c>
      <c r="N1554" s="285"/>
      <c r="O1554" s="285"/>
      <c r="P1554" s="285"/>
      <c r="Q1554" s="285"/>
      <c r="R1554" s="285"/>
      <c r="S1554" s="285"/>
      <c r="T1554" s="285"/>
      <c r="U1554" s="285"/>
      <c r="V1554" s="285"/>
      <c r="W1554" s="285"/>
    </row>
    <row r="1555" spans="1:23" s="26" customFormat="1" ht="30" customHeight="1" x14ac:dyDescent="0.2">
      <c r="A1555" s="106" t="s">
        <v>2636</v>
      </c>
      <c r="B1555" s="120" t="s">
        <v>833</v>
      </c>
      <c r="C1555" s="21" t="s">
        <v>729</v>
      </c>
      <c r="D1555" s="300">
        <v>1</v>
      </c>
      <c r="E1555" s="301">
        <f t="shared" si="538"/>
        <v>72.727272727272734</v>
      </c>
      <c r="F1555" s="298">
        <f t="shared" si="539"/>
        <v>1.375E-2</v>
      </c>
      <c r="G1555" s="302">
        <f t="shared" si="540"/>
        <v>800</v>
      </c>
      <c r="H1555" s="77">
        <v>0.75</v>
      </c>
      <c r="I1555" s="71">
        <f t="shared" si="541"/>
        <v>1.1000000000000001</v>
      </c>
      <c r="J1555" s="23">
        <f t="shared" si="542"/>
        <v>1.3750000000000002E-2</v>
      </c>
      <c r="K1555" s="65">
        <f t="shared" si="543"/>
        <v>799.99999999999989</v>
      </c>
      <c r="L1555" s="21">
        <v>600</v>
      </c>
      <c r="M1555" s="21">
        <v>660</v>
      </c>
      <c r="N1555" s="285"/>
      <c r="O1555" s="285"/>
      <c r="P1555" s="285"/>
      <c r="Q1555" s="285"/>
      <c r="R1555" s="285"/>
      <c r="S1555" s="285"/>
      <c r="T1555" s="285"/>
      <c r="U1555" s="285"/>
      <c r="V1555" s="285"/>
      <c r="W1555" s="285"/>
    </row>
    <row r="1556" spans="1:23" s="26" customFormat="1" ht="30" customHeight="1" x14ac:dyDescent="0.2">
      <c r="A1556" s="106" t="s">
        <v>2637</v>
      </c>
      <c r="B1556" s="120" t="s">
        <v>834</v>
      </c>
      <c r="C1556" s="21" t="s">
        <v>729</v>
      </c>
      <c r="D1556" s="300">
        <v>1</v>
      </c>
      <c r="E1556" s="301">
        <f t="shared" si="538"/>
        <v>13.090909090909092</v>
      </c>
      <c r="F1556" s="298">
        <f t="shared" si="539"/>
        <v>7.6388888888888895E-2</v>
      </c>
      <c r="G1556" s="302">
        <f t="shared" si="540"/>
        <v>144</v>
      </c>
      <c r="H1556" s="77">
        <v>4.166666666666667</v>
      </c>
      <c r="I1556" s="71">
        <f t="shared" si="541"/>
        <v>1.1000000000000001</v>
      </c>
      <c r="J1556" s="23">
        <f t="shared" si="542"/>
        <v>7.6388888888888909E-2</v>
      </c>
      <c r="K1556" s="65">
        <f t="shared" si="543"/>
        <v>143.99999999999997</v>
      </c>
      <c r="L1556" s="21">
        <v>600</v>
      </c>
      <c r="M1556" s="21">
        <v>660</v>
      </c>
      <c r="N1556" s="285"/>
      <c r="O1556" s="285"/>
      <c r="P1556" s="285"/>
      <c r="Q1556" s="285"/>
      <c r="R1556" s="285"/>
      <c r="S1556" s="285"/>
      <c r="T1556" s="285"/>
      <c r="U1556" s="285"/>
      <c r="V1556" s="285"/>
      <c r="W1556" s="285"/>
    </row>
    <row r="1557" spans="1:23" s="26" customFormat="1" ht="30" customHeight="1" x14ac:dyDescent="0.2">
      <c r="A1557" s="106" t="s">
        <v>2638</v>
      </c>
      <c r="B1557" s="120" t="s">
        <v>835</v>
      </c>
      <c r="C1557" s="21" t="s">
        <v>729</v>
      </c>
      <c r="D1557" s="300">
        <v>1</v>
      </c>
      <c r="E1557" s="301">
        <f t="shared" si="538"/>
        <v>19.636363636363633</v>
      </c>
      <c r="F1557" s="298">
        <f t="shared" si="539"/>
        <v>5.092592592592593E-2</v>
      </c>
      <c r="G1557" s="302">
        <f t="shared" si="540"/>
        <v>215.99999999999997</v>
      </c>
      <c r="H1557" s="77">
        <v>2.7777777777777781</v>
      </c>
      <c r="I1557" s="71">
        <f t="shared" si="541"/>
        <v>1.1000000000000001</v>
      </c>
      <c r="J1557" s="23">
        <f t="shared" si="542"/>
        <v>5.0925925925925937E-2</v>
      </c>
      <c r="K1557" s="65">
        <f t="shared" si="543"/>
        <v>215.99999999999994</v>
      </c>
      <c r="L1557" s="21">
        <v>600</v>
      </c>
      <c r="M1557" s="21">
        <v>660</v>
      </c>
      <c r="N1557" s="285"/>
      <c r="O1557" s="285"/>
      <c r="P1557" s="285"/>
      <c r="Q1557" s="285"/>
      <c r="R1557" s="285"/>
      <c r="S1557" s="285"/>
      <c r="T1557" s="285"/>
      <c r="U1557" s="285"/>
      <c r="V1557" s="285"/>
      <c r="W1557" s="285"/>
    </row>
    <row r="1558" spans="1:23" s="26" customFormat="1" ht="30" customHeight="1" x14ac:dyDescent="0.2">
      <c r="A1558" s="106" t="s">
        <v>2639</v>
      </c>
      <c r="B1558" s="120" t="s">
        <v>836</v>
      </c>
      <c r="C1558" s="21" t="s">
        <v>729</v>
      </c>
      <c r="D1558" s="300">
        <v>1</v>
      </c>
      <c r="E1558" s="301">
        <f t="shared" si="538"/>
        <v>21.818181818181817</v>
      </c>
      <c r="F1558" s="298">
        <f t="shared" si="539"/>
        <v>4.583333333333333E-2</v>
      </c>
      <c r="G1558" s="302">
        <f t="shared" si="540"/>
        <v>240</v>
      </c>
      <c r="H1558" s="77">
        <v>2.5</v>
      </c>
      <c r="I1558" s="71">
        <f t="shared" si="541"/>
        <v>1.1000000000000001</v>
      </c>
      <c r="J1558" s="23">
        <f t="shared" si="542"/>
        <v>4.583333333333333E-2</v>
      </c>
      <c r="K1558" s="65">
        <f t="shared" si="543"/>
        <v>240</v>
      </c>
      <c r="L1558" s="21">
        <v>600</v>
      </c>
      <c r="M1558" s="21">
        <v>660</v>
      </c>
      <c r="N1558" s="285"/>
      <c r="O1558" s="285"/>
      <c r="P1558" s="285"/>
      <c r="Q1558" s="285"/>
      <c r="R1558" s="285"/>
      <c r="S1558" s="285"/>
      <c r="T1558" s="285"/>
      <c r="U1558" s="285"/>
      <c r="V1558" s="285"/>
      <c r="W1558" s="285"/>
    </row>
    <row r="1559" spans="1:23" s="26" customFormat="1" ht="30" customHeight="1" x14ac:dyDescent="0.2">
      <c r="A1559" s="106" t="s">
        <v>2640</v>
      </c>
      <c r="B1559" s="120" t="s">
        <v>837</v>
      </c>
      <c r="C1559" s="21" t="s">
        <v>1</v>
      </c>
      <c r="D1559" s="300">
        <v>1</v>
      </c>
      <c r="E1559" s="301">
        <f t="shared" si="538"/>
        <v>13.090909090909092</v>
      </c>
      <c r="F1559" s="298">
        <f t="shared" si="539"/>
        <v>7.6388888888888895E-2</v>
      </c>
      <c r="G1559" s="302">
        <f t="shared" si="540"/>
        <v>144</v>
      </c>
      <c r="H1559" s="77">
        <v>4.166666666666667</v>
      </c>
      <c r="I1559" s="71">
        <f t="shared" si="541"/>
        <v>1.1000000000000001</v>
      </c>
      <c r="J1559" s="23">
        <f t="shared" si="542"/>
        <v>7.6388888888888909E-2</v>
      </c>
      <c r="K1559" s="65">
        <f t="shared" si="543"/>
        <v>143.99999999999997</v>
      </c>
      <c r="L1559" s="21">
        <v>600</v>
      </c>
      <c r="M1559" s="21">
        <v>660</v>
      </c>
      <c r="N1559" s="285"/>
      <c r="O1559" s="285"/>
      <c r="P1559" s="285"/>
      <c r="Q1559" s="285"/>
      <c r="R1559" s="285"/>
      <c r="S1559" s="285"/>
      <c r="T1559" s="285"/>
      <c r="U1559" s="285"/>
      <c r="V1559" s="285"/>
      <c r="W1559" s="285"/>
    </row>
    <row r="1560" spans="1:23" s="26" customFormat="1" ht="30" customHeight="1" x14ac:dyDescent="0.2">
      <c r="A1560" s="106" t="s">
        <v>1556</v>
      </c>
      <c r="B1560" s="120" t="s">
        <v>838</v>
      </c>
      <c r="C1560" s="21" t="s">
        <v>1</v>
      </c>
      <c r="D1560" s="300">
        <v>1</v>
      </c>
      <c r="E1560" s="301">
        <f t="shared" si="538"/>
        <v>3.9272727272727268</v>
      </c>
      <c r="F1560" s="298">
        <f t="shared" si="539"/>
        <v>0.25462962962962965</v>
      </c>
      <c r="G1560" s="302">
        <f t="shared" si="540"/>
        <v>43.199999999999996</v>
      </c>
      <c r="H1560" s="77">
        <v>13.888888888888891</v>
      </c>
      <c r="I1560" s="71">
        <f t="shared" si="541"/>
        <v>1.1000000000000001</v>
      </c>
      <c r="J1560" s="23">
        <f t="shared" si="542"/>
        <v>0.25462962962962971</v>
      </c>
      <c r="K1560" s="65">
        <f t="shared" si="543"/>
        <v>43.199999999999989</v>
      </c>
      <c r="L1560" s="21">
        <v>600</v>
      </c>
      <c r="M1560" s="21">
        <v>660</v>
      </c>
      <c r="N1560" s="285"/>
      <c r="O1560" s="285"/>
      <c r="P1560" s="285"/>
      <c r="Q1560" s="285"/>
      <c r="R1560" s="285"/>
      <c r="S1560" s="285"/>
      <c r="T1560" s="285"/>
      <c r="U1560" s="285"/>
      <c r="V1560" s="285"/>
      <c r="W1560" s="285"/>
    </row>
    <row r="1561" spans="1:23" s="26" customFormat="1" ht="30" customHeight="1" x14ac:dyDescent="0.2">
      <c r="A1561" s="106" t="s">
        <v>2641</v>
      </c>
      <c r="B1561" s="120" t="s">
        <v>839</v>
      </c>
      <c r="C1561" s="21" t="s">
        <v>1</v>
      </c>
      <c r="D1561" s="300">
        <v>1</v>
      </c>
      <c r="E1561" s="301">
        <f t="shared" si="538"/>
        <v>3.2727272727272729</v>
      </c>
      <c r="F1561" s="298">
        <f t="shared" si="539"/>
        <v>0.30555555555555558</v>
      </c>
      <c r="G1561" s="302">
        <f t="shared" si="540"/>
        <v>36</v>
      </c>
      <c r="H1561" s="77">
        <v>16.666666666666668</v>
      </c>
      <c r="I1561" s="71">
        <f t="shared" si="541"/>
        <v>1.1000000000000001</v>
      </c>
      <c r="J1561" s="23">
        <f t="shared" si="542"/>
        <v>0.30555555555555564</v>
      </c>
      <c r="K1561" s="65">
        <f t="shared" si="543"/>
        <v>35.999999999999993</v>
      </c>
      <c r="L1561" s="21">
        <v>600</v>
      </c>
      <c r="M1561" s="21">
        <v>660</v>
      </c>
      <c r="N1561" s="285"/>
      <c r="O1561" s="285"/>
      <c r="P1561" s="285"/>
      <c r="Q1561" s="285"/>
      <c r="R1561" s="285"/>
      <c r="S1561" s="285"/>
      <c r="T1561" s="285"/>
      <c r="U1561" s="285"/>
      <c r="V1561" s="285"/>
      <c r="W1561" s="285"/>
    </row>
    <row r="1562" spans="1:23" s="26" customFormat="1" ht="39.75" customHeight="1" x14ac:dyDescent="0.2">
      <c r="A1562" s="106" t="s">
        <v>1557</v>
      </c>
      <c r="B1562" s="120" t="s">
        <v>853</v>
      </c>
      <c r="C1562" s="21" t="s">
        <v>1</v>
      </c>
      <c r="D1562" s="300">
        <v>1</v>
      </c>
      <c r="E1562" s="301">
        <f t="shared" si="538"/>
        <v>5.4545454545454541</v>
      </c>
      <c r="F1562" s="298">
        <f t="shared" si="539"/>
        <v>0.18333333333333332</v>
      </c>
      <c r="G1562" s="302">
        <f t="shared" si="540"/>
        <v>60</v>
      </c>
      <c r="H1562" s="77">
        <v>10</v>
      </c>
      <c r="I1562" s="71">
        <f t="shared" si="541"/>
        <v>1.1000000000000001</v>
      </c>
      <c r="J1562" s="23">
        <f t="shared" si="542"/>
        <v>0.18333333333333332</v>
      </c>
      <c r="K1562" s="65">
        <f t="shared" si="543"/>
        <v>60</v>
      </c>
      <c r="L1562" s="21">
        <v>600</v>
      </c>
      <c r="M1562" s="21">
        <v>660</v>
      </c>
      <c r="N1562" s="285"/>
      <c r="O1562" s="285"/>
      <c r="P1562" s="285"/>
      <c r="Q1562" s="285"/>
      <c r="R1562" s="285"/>
      <c r="S1562" s="285"/>
      <c r="T1562" s="285"/>
      <c r="U1562" s="285"/>
      <c r="V1562" s="285"/>
      <c r="W1562" s="285"/>
    </row>
    <row r="1563" spans="1:23" s="26" customFormat="1" ht="48" customHeight="1" x14ac:dyDescent="0.2">
      <c r="A1563" s="106" t="s">
        <v>1558</v>
      </c>
      <c r="B1563" s="120" t="s">
        <v>852</v>
      </c>
      <c r="C1563" s="21" t="s">
        <v>1</v>
      </c>
      <c r="D1563" s="300">
        <v>1</v>
      </c>
      <c r="E1563" s="301">
        <f t="shared" si="538"/>
        <v>4.1454545454545455</v>
      </c>
      <c r="F1563" s="298">
        <f t="shared" si="539"/>
        <v>0.2412280701754386</v>
      </c>
      <c r="G1563" s="302">
        <f t="shared" si="540"/>
        <v>45.6</v>
      </c>
      <c r="H1563" s="77">
        <v>13.157894736842104</v>
      </c>
      <c r="I1563" s="71">
        <f t="shared" si="541"/>
        <v>1.1000000000000001</v>
      </c>
      <c r="J1563" s="23">
        <f t="shared" si="542"/>
        <v>0.24122807017543862</v>
      </c>
      <c r="K1563" s="65">
        <f t="shared" si="543"/>
        <v>45.599999999999994</v>
      </c>
      <c r="L1563" s="21">
        <v>600</v>
      </c>
      <c r="M1563" s="21">
        <v>660</v>
      </c>
      <c r="N1563" s="285"/>
      <c r="O1563" s="285"/>
      <c r="P1563" s="285"/>
      <c r="Q1563" s="285"/>
      <c r="R1563" s="285"/>
      <c r="S1563" s="285"/>
      <c r="T1563" s="285"/>
      <c r="U1563" s="285"/>
      <c r="V1563" s="285"/>
      <c r="W1563" s="285"/>
    </row>
    <row r="1564" spans="1:23" s="26" customFormat="1" ht="39.75" customHeight="1" x14ac:dyDescent="0.2">
      <c r="A1564" s="305" t="s">
        <v>3582</v>
      </c>
      <c r="B1564" s="120" t="s">
        <v>3584</v>
      </c>
      <c r="C1564" s="297" t="s">
        <v>1</v>
      </c>
      <c r="D1564" s="300"/>
      <c r="E1564" s="301">
        <f t="shared" ref="E1564:E1565" si="544">G1564/11</f>
        <v>18.181818181818183</v>
      </c>
      <c r="F1564" s="298">
        <f>11/G1564</f>
        <v>5.5E-2</v>
      </c>
      <c r="G1564" s="302">
        <f>L1564/H1564</f>
        <v>200</v>
      </c>
      <c r="H1564" s="303">
        <v>3</v>
      </c>
      <c r="I1564" s="71"/>
      <c r="J1564" s="298"/>
      <c r="K1564" s="302"/>
      <c r="L1564" s="297">
        <v>600</v>
      </c>
      <c r="M1564" s="297">
        <v>660</v>
      </c>
      <c r="N1564" s="285"/>
      <c r="O1564" s="285"/>
      <c r="P1564" s="285"/>
      <c r="Q1564" s="285"/>
      <c r="R1564" s="285"/>
      <c r="S1564" s="285"/>
      <c r="T1564" s="285"/>
      <c r="U1564" s="285"/>
      <c r="V1564" s="285"/>
      <c r="W1564" s="285"/>
    </row>
    <row r="1565" spans="1:23" s="26" customFormat="1" ht="47.25" customHeight="1" x14ac:dyDescent="0.2">
      <c r="A1565" s="305" t="s">
        <v>3583</v>
      </c>
      <c r="B1565" s="120" t="s">
        <v>3585</v>
      </c>
      <c r="C1565" s="297" t="s">
        <v>1</v>
      </c>
      <c r="D1565" s="300"/>
      <c r="E1565" s="301">
        <f t="shared" si="544"/>
        <v>13.636363636363637</v>
      </c>
      <c r="F1565" s="298">
        <f>11/G1565</f>
        <v>7.3333333333333334E-2</v>
      </c>
      <c r="G1565" s="302">
        <f>L1565/H1565</f>
        <v>150</v>
      </c>
      <c r="H1565" s="303">
        <v>4</v>
      </c>
      <c r="I1565" s="71"/>
      <c r="J1565" s="298"/>
      <c r="K1565" s="302"/>
      <c r="L1565" s="297">
        <v>600</v>
      </c>
      <c r="M1565" s="297">
        <v>660</v>
      </c>
      <c r="N1565" s="285"/>
      <c r="O1565" s="285"/>
      <c r="P1565" s="285"/>
      <c r="Q1565" s="285"/>
      <c r="R1565" s="285"/>
      <c r="S1565" s="285"/>
      <c r="T1565" s="285"/>
      <c r="U1565" s="285"/>
      <c r="V1565" s="285"/>
      <c r="W1565" s="285"/>
    </row>
    <row r="1566" spans="1:23" s="26" customFormat="1" ht="30" customHeight="1" x14ac:dyDescent="0.2">
      <c r="A1566" s="305" t="s">
        <v>3580</v>
      </c>
      <c r="B1566" s="120" t="s">
        <v>3581</v>
      </c>
      <c r="C1566" s="21" t="s">
        <v>1</v>
      </c>
      <c r="D1566" s="300">
        <v>1</v>
      </c>
      <c r="E1566" s="51">
        <f t="shared" ref="E1566" si="545">G1566/11</f>
        <v>27.272727272727273</v>
      </c>
      <c r="F1566" s="23">
        <f t="shared" ref="F1566:G1566" si="546">J1566</f>
        <v>3.6666666666666667E-2</v>
      </c>
      <c r="G1566" s="65">
        <f t="shared" si="546"/>
        <v>300</v>
      </c>
      <c r="H1566" s="77">
        <v>2</v>
      </c>
      <c r="I1566" s="71">
        <f t="shared" si="541"/>
        <v>1.1000000000000001</v>
      </c>
      <c r="J1566" s="23">
        <f t="shared" si="542"/>
        <v>3.6666666666666667E-2</v>
      </c>
      <c r="K1566" s="65">
        <f t="shared" si="543"/>
        <v>300</v>
      </c>
      <c r="L1566" s="21">
        <v>600</v>
      </c>
      <c r="M1566" s="21">
        <v>660</v>
      </c>
      <c r="N1566" s="285"/>
      <c r="O1566" s="285"/>
      <c r="P1566" s="285"/>
      <c r="Q1566" s="285"/>
      <c r="R1566" s="285"/>
      <c r="S1566" s="285"/>
      <c r="T1566" s="285"/>
      <c r="U1566" s="285"/>
      <c r="V1566" s="285"/>
      <c r="W1566" s="285"/>
    </row>
    <row r="1567" spans="1:23" s="26" customFormat="1" ht="30" customHeight="1" x14ac:dyDescent="0.2">
      <c r="A1567" s="106"/>
      <c r="B1567" s="199" t="s">
        <v>840</v>
      </c>
      <c r="C1567" s="53"/>
      <c r="D1567" s="300">
        <v>1</v>
      </c>
      <c r="E1567" s="53"/>
      <c r="F1567" s="53"/>
      <c r="G1567" s="53"/>
      <c r="H1567" s="53"/>
      <c r="I1567" s="23"/>
      <c r="J1567" s="103"/>
      <c r="K1567" s="23"/>
      <c r="L1567" s="103"/>
      <c r="M1567" s="23"/>
      <c r="N1567" s="285"/>
      <c r="O1567" s="285"/>
      <c r="P1567" s="285"/>
      <c r="Q1567" s="285"/>
      <c r="R1567" s="285"/>
      <c r="S1567" s="285"/>
      <c r="T1567" s="285"/>
      <c r="U1567" s="285"/>
      <c r="V1567" s="285"/>
      <c r="W1567" s="285"/>
    </row>
    <row r="1568" spans="1:23" s="26" customFormat="1" ht="30" customHeight="1" x14ac:dyDescent="0.2">
      <c r="A1568" s="106" t="s">
        <v>2642</v>
      </c>
      <c r="B1568" s="120" t="s">
        <v>841</v>
      </c>
      <c r="C1568" s="21" t="s">
        <v>1</v>
      </c>
      <c r="D1568" s="300">
        <v>1</v>
      </c>
      <c r="E1568" s="51">
        <f t="shared" ref="E1568:E1579" si="547">G1568/11</f>
        <v>43.636363636363633</v>
      </c>
      <c r="F1568" s="23">
        <f t="shared" ref="F1568:G1579" si="548">J1568</f>
        <v>2.2916666666666665E-2</v>
      </c>
      <c r="G1568" s="65">
        <f t="shared" si="548"/>
        <v>480</v>
      </c>
      <c r="H1568" s="77">
        <v>1.25</v>
      </c>
      <c r="I1568" s="71">
        <f t="shared" ref="I1568:I1579" si="549">M1568/L1568</f>
        <v>1.1000000000000001</v>
      </c>
      <c r="J1568" s="23">
        <f t="shared" ref="J1568:J1579" si="550">11/K1568</f>
        <v>2.2916666666666665E-2</v>
      </c>
      <c r="K1568" s="65">
        <f t="shared" ref="K1568:K1579" si="551">M1568/(H1568*I1568)</f>
        <v>480</v>
      </c>
      <c r="L1568" s="21">
        <v>600</v>
      </c>
      <c r="M1568" s="21">
        <v>660</v>
      </c>
      <c r="N1568" s="285"/>
      <c r="O1568" s="285"/>
      <c r="P1568" s="285"/>
      <c r="Q1568" s="285"/>
      <c r="R1568" s="285"/>
      <c r="S1568" s="285"/>
      <c r="T1568" s="285"/>
      <c r="U1568" s="285"/>
      <c r="V1568" s="285"/>
      <c r="W1568" s="285"/>
    </row>
    <row r="1569" spans="1:23" s="26" customFormat="1" ht="30" customHeight="1" x14ac:dyDescent="0.2">
      <c r="A1569" s="106" t="s">
        <v>2643</v>
      </c>
      <c r="B1569" s="120" t="s">
        <v>842</v>
      </c>
      <c r="C1569" s="21" t="s">
        <v>1</v>
      </c>
      <c r="D1569" s="300">
        <v>1</v>
      </c>
      <c r="E1569" s="51">
        <f t="shared" si="547"/>
        <v>21.818181818181817</v>
      </c>
      <c r="F1569" s="23">
        <f t="shared" si="548"/>
        <v>4.583333333333333E-2</v>
      </c>
      <c r="G1569" s="65">
        <f t="shared" si="548"/>
        <v>240</v>
      </c>
      <c r="H1569" s="77">
        <v>2.5</v>
      </c>
      <c r="I1569" s="71">
        <f t="shared" si="549"/>
        <v>1.1000000000000001</v>
      </c>
      <c r="J1569" s="23">
        <f t="shared" si="550"/>
        <v>4.583333333333333E-2</v>
      </c>
      <c r="K1569" s="65">
        <f t="shared" si="551"/>
        <v>240</v>
      </c>
      <c r="L1569" s="21">
        <v>600</v>
      </c>
      <c r="M1569" s="21">
        <v>660</v>
      </c>
      <c r="N1569" s="285"/>
      <c r="O1569" s="285"/>
      <c r="P1569" s="285"/>
      <c r="Q1569" s="285"/>
      <c r="R1569" s="285"/>
      <c r="S1569" s="285"/>
      <c r="T1569" s="285"/>
      <c r="U1569" s="285"/>
      <c r="V1569" s="285"/>
      <c r="W1569" s="285"/>
    </row>
    <row r="1570" spans="1:23" s="26" customFormat="1" ht="44.25" customHeight="1" x14ac:dyDescent="0.2">
      <c r="A1570" s="106" t="s">
        <v>1545</v>
      </c>
      <c r="B1570" s="120" t="s">
        <v>843</v>
      </c>
      <c r="C1570" s="21" t="s">
        <v>844</v>
      </c>
      <c r="D1570" s="300">
        <v>1</v>
      </c>
      <c r="E1570" s="51">
        <f t="shared" si="547"/>
        <v>16.36363636363636</v>
      </c>
      <c r="F1570" s="23">
        <f t="shared" si="548"/>
        <v>6.1111111111111123E-2</v>
      </c>
      <c r="G1570" s="65">
        <f t="shared" si="548"/>
        <v>179.99999999999997</v>
      </c>
      <c r="H1570" s="77">
        <v>3.3333333333333335</v>
      </c>
      <c r="I1570" s="71">
        <f t="shared" si="549"/>
        <v>1.1000000000000001</v>
      </c>
      <c r="J1570" s="23">
        <f t="shared" si="550"/>
        <v>6.1111111111111123E-2</v>
      </c>
      <c r="K1570" s="65">
        <f t="shared" si="551"/>
        <v>179.99999999999997</v>
      </c>
      <c r="L1570" s="21">
        <v>600</v>
      </c>
      <c r="M1570" s="21">
        <v>660</v>
      </c>
      <c r="N1570" s="285"/>
      <c r="O1570" s="285"/>
      <c r="P1570" s="285"/>
      <c r="Q1570" s="285"/>
      <c r="R1570" s="285"/>
      <c r="S1570" s="285"/>
      <c r="T1570" s="285"/>
      <c r="U1570" s="285"/>
      <c r="V1570" s="285"/>
      <c r="W1570" s="285"/>
    </row>
    <row r="1571" spans="1:23" s="26" customFormat="1" ht="48" customHeight="1" x14ac:dyDescent="0.2">
      <c r="A1571" s="106" t="s">
        <v>1546</v>
      </c>
      <c r="B1571" s="120" t="s">
        <v>845</v>
      </c>
      <c r="C1571" s="21" t="s">
        <v>844</v>
      </c>
      <c r="D1571" s="300">
        <v>1</v>
      </c>
      <c r="E1571" s="51">
        <f t="shared" si="547"/>
        <v>3.0545454545454542</v>
      </c>
      <c r="F1571" s="23">
        <f t="shared" si="548"/>
        <v>0.32738095238095244</v>
      </c>
      <c r="G1571" s="65">
        <f t="shared" si="548"/>
        <v>33.599999999999994</v>
      </c>
      <c r="H1571" s="77">
        <v>17.857142857142858</v>
      </c>
      <c r="I1571" s="71">
        <f t="shared" si="549"/>
        <v>1.1000000000000001</v>
      </c>
      <c r="J1571" s="23">
        <f t="shared" si="550"/>
        <v>0.32738095238095244</v>
      </c>
      <c r="K1571" s="65">
        <f t="shared" si="551"/>
        <v>33.599999999999994</v>
      </c>
      <c r="L1571" s="21">
        <v>600</v>
      </c>
      <c r="M1571" s="21">
        <v>660</v>
      </c>
      <c r="N1571" s="285"/>
      <c r="O1571" s="285"/>
      <c r="P1571" s="285"/>
      <c r="Q1571" s="285"/>
      <c r="R1571" s="285"/>
      <c r="S1571" s="285"/>
      <c r="T1571" s="285"/>
      <c r="U1571" s="285"/>
      <c r="V1571" s="285"/>
      <c r="W1571" s="285"/>
    </row>
    <row r="1572" spans="1:23" s="26" customFormat="1" ht="30" customHeight="1" x14ac:dyDescent="0.2">
      <c r="A1572" s="106" t="s">
        <v>2644</v>
      </c>
      <c r="B1572" s="120" t="s">
        <v>846</v>
      </c>
      <c r="C1572" s="21" t="s">
        <v>844</v>
      </c>
      <c r="D1572" s="300">
        <v>1</v>
      </c>
      <c r="E1572" s="51">
        <f t="shared" si="547"/>
        <v>13.090909090909088</v>
      </c>
      <c r="F1572" s="23">
        <f t="shared" si="548"/>
        <v>7.6388888888888909E-2</v>
      </c>
      <c r="G1572" s="65">
        <f t="shared" si="548"/>
        <v>143.99999999999997</v>
      </c>
      <c r="H1572" s="77">
        <v>4.166666666666667</v>
      </c>
      <c r="I1572" s="71">
        <f t="shared" si="549"/>
        <v>1.1000000000000001</v>
      </c>
      <c r="J1572" s="23">
        <f t="shared" si="550"/>
        <v>7.6388888888888909E-2</v>
      </c>
      <c r="K1572" s="65">
        <f t="shared" si="551"/>
        <v>143.99999999999997</v>
      </c>
      <c r="L1572" s="21">
        <v>600</v>
      </c>
      <c r="M1572" s="21">
        <v>660</v>
      </c>
      <c r="N1572" s="285"/>
      <c r="O1572" s="285"/>
      <c r="P1572" s="285"/>
      <c r="Q1572" s="285"/>
      <c r="R1572" s="285"/>
      <c r="S1572" s="285"/>
      <c r="T1572" s="285"/>
      <c r="U1572" s="285"/>
      <c r="V1572" s="285"/>
      <c r="W1572" s="285"/>
    </row>
    <row r="1573" spans="1:23" s="26" customFormat="1" ht="30" customHeight="1" x14ac:dyDescent="0.2">
      <c r="A1573" s="106" t="s">
        <v>1547</v>
      </c>
      <c r="B1573" s="120" t="s">
        <v>847</v>
      </c>
      <c r="C1573" s="21" t="s">
        <v>844</v>
      </c>
      <c r="D1573" s="300">
        <v>1</v>
      </c>
      <c r="E1573" s="51">
        <f t="shared" si="547"/>
        <v>25.090909090909086</v>
      </c>
      <c r="F1573" s="23">
        <f t="shared" si="548"/>
        <v>3.9855072463768126E-2</v>
      </c>
      <c r="G1573" s="65">
        <f t="shared" si="548"/>
        <v>275.99999999999994</v>
      </c>
      <c r="H1573" s="77">
        <v>2.1739130434782612</v>
      </c>
      <c r="I1573" s="71">
        <f t="shared" si="549"/>
        <v>1.1000000000000001</v>
      </c>
      <c r="J1573" s="23">
        <f t="shared" si="550"/>
        <v>3.9855072463768126E-2</v>
      </c>
      <c r="K1573" s="65">
        <f t="shared" si="551"/>
        <v>275.99999999999994</v>
      </c>
      <c r="L1573" s="21">
        <v>600</v>
      </c>
      <c r="M1573" s="21">
        <v>660</v>
      </c>
      <c r="N1573" s="285"/>
      <c r="O1573" s="285"/>
      <c r="P1573" s="285"/>
      <c r="Q1573" s="285"/>
      <c r="R1573" s="285"/>
      <c r="S1573" s="285"/>
      <c r="T1573" s="285"/>
      <c r="U1573" s="285"/>
      <c r="V1573" s="285"/>
      <c r="W1573" s="285"/>
    </row>
    <row r="1574" spans="1:23" s="26" customFormat="1" ht="30" customHeight="1" x14ac:dyDescent="0.2">
      <c r="A1574" s="106" t="s">
        <v>1548</v>
      </c>
      <c r="B1574" s="120" t="s">
        <v>848</v>
      </c>
      <c r="C1574" s="21" t="s">
        <v>844</v>
      </c>
      <c r="D1574" s="300">
        <v>1</v>
      </c>
      <c r="E1574" s="51">
        <f t="shared" si="547"/>
        <v>16.36363636363636</v>
      </c>
      <c r="F1574" s="23">
        <f t="shared" si="548"/>
        <v>6.1111111111111123E-2</v>
      </c>
      <c r="G1574" s="65">
        <f t="shared" si="548"/>
        <v>179.99999999999997</v>
      </c>
      <c r="H1574" s="77">
        <v>3.3333333333333335</v>
      </c>
      <c r="I1574" s="71">
        <f t="shared" si="549"/>
        <v>1.1000000000000001</v>
      </c>
      <c r="J1574" s="23">
        <f t="shared" si="550"/>
        <v>6.1111111111111123E-2</v>
      </c>
      <c r="K1574" s="65">
        <f t="shared" si="551"/>
        <v>179.99999999999997</v>
      </c>
      <c r="L1574" s="21">
        <v>600</v>
      </c>
      <c r="M1574" s="21">
        <v>660</v>
      </c>
      <c r="N1574" s="285"/>
      <c r="O1574" s="285"/>
      <c r="P1574" s="285"/>
      <c r="Q1574" s="285"/>
      <c r="R1574" s="285"/>
      <c r="S1574" s="285"/>
      <c r="T1574" s="285"/>
      <c r="U1574" s="285"/>
      <c r="V1574" s="285"/>
      <c r="W1574" s="285"/>
    </row>
    <row r="1575" spans="1:23" s="26" customFormat="1" ht="30" customHeight="1" x14ac:dyDescent="0.2">
      <c r="A1575" s="106" t="s">
        <v>1549</v>
      </c>
      <c r="B1575" s="120" t="s">
        <v>849</v>
      </c>
      <c r="C1575" s="21" t="s">
        <v>844</v>
      </c>
      <c r="D1575" s="300">
        <v>1</v>
      </c>
      <c r="E1575" s="51">
        <f t="shared" si="547"/>
        <v>7.6363636363636349</v>
      </c>
      <c r="F1575" s="23">
        <f t="shared" si="548"/>
        <v>0.13095238095238099</v>
      </c>
      <c r="G1575" s="65">
        <f t="shared" si="548"/>
        <v>83.999999999999986</v>
      </c>
      <c r="H1575" s="77">
        <v>7.1428571428571432</v>
      </c>
      <c r="I1575" s="71">
        <f t="shared" si="549"/>
        <v>1.1000000000000001</v>
      </c>
      <c r="J1575" s="23">
        <f t="shared" si="550"/>
        <v>0.13095238095238099</v>
      </c>
      <c r="K1575" s="65">
        <f t="shared" si="551"/>
        <v>83.999999999999986</v>
      </c>
      <c r="L1575" s="21">
        <v>600</v>
      </c>
      <c r="M1575" s="21">
        <v>660</v>
      </c>
      <c r="N1575" s="285"/>
      <c r="O1575" s="285"/>
      <c r="P1575" s="285"/>
      <c r="Q1575" s="285"/>
      <c r="R1575" s="285"/>
      <c r="S1575" s="285"/>
      <c r="T1575" s="285"/>
      <c r="U1575" s="285"/>
      <c r="V1575" s="285"/>
      <c r="W1575" s="285"/>
    </row>
    <row r="1576" spans="1:23" s="26" customFormat="1" ht="30" customHeight="1" x14ac:dyDescent="0.2">
      <c r="A1576" s="106" t="s">
        <v>1550</v>
      </c>
      <c r="B1576" s="120" t="s">
        <v>1552</v>
      </c>
      <c r="C1576" s="21" t="s">
        <v>844</v>
      </c>
      <c r="D1576" s="300">
        <v>1</v>
      </c>
      <c r="E1576" s="51">
        <f t="shared" si="547"/>
        <v>3.4909090909090907</v>
      </c>
      <c r="F1576" s="23">
        <f t="shared" si="548"/>
        <v>0.28645833333333337</v>
      </c>
      <c r="G1576" s="65">
        <f t="shared" si="548"/>
        <v>38.4</v>
      </c>
      <c r="H1576" s="77">
        <v>15.625</v>
      </c>
      <c r="I1576" s="71">
        <f t="shared" si="549"/>
        <v>1.1000000000000001</v>
      </c>
      <c r="J1576" s="23">
        <f t="shared" si="550"/>
        <v>0.28645833333333337</v>
      </c>
      <c r="K1576" s="65">
        <f t="shared" si="551"/>
        <v>38.4</v>
      </c>
      <c r="L1576" s="21">
        <v>600</v>
      </c>
      <c r="M1576" s="21">
        <v>660</v>
      </c>
      <c r="N1576" s="285"/>
      <c r="O1576" s="285"/>
      <c r="P1576" s="285"/>
      <c r="Q1576" s="285"/>
      <c r="R1576" s="285"/>
      <c r="S1576" s="285"/>
      <c r="T1576" s="285"/>
      <c r="U1576" s="285"/>
      <c r="V1576" s="285"/>
      <c r="W1576" s="285"/>
    </row>
    <row r="1577" spans="1:23" s="26" customFormat="1" ht="30" customHeight="1" x14ac:dyDescent="0.2">
      <c r="A1577" s="106" t="s">
        <v>1551</v>
      </c>
      <c r="B1577" s="120" t="s">
        <v>1553</v>
      </c>
      <c r="C1577" s="21" t="s">
        <v>844</v>
      </c>
      <c r="D1577" s="300">
        <v>1</v>
      </c>
      <c r="E1577" s="51">
        <f t="shared" si="547"/>
        <v>2.7272727272727271</v>
      </c>
      <c r="F1577" s="23">
        <f t="shared" si="548"/>
        <v>0.36666666666666664</v>
      </c>
      <c r="G1577" s="65">
        <f t="shared" si="548"/>
        <v>30</v>
      </c>
      <c r="H1577" s="77">
        <v>20</v>
      </c>
      <c r="I1577" s="71">
        <f t="shared" si="549"/>
        <v>1.1000000000000001</v>
      </c>
      <c r="J1577" s="23">
        <f t="shared" si="550"/>
        <v>0.36666666666666664</v>
      </c>
      <c r="K1577" s="65">
        <f t="shared" si="551"/>
        <v>30</v>
      </c>
      <c r="L1577" s="21">
        <v>600</v>
      </c>
      <c r="M1577" s="21">
        <v>660</v>
      </c>
      <c r="N1577" s="285"/>
      <c r="O1577" s="285"/>
      <c r="P1577" s="285"/>
      <c r="Q1577" s="285"/>
      <c r="R1577" s="285"/>
      <c r="S1577" s="285"/>
      <c r="T1577" s="285"/>
      <c r="U1577" s="285"/>
      <c r="V1577" s="285"/>
      <c r="W1577" s="285"/>
    </row>
    <row r="1578" spans="1:23" s="26" customFormat="1" ht="30" customHeight="1" x14ac:dyDescent="0.2">
      <c r="A1578" s="106" t="s">
        <v>2645</v>
      </c>
      <c r="B1578" s="120" t="s">
        <v>850</v>
      </c>
      <c r="C1578" s="21" t="s">
        <v>844</v>
      </c>
      <c r="D1578" s="50">
        <v>1</v>
      </c>
      <c r="E1578" s="51">
        <f t="shared" si="547"/>
        <v>14.181818181818182</v>
      </c>
      <c r="F1578" s="23">
        <f t="shared" si="548"/>
        <v>7.0512820512820512E-2</v>
      </c>
      <c r="G1578" s="65">
        <f t="shared" si="548"/>
        <v>156</v>
      </c>
      <c r="H1578" s="77">
        <v>3.8461538461538458</v>
      </c>
      <c r="I1578" s="71">
        <f t="shared" si="549"/>
        <v>1.1000000000000001</v>
      </c>
      <c r="J1578" s="23">
        <f t="shared" si="550"/>
        <v>7.0512820512820512E-2</v>
      </c>
      <c r="K1578" s="65">
        <f t="shared" si="551"/>
        <v>156</v>
      </c>
      <c r="L1578" s="21">
        <v>600</v>
      </c>
      <c r="M1578" s="21">
        <v>660</v>
      </c>
      <c r="N1578" s="285"/>
      <c r="O1578" s="285"/>
      <c r="P1578" s="285"/>
      <c r="Q1578" s="285"/>
      <c r="R1578" s="285"/>
      <c r="S1578" s="285"/>
      <c r="T1578" s="285"/>
      <c r="U1578" s="285"/>
      <c r="V1578" s="285"/>
      <c r="W1578" s="285"/>
    </row>
    <row r="1579" spans="1:23" s="26" customFormat="1" ht="46.5" customHeight="1" x14ac:dyDescent="0.2">
      <c r="A1579" s="106" t="s">
        <v>2646</v>
      </c>
      <c r="B1579" s="120" t="s">
        <v>851</v>
      </c>
      <c r="C1579" s="21" t="s">
        <v>693</v>
      </c>
      <c r="D1579" s="50">
        <v>1</v>
      </c>
      <c r="E1579" s="51">
        <f t="shared" si="547"/>
        <v>11.857707509881424</v>
      </c>
      <c r="F1579" s="23">
        <f t="shared" si="548"/>
        <v>8.433333333333333E-2</v>
      </c>
      <c r="G1579" s="65">
        <f t="shared" si="548"/>
        <v>130.43478260869566</v>
      </c>
      <c r="H1579" s="77">
        <v>4.5999999999999996</v>
      </c>
      <c r="I1579" s="71">
        <f t="shared" si="549"/>
        <v>1.1000000000000001</v>
      </c>
      <c r="J1579" s="23">
        <f t="shared" si="550"/>
        <v>8.433333333333333E-2</v>
      </c>
      <c r="K1579" s="65">
        <f t="shared" si="551"/>
        <v>130.43478260869566</v>
      </c>
      <c r="L1579" s="21">
        <v>600</v>
      </c>
      <c r="M1579" s="21">
        <v>660</v>
      </c>
      <c r="N1579" s="285"/>
      <c r="O1579" s="285"/>
      <c r="P1579" s="285"/>
      <c r="Q1579" s="285"/>
      <c r="R1579" s="285"/>
      <c r="S1579" s="285"/>
      <c r="T1579" s="285"/>
      <c r="U1579" s="285"/>
      <c r="V1579" s="285"/>
      <c r="W1579" s="285"/>
    </row>
    <row r="1580" spans="1:23" s="26" customFormat="1" ht="48.75" customHeight="1" x14ac:dyDescent="0.2">
      <c r="A1580" s="106"/>
      <c r="B1580" s="200" t="s">
        <v>639</v>
      </c>
      <c r="C1580" s="62"/>
      <c r="D1580" s="62"/>
      <c r="E1580" s="62"/>
      <c r="F1580" s="62"/>
      <c r="G1580" s="62"/>
      <c r="H1580" s="62"/>
      <c r="I1580" s="57"/>
      <c r="J1580" s="21"/>
      <c r="K1580" s="57"/>
      <c r="L1580" s="21"/>
      <c r="M1580" s="57"/>
      <c r="N1580" s="285"/>
      <c r="O1580" s="285"/>
      <c r="P1580" s="285"/>
      <c r="Q1580" s="285"/>
      <c r="R1580" s="285"/>
      <c r="S1580" s="285"/>
      <c r="T1580" s="285"/>
      <c r="U1580" s="285"/>
      <c r="V1580" s="285"/>
      <c r="W1580" s="285"/>
    </row>
    <row r="1581" spans="1:23" s="26" customFormat="1" ht="30" customHeight="1" x14ac:dyDescent="0.2">
      <c r="A1581" s="106" t="s">
        <v>2647</v>
      </c>
      <c r="B1581" s="125" t="s">
        <v>125</v>
      </c>
      <c r="C1581" s="49" t="s">
        <v>1</v>
      </c>
      <c r="D1581" s="50">
        <v>1</v>
      </c>
      <c r="E1581" s="51">
        <f t="shared" ref="E1581:E1644" si="552">G1581/11</f>
        <v>1.56</v>
      </c>
      <c r="F1581" s="23">
        <f t="shared" ref="F1581:G1621" si="553">J1581</f>
        <v>0.64102564102564097</v>
      </c>
      <c r="G1581" s="65">
        <f t="shared" si="553"/>
        <v>17.16</v>
      </c>
      <c r="H1581" s="77">
        <v>34.96503496503496</v>
      </c>
      <c r="I1581" s="71">
        <f t="shared" ref="I1581:I1621" si="554">M1581/L1581</f>
        <v>1.1000000000000001</v>
      </c>
      <c r="J1581" s="23">
        <f t="shared" ref="J1581:J1621" si="555">11/K1581</f>
        <v>0.64102564102564097</v>
      </c>
      <c r="K1581" s="65">
        <f t="shared" ref="K1581:K1621" si="556">M1581/(H1581*I1581)</f>
        <v>17.16</v>
      </c>
      <c r="L1581" s="21">
        <v>600</v>
      </c>
      <c r="M1581" s="21">
        <v>660</v>
      </c>
      <c r="N1581" s="285"/>
      <c r="O1581" s="285"/>
      <c r="P1581" s="285"/>
      <c r="Q1581" s="285"/>
      <c r="R1581" s="285"/>
      <c r="S1581" s="285"/>
      <c r="T1581" s="285"/>
      <c r="U1581" s="285"/>
      <c r="V1581" s="285"/>
      <c r="W1581" s="285"/>
    </row>
    <row r="1582" spans="1:23" s="26" customFormat="1" ht="30" customHeight="1" x14ac:dyDescent="0.2">
      <c r="A1582" s="106" t="s">
        <v>2648</v>
      </c>
      <c r="B1582" s="125" t="s">
        <v>126</v>
      </c>
      <c r="C1582" s="49" t="s">
        <v>1</v>
      </c>
      <c r="D1582" s="50">
        <v>1</v>
      </c>
      <c r="E1582" s="51">
        <f t="shared" si="552"/>
        <v>1.4399999999999997</v>
      </c>
      <c r="F1582" s="23">
        <f t="shared" si="553"/>
        <v>0.69444444444444453</v>
      </c>
      <c r="G1582" s="65">
        <f t="shared" si="553"/>
        <v>15.839999999999998</v>
      </c>
      <c r="H1582" s="77">
        <v>37.878787878787882</v>
      </c>
      <c r="I1582" s="71">
        <f t="shared" si="554"/>
        <v>1.1000000000000001</v>
      </c>
      <c r="J1582" s="23">
        <f t="shared" si="555"/>
        <v>0.69444444444444453</v>
      </c>
      <c r="K1582" s="65">
        <f t="shared" si="556"/>
        <v>15.839999999999998</v>
      </c>
      <c r="L1582" s="21">
        <v>600</v>
      </c>
      <c r="M1582" s="21">
        <v>660</v>
      </c>
      <c r="N1582" s="285"/>
      <c r="O1582" s="285"/>
      <c r="P1582" s="285"/>
      <c r="Q1582" s="285"/>
      <c r="R1582" s="285"/>
      <c r="S1582" s="285"/>
      <c r="T1582" s="285"/>
      <c r="U1582" s="285"/>
      <c r="V1582" s="285"/>
      <c r="W1582" s="285"/>
    </row>
    <row r="1583" spans="1:23" s="26" customFormat="1" ht="46.5" customHeight="1" x14ac:dyDescent="0.2">
      <c r="A1583" s="106" t="s">
        <v>2649</v>
      </c>
      <c r="B1583" s="125" t="s">
        <v>127</v>
      </c>
      <c r="C1583" s="49" t="s">
        <v>1</v>
      </c>
      <c r="D1583" s="50">
        <v>1</v>
      </c>
      <c r="E1583" s="51">
        <f t="shared" si="552"/>
        <v>1.1999999999999997</v>
      </c>
      <c r="F1583" s="23">
        <f t="shared" si="553"/>
        <v>0.83333333333333348</v>
      </c>
      <c r="G1583" s="65">
        <f t="shared" si="553"/>
        <v>13.199999999999998</v>
      </c>
      <c r="H1583" s="77">
        <v>45.45454545454546</v>
      </c>
      <c r="I1583" s="71">
        <f t="shared" si="554"/>
        <v>1.1000000000000001</v>
      </c>
      <c r="J1583" s="23">
        <f t="shared" si="555"/>
        <v>0.83333333333333348</v>
      </c>
      <c r="K1583" s="65">
        <f t="shared" si="556"/>
        <v>13.199999999999998</v>
      </c>
      <c r="L1583" s="21">
        <v>600</v>
      </c>
      <c r="M1583" s="21">
        <v>660</v>
      </c>
      <c r="N1583" s="285"/>
      <c r="O1583" s="285"/>
      <c r="P1583" s="285"/>
      <c r="Q1583" s="285"/>
      <c r="R1583" s="285"/>
      <c r="S1583" s="285"/>
      <c r="T1583" s="285"/>
      <c r="U1583" s="285"/>
      <c r="V1583" s="285"/>
      <c r="W1583" s="285"/>
    </row>
    <row r="1584" spans="1:23" s="26" customFormat="1" ht="49.5" customHeight="1" x14ac:dyDescent="0.2">
      <c r="A1584" s="106" t="s">
        <v>2650</v>
      </c>
      <c r="B1584" s="125" t="s">
        <v>128</v>
      </c>
      <c r="C1584" s="49" t="s">
        <v>1</v>
      </c>
      <c r="D1584" s="50">
        <v>1</v>
      </c>
      <c r="E1584" s="51">
        <f t="shared" si="552"/>
        <v>1.32</v>
      </c>
      <c r="F1584" s="23">
        <f t="shared" si="553"/>
        <v>0.75757575757575757</v>
      </c>
      <c r="G1584" s="65">
        <f t="shared" si="553"/>
        <v>14.52</v>
      </c>
      <c r="H1584" s="77">
        <v>41.322314049586772</v>
      </c>
      <c r="I1584" s="71">
        <f t="shared" si="554"/>
        <v>1.1000000000000001</v>
      </c>
      <c r="J1584" s="23">
        <f t="shared" si="555"/>
        <v>0.75757575757575757</v>
      </c>
      <c r="K1584" s="65">
        <f t="shared" si="556"/>
        <v>14.52</v>
      </c>
      <c r="L1584" s="21">
        <v>600</v>
      </c>
      <c r="M1584" s="21">
        <v>660</v>
      </c>
      <c r="N1584" s="285"/>
      <c r="O1584" s="285"/>
      <c r="P1584" s="285"/>
      <c r="Q1584" s="285"/>
      <c r="R1584" s="285"/>
      <c r="S1584" s="285"/>
      <c r="T1584" s="285"/>
      <c r="U1584" s="285"/>
      <c r="V1584" s="285"/>
      <c r="W1584" s="285"/>
    </row>
    <row r="1585" spans="1:23" s="26" customFormat="1" ht="48" customHeight="1" x14ac:dyDescent="0.2">
      <c r="A1585" s="106" t="s">
        <v>2651</v>
      </c>
      <c r="B1585" s="125" t="s">
        <v>129</v>
      </c>
      <c r="C1585" s="49" t="s">
        <v>1</v>
      </c>
      <c r="D1585" s="50">
        <v>1</v>
      </c>
      <c r="E1585" s="51">
        <f t="shared" si="552"/>
        <v>1.0799999999999998</v>
      </c>
      <c r="F1585" s="23">
        <f t="shared" si="553"/>
        <v>0.92592592592592604</v>
      </c>
      <c r="G1585" s="65">
        <f t="shared" si="553"/>
        <v>11.879999999999999</v>
      </c>
      <c r="H1585" s="77">
        <v>50.505050505050505</v>
      </c>
      <c r="I1585" s="71">
        <f t="shared" si="554"/>
        <v>1.1000000000000001</v>
      </c>
      <c r="J1585" s="23">
        <f t="shared" si="555"/>
        <v>0.92592592592592604</v>
      </c>
      <c r="K1585" s="65">
        <f t="shared" si="556"/>
        <v>11.879999999999999</v>
      </c>
      <c r="L1585" s="21">
        <v>600</v>
      </c>
      <c r="M1585" s="21">
        <v>660</v>
      </c>
      <c r="N1585" s="285"/>
      <c r="O1585" s="285"/>
      <c r="P1585" s="285"/>
      <c r="Q1585" s="285"/>
      <c r="R1585" s="285"/>
      <c r="S1585" s="285"/>
      <c r="T1585" s="285"/>
      <c r="U1585" s="285"/>
      <c r="V1585" s="285"/>
      <c r="W1585" s="285"/>
    </row>
    <row r="1586" spans="1:23" s="26" customFormat="1" ht="43.5" customHeight="1" x14ac:dyDescent="0.2">
      <c r="A1586" s="106" t="s">
        <v>2652</v>
      </c>
      <c r="B1586" s="125" t="s">
        <v>24</v>
      </c>
      <c r="C1586" s="49" t="s">
        <v>1</v>
      </c>
      <c r="D1586" s="50">
        <v>1</v>
      </c>
      <c r="E1586" s="51">
        <f t="shared" si="552"/>
        <v>1.7999999999999994</v>
      </c>
      <c r="F1586" s="23">
        <f t="shared" si="553"/>
        <v>0.55555555555555569</v>
      </c>
      <c r="G1586" s="65">
        <f t="shared" si="553"/>
        <v>19.799999999999994</v>
      </c>
      <c r="H1586" s="77">
        <v>30.303030303030308</v>
      </c>
      <c r="I1586" s="71">
        <f t="shared" si="554"/>
        <v>1.1000000000000001</v>
      </c>
      <c r="J1586" s="23">
        <f t="shared" si="555"/>
        <v>0.55555555555555569</v>
      </c>
      <c r="K1586" s="65">
        <f t="shared" si="556"/>
        <v>19.799999999999994</v>
      </c>
      <c r="L1586" s="21">
        <v>600</v>
      </c>
      <c r="M1586" s="21">
        <v>660</v>
      </c>
      <c r="N1586" s="285"/>
      <c r="O1586" s="285"/>
      <c r="P1586" s="285"/>
      <c r="Q1586" s="285"/>
      <c r="R1586" s="285"/>
      <c r="S1586" s="285"/>
      <c r="T1586" s="285"/>
      <c r="U1586" s="285"/>
      <c r="V1586" s="285"/>
      <c r="W1586" s="285"/>
    </row>
    <row r="1587" spans="1:23" s="26" customFormat="1" ht="30" customHeight="1" x14ac:dyDescent="0.2">
      <c r="A1587" s="106" t="s">
        <v>2653</v>
      </c>
      <c r="B1587" s="125" t="s">
        <v>82</v>
      </c>
      <c r="C1587" s="49" t="s">
        <v>1</v>
      </c>
      <c r="D1587" s="50">
        <v>1</v>
      </c>
      <c r="E1587" s="51">
        <f t="shared" si="552"/>
        <v>1.68</v>
      </c>
      <c r="F1587" s="23">
        <f t="shared" si="553"/>
        <v>0.59523809523809523</v>
      </c>
      <c r="G1587" s="65">
        <f t="shared" si="553"/>
        <v>18.48</v>
      </c>
      <c r="H1587" s="77">
        <v>32.467532467532465</v>
      </c>
      <c r="I1587" s="71">
        <f t="shared" si="554"/>
        <v>1.1000000000000001</v>
      </c>
      <c r="J1587" s="23">
        <f t="shared" si="555"/>
        <v>0.59523809523809523</v>
      </c>
      <c r="K1587" s="65">
        <f t="shared" si="556"/>
        <v>18.48</v>
      </c>
      <c r="L1587" s="21">
        <v>600</v>
      </c>
      <c r="M1587" s="21">
        <v>660</v>
      </c>
      <c r="N1587" s="285"/>
      <c r="O1587" s="285"/>
      <c r="P1587" s="285"/>
      <c r="Q1587" s="285"/>
      <c r="R1587" s="285"/>
      <c r="S1587" s="285"/>
      <c r="T1587" s="285"/>
      <c r="U1587" s="285"/>
      <c r="V1587" s="285"/>
      <c r="W1587" s="285"/>
    </row>
    <row r="1588" spans="1:23" s="26" customFormat="1" ht="30" customHeight="1" x14ac:dyDescent="0.2">
      <c r="A1588" s="106" t="s">
        <v>2654</v>
      </c>
      <c r="B1588" s="125" t="s">
        <v>25</v>
      </c>
      <c r="C1588" s="49" t="s">
        <v>1</v>
      </c>
      <c r="D1588" s="50">
        <v>1</v>
      </c>
      <c r="E1588" s="51">
        <f t="shared" si="552"/>
        <v>1.32</v>
      </c>
      <c r="F1588" s="23">
        <f t="shared" si="553"/>
        <v>0.75757575757575757</v>
      </c>
      <c r="G1588" s="65">
        <f t="shared" si="553"/>
        <v>14.52</v>
      </c>
      <c r="H1588" s="77">
        <v>41.322314049586772</v>
      </c>
      <c r="I1588" s="71">
        <f t="shared" si="554"/>
        <v>1.1000000000000001</v>
      </c>
      <c r="J1588" s="23">
        <f t="shared" si="555"/>
        <v>0.75757575757575757</v>
      </c>
      <c r="K1588" s="65">
        <f t="shared" si="556"/>
        <v>14.52</v>
      </c>
      <c r="L1588" s="21">
        <v>600</v>
      </c>
      <c r="M1588" s="21">
        <v>660</v>
      </c>
      <c r="N1588" s="285"/>
      <c r="O1588" s="285"/>
      <c r="P1588" s="285"/>
      <c r="Q1588" s="285"/>
      <c r="R1588" s="285"/>
      <c r="S1588" s="285"/>
      <c r="T1588" s="285"/>
      <c r="U1588" s="285"/>
      <c r="V1588" s="285"/>
      <c r="W1588" s="285"/>
    </row>
    <row r="1589" spans="1:23" s="26" customFormat="1" ht="43.5" customHeight="1" x14ac:dyDescent="0.2">
      <c r="A1589" s="106" t="s">
        <v>2655</v>
      </c>
      <c r="B1589" s="125" t="s">
        <v>81</v>
      </c>
      <c r="C1589" s="49" t="s">
        <v>1</v>
      </c>
      <c r="D1589" s="50">
        <v>1</v>
      </c>
      <c r="E1589" s="51">
        <f t="shared" si="552"/>
        <v>1.1999999999999997</v>
      </c>
      <c r="F1589" s="23">
        <f t="shared" si="553"/>
        <v>0.83333333333333348</v>
      </c>
      <c r="G1589" s="65">
        <f t="shared" si="553"/>
        <v>13.199999999999998</v>
      </c>
      <c r="H1589" s="77">
        <v>45.45454545454546</v>
      </c>
      <c r="I1589" s="71">
        <f t="shared" si="554"/>
        <v>1.1000000000000001</v>
      </c>
      <c r="J1589" s="23">
        <f t="shared" si="555"/>
        <v>0.83333333333333348</v>
      </c>
      <c r="K1589" s="65">
        <f t="shared" si="556"/>
        <v>13.199999999999998</v>
      </c>
      <c r="L1589" s="21">
        <v>600</v>
      </c>
      <c r="M1589" s="21">
        <v>660</v>
      </c>
      <c r="N1589" s="285"/>
      <c r="O1589" s="285"/>
      <c r="P1589" s="285"/>
      <c r="Q1589" s="285"/>
      <c r="R1589" s="285"/>
      <c r="S1589" s="285"/>
      <c r="T1589" s="285"/>
      <c r="U1589" s="285"/>
      <c r="V1589" s="285"/>
      <c r="W1589" s="285"/>
    </row>
    <row r="1590" spans="1:23" s="26" customFormat="1" ht="47.25" customHeight="1" x14ac:dyDescent="0.2">
      <c r="A1590" s="106" t="s">
        <v>2656</v>
      </c>
      <c r="B1590" s="125" t="s">
        <v>30</v>
      </c>
      <c r="C1590" s="49" t="s">
        <v>1</v>
      </c>
      <c r="D1590" s="50">
        <v>1</v>
      </c>
      <c r="E1590" s="51">
        <f t="shared" si="552"/>
        <v>0.96000000000000008</v>
      </c>
      <c r="F1590" s="23">
        <f t="shared" si="553"/>
        <v>1.0416666666666665</v>
      </c>
      <c r="G1590" s="65">
        <f t="shared" si="553"/>
        <v>10.56</v>
      </c>
      <c r="H1590" s="77">
        <v>56.818181818181813</v>
      </c>
      <c r="I1590" s="71">
        <f t="shared" si="554"/>
        <v>1.1000000000000001</v>
      </c>
      <c r="J1590" s="23">
        <f t="shared" si="555"/>
        <v>1.0416666666666665</v>
      </c>
      <c r="K1590" s="65">
        <f t="shared" si="556"/>
        <v>10.56</v>
      </c>
      <c r="L1590" s="21">
        <v>600</v>
      </c>
      <c r="M1590" s="21">
        <v>660</v>
      </c>
      <c r="N1590" s="285"/>
      <c r="O1590" s="285"/>
      <c r="P1590" s="285"/>
      <c r="Q1590" s="285"/>
      <c r="R1590" s="285"/>
      <c r="S1590" s="285"/>
      <c r="T1590" s="285"/>
      <c r="U1590" s="285"/>
      <c r="V1590" s="285"/>
      <c r="W1590" s="285"/>
    </row>
    <row r="1591" spans="1:23" s="26" customFormat="1" ht="38.25" customHeight="1" x14ac:dyDescent="0.2">
      <c r="A1591" s="106" t="s">
        <v>2657</v>
      </c>
      <c r="B1591" s="125" t="s">
        <v>80</v>
      </c>
      <c r="C1591" s="49" t="s">
        <v>1</v>
      </c>
      <c r="D1591" s="50">
        <v>1</v>
      </c>
      <c r="E1591" s="51">
        <f t="shared" si="552"/>
        <v>0.84</v>
      </c>
      <c r="F1591" s="23">
        <f t="shared" si="553"/>
        <v>1.1904761904761905</v>
      </c>
      <c r="G1591" s="65">
        <f t="shared" si="553"/>
        <v>9.24</v>
      </c>
      <c r="H1591" s="77">
        <v>64.935064935064929</v>
      </c>
      <c r="I1591" s="71">
        <f t="shared" si="554"/>
        <v>1.1000000000000001</v>
      </c>
      <c r="J1591" s="23">
        <f t="shared" si="555"/>
        <v>1.1904761904761905</v>
      </c>
      <c r="K1591" s="65">
        <f t="shared" si="556"/>
        <v>9.24</v>
      </c>
      <c r="L1591" s="21">
        <v>600</v>
      </c>
      <c r="M1591" s="21">
        <v>660</v>
      </c>
      <c r="N1591" s="285"/>
      <c r="O1591" s="285"/>
      <c r="P1591" s="285"/>
      <c r="Q1591" s="285"/>
      <c r="R1591" s="285"/>
      <c r="S1591" s="285"/>
      <c r="T1591" s="285"/>
      <c r="U1591" s="285"/>
      <c r="V1591" s="285"/>
      <c r="W1591" s="285"/>
    </row>
    <row r="1592" spans="1:23" s="26" customFormat="1" ht="38.25" customHeight="1" x14ac:dyDescent="0.2">
      <c r="A1592" s="106" t="s">
        <v>2658</v>
      </c>
      <c r="B1592" s="125" t="s">
        <v>50</v>
      </c>
      <c r="C1592" s="49" t="s">
        <v>1</v>
      </c>
      <c r="D1592" s="50">
        <v>1</v>
      </c>
      <c r="E1592" s="51">
        <f t="shared" si="552"/>
        <v>1.56</v>
      </c>
      <c r="F1592" s="23">
        <f t="shared" si="553"/>
        <v>0.64102564102564097</v>
      </c>
      <c r="G1592" s="65">
        <f t="shared" si="553"/>
        <v>17.16</v>
      </c>
      <c r="H1592" s="77">
        <v>34.96503496503496</v>
      </c>
      <c r="I1592" s="71">
        <f t="shared" si="554"/>
        <v>1.1000000000000001</v>
      </c>
      <c r="J1592" s="23">
        <f t="shared" si="555"/>
        <v>0.64102564102564097</v>
      </c>
      <c r="K1592" s="65">
        <f t="shared" si="556"/>
        <v>17.16</v>
      </c>
      <c r="L1592" s="21">
        <v>600</v>
      </c>
      <c r="M1592" s="21">
        <v>660</v>
      </c>
      <c r="N1592" s="285"/>
      <c r="O1592" s="285"/>
      <c r="P1592" s="285"/>
      <c r="Q1592" s="285"/>
      <c r="R1592" s="285"/>
      <c r="S1592" s="285"/>
      <c r="T1592" s="285"/>
      <c r="U1592" s="285"/>
      <c r="V1592" s="285"/>
      <c r="W1592" s="285"/>
    </row>
    <row r="1593" spans="1:23" s="26" customFormat="1" ht="39" customHeight="1" x14ac:dyDescent="0.2">
      <c r="A1593" s="106" t="s">
        <v>2659</v>
      </c>
      <c r="B1593" s="125" t="s">
        <v>79</v>
      </c>
      <c r="C1593" s="49" t="s">
        <v>1</v>
      </c>
      <c r="D1593" s="50">
        <v>1</v>
      </c>
      <c r="E1593" s="51">
        <f t="shared" si="552"/>
        <v>1.4399999999999997</v>
      </c>
      <c r="F1593" s="23">
        <f t="shared" si="553"/>
        <v>0.69444444444444453</v>
      </c>
      <c r="G1593" s="65">
        <f t="shared" si="553"/>
        <v>15.839999999999998</v>
      </c>
      <c r="H1593" s="77">
        <v>37.878787878787882</v>
      </c>
      <c r="I1593" s="71">
        <f t="shared" si="554"/>
        <v>1.1000000000000001</v>
      </c>
      <c r="J1593" s="23">
        <f t="shared" si="555"/>
        <v>0.69444444444444453</v>
      </c>
      <c r="K1593" s="65">
        <f t="shared" si="556"/>
        <v>15.839999999999998</v>
      </c>
      <c r="L1593" s="21">
        <v>600</v>
      </c>
      <c r="M1593" s="21">
        <v>660</v>
      </c>
      <c r="N1593" s="285"/>
      <c r="O1593" s="285"/>
      <c r="P1593" s="285"/>
      <c r="Q1593" s="285"/>
      <c r="R1593" s="285"/>
      <c r="S1593" s="285"/>
      <c r="T1593" s="285"/>
      <c r="U1593" s="285"/>
      <c r="V1593" s="285"/>
      <c r="W1593" s="285"/>
    </row>
    <row r="1594" spans="1:23" s="26" customFormat="1" ht="44.25" customHeight="1" x14ac:dyDescent="0.2">
      <c r="A1594" s="106" t="s">
        <v>2660</v>
      </c>
      <c r="B1594" s="125" t="s">
        <v>27</v>
      </c>
      <c r="C1594" s="49" t="s">
        <v>1</v>
      </c>
      <c r="D1594" s="50">
        <v>1</v>
      </c>
      <c r="E1594" s="51">
        <f t="shared" si="552"/>
        <v>1.56</v>
      </c>
      <c r="F1594" s="23">
        <f t="shared" si="553"/>
        <v>0.64102564102564097</v>
      </c>
      <c r="G1594" s="65">
        <f t="shared" si="553"/>
        <v>17.16</v>
      </c>
      <c r="H1594" s="77">
        <v>34.96503496503496</v>
      </c>
      <c r="I1594" s="71">
        <f t="shared" si="554"/>
        <v>1.1000000000000001</v>
      </c>
      <c r="J1594" s="23">
        <f t="shared" si="555"/>
        <v>0.64102564102564097</v>
      </c>
      <c r="K1594" s="65">
        <f t="shared" si="556"/>
        <v>17.16</v>
      </c>
      <c r="L1594" s="21">
        <v>600</v>
      </c>
      <c r="M1594" s="21">
        <v>660</v>
      </c>
      <c r="N1594" s="285"/>
      <c r="O1594" s="285"/>
      <c r="P1594" s="285"/>
      <c r="Q1594" s="285"/>
      <c r="R1594" s="285"/>
      <c r="S1594" s="285"/>
      <c r="T1594" s="285"/>
      <c r="U1594" s="285"/>
      <c r="V1594" s="285"/>
      <c r="W1594" s="285"/>
    </row>
    <row r="1595" spans="1:23" s="26" customFormat="1" ht="30" customHeight="1" x14ac:dyDescent="0.2">
      <c r="A1595" s="106" t="s">
        <v>2661</v>
      </c>
      <c r="B1595" s="125" t="s">
        <v>70</v>
      </c>
      <c r="C1595" s="49" t="s">
        <v>1</v>
      </c>
      <c r="D1595" s="50">
        <v>1</v>
      </c>
      <c r="E1595" s="51">
        <f t="shared" si="552"/>
        <v>1.4399999999999997</v>
      </c>
      <c r="F1595" s="23">
        <f t="shared" si="553"/>
        <v>0.69444444444444453</v>
      </c>
      <c r="G1595" s="65">
        <f t="shared" si="553"/>
        <v>15.839999999999998</v>
      </c>
      <c r="H1595" s="77">
        <v>37.878787878787882</v>
      </c>
      <c r="I1595" s="71">
        <f t="shared" si="554"/>
        <v>1.1000000000000001</v>
      </c>
      <c r="J1595" s="23">
        <f t="shared" si="555"/>
        <v>0.69444444444444453</v>
      </c>
      <c r="K1595" s="65">
        <f t="shared" si="556"/>
        <v>15.839999999999998</v>
      </c>
      <c r="L1595" s="21">
        <v>600</v>
      </c>
      <c r="M1595" s="21">
        <v>660</v>
      </c>
      <c r="N1595" s="285"/>
      <c r="O1595" s="285"/>
      <c r="P1595" s="285"/>
      <c r="Q1595" s="285"/>
      <c r="R1595" s="285"/>
      <c r="S1595" s="285"/>
      <c r="T1595" s="285"/>
      <c r="U1595" s="285"/>
      <c r="V1595" s="285"/>
      <c r="W1595" s="285"/>
    </row>
    <row r="1596" spans="1:23" s="26" customFormat="1" ht="30" customHeight="1" x14ac:dyDescent="0.2">
      <c r="A1596" s="106" t="s">
        <v>2662</v>
      </c>
      <c r="B1596" s="125" t="s">
        <v>29</v>
      </c>
      <c r="C1596" s="49" t="s">
        <v>1</v>
      </c>
      <c r="D1596" s="50">
        <v>1</v>
      </c>
      <c r="E1596" s="51">
        <f t="shared" si="552"/>
        <v>2.3999999999999995</v>
      </c>
      <c r="F1596" s="23">
        <f t="shared" si="553"/>
        <v>0.41666666666666674</v>
      </c>
      <c r="G1596" s="65">
        <f t="shared" si="553"/>
        <v>26.399999999999995</v>
      </c>
      <c r="H1596" s="77">
        <v>22.72727272727273</v>
      </c>
      <c r="I1596" s="71">
        <f t="shared" si="554"/>
        <v>1.1000000000000001</v>
      </c>
      <c r="J1596" s="23">
        <f t="shared" si="555"/>
        <v>0.41666666666666674</v>
      </c>
      <c r="K1596" s="65">
        <f t="shared" si="556"/>
        <v>26.399999999999995</v>
      </c>
      <c r="L1596" s="21">
        <v>600</v>
      </c>
      <c r="M1596" s="21">
        <v>660</v>
      </c>
      <c r="N1596" s="285"/>
      <c r="O1596" s="285"/>
      <c r="P1596" s="285"/>
      <c r="Q1596" s="285"/>
      <c r="R1596" s="285"/>
      <c r="S1596" s="285"/>
      <c r="T1596" s="285"/>
      <c r="U1596" s="285"/>
      <c r="V1596" s="285"/>
      <c r="W1596" s="285"/>
    </row>
    <row r="1597" spans="1:23" s="26" customFormat="1" ht="30" customHeight="1" x14ac:dyDescent="0.2">
      <c r="A1597" s="106" t="s">
        <v>2663</v>
      </c>
      <c r="B1597" s="125" t="s">
        <v>75</v>
      </c>
      <c r="C1597" s="49" t="s">
        <v>1</v>
      </c>
      <c r="D1597" s="50">
        <v>1</v>
      </c>
      <c r="E1597" s="51">
        <f t="shared" si="552"/>
        <v>2.1599999999999997</v>
      </c>
      <c r="F1597" s="23">
        <f t="shared" si="553"/>
        <v>0.46296296296296302</v>
      </c>
      <c r="G1597" s="65">
        <f t="shared" si="553"/>
        <v>23.759999999999998</v>
      </c>
      <c r="H1597" s="77">
        <v>25.252525252525253</v>
      </c>
      <c r="I1597" s="71">
        <f t="shared" si="554"/>
        <v>1.1000000000000001</v>
      </c>
      <c r="J1597" s="23">
        <f t="shared" si="555"/>
        <v>0.46296296296296302</v>
      </c>
      <c r="K1597" s="65">
        <f t="shared" si="556"/>
        <v>23.759999999999998</v>
      </c>
      <c r="L1597" s="21">
        <v>600</v>
      </c>
      <c r="M1597" s="21">
        <v>660</v>
      </c>
      <c r="N1597" s="285"/>
      <c r="O1597" s="285"/>
      <c r="P1597" s="285"/>
      <c r="Q1597" s="285"/>
      <c r="R1597" s="285"/>
      <c r="S1597" s="285"/>
      <c r="T1597" s="285"/>
      <c r="U1597" s="285"/>
      <c r="V1597" s="285"/>
      <c r="W1597" s="285"/>
    </row>
    <row r="1598" spans="1:23" s="26" customFormat="1" ht="42.75" customHeight="1" x14ac:dyDescent="0.2">
      <c r="A1598" s="106" t="s">
        <v>2664</v>
      </c>
      <c r="B1598" s="125" t="s">
        <v>28</v>
      </c>
      <c r="C1598" s="49" t="s">
        <v>1</v>
      </c>
      <c r="D1598" s="50">
        <v>1</v>
      </c>
      <c r="E1598" s="51">
        <f t="shared" si="552"/>
        <v>1.4399999999999997</v>
      </c>
      <c r="F1598" s="23">
        <f t="shared" si="553"/>
        <v>0.69444444444444453</v>
      </c>
      <c r="G1598" s="65">
        <f t="shared" si="553"/>
        <v>15.839999999999998</v>
      </c>
      <c r="H1598" s="77">
        <v>37.878787878787882</v>
      </c>
      <c r="I1598" s="71">
        <f t="shared" si="554"/>
        <v>1.1000000000000001</v>
      </c>
      <c r="J1598" s="23">
        <f t="shared" si="555"/>
        <v>0.69444444444444453</v>
      </c>
      <c r="K1598" s="65">
        <f t="shared" si="556"/>
        <v>15.839999999999998</v>
      </c>
      <c r="L1598" s="21">
        <v>600</v>
      </c>
      <c r="M1598" s="21">
        <v>660</v>
      </c>
      <c r="N1598" s="285"/>
      <c r="O1598" s="285"/>
      <c r="P1598" s="285"/>
      <c r="Q1598" s="285"/>
      <c r="R1598" s="285"/>
      <c r="S1598" s="285"/>
      <c r="T1598" s="285"/>
      <c r="U1598" s="285"/>
      <c r="V1598" s="285"/>
      <c r="W1598" s="285"/>
    </row>
    <row r="1599" spans="1:23" s="26" customFormat="1" ht="30" customHeight="1" x14ac:dyDescent="0.2">
      <c r="A1599" s="106" t="s">
        <v>2665</v>
      </c>
      <c r="B1599" s="125" t="s">
        <v>76</v>
      </c>
      <c r="C1599" s="49" t="s">
        <v>1</v>
      </c>
      <c r="D1599" s="50">
        <v>1</v>
      </c>
      <c r="E1599" s="51">
        <f t="shared" si="552"/>
        <v>1.32</v>
      </c>
      <c r="F1599" s="23">
        <f t="shared" si="553"/>
        <v>0.75757575757575757</v>
      </c>
      <c r="G1599" s="65">
        <f t="shared" si="553"/>
        <v>14.52</v>
      </c>
      <c r="H1599" s="77">
        <v>41.322314049586772</v>
      </c>
      <c r="I1599" s="71">
        <f t="shared" si="554"/>
        <v>1.1000000000000001</v>
      </c>
      <c r="J1599" s="23">
        <f t="shared" si="555"/>
        <v>0.75757575757575757</v>
      </c>
      <c r="K1599" s="65">
        <f t="shared" si="556"/>
        <v>14.52</v>
      </c>
      <c r="L1599" s="21">
        <v>600</v>
      </c>
      <c r="M1599" s="21">
        <v>660</v>
      </c>
      <c r="N1599" s="285"/>
      <c r="O1599" s="285"/>
      <c r="P1599" s="285"/>
      <c r="Q1599" s="285"/>
      <c r="R1599" s="285"/>
      <c r="S1599" s="285"/>
      <c r="T1599" s="285"/>
      <c r="U1599" s="285"/>
      <c r="V1599" s="285"/>
      <c r="W1599" s="285"/>
    </row>
    <row r="1600" spans="1:23" s="26" customFormat="1" ht="30" customHeight="1" x14ac:dyDescent="0.2">
      <c r="A1600" s="106" t="s">
        <v>2666</v>
      </c>
      <c r="B1600" s="125" t="s">
        <v>31</v>
      </c>
      <c r="C1600" s="49" t="s">
        <v>1</v>
      </c>
      <c r="D1600" s="50">
        <v>1</v>
      </c>
      <c r="E1600" s="51">
        <f t="shared" si="552"/>
        <v>1.1999999999999997</v>
      </c>
      <c r="F1600" s="23">
        <f t="shared" si="553"/>
        <v>0.83333333333333348</v>
      </c>
      <c r="G1600" s="65">
        <f t="shared" si="553"/>
        <v>13.199999999999998</v>
      </c>
      <c r="H1600" s="77">
        <v>45.45454545454546</v>
      </c>
      <c r="I1600" s="71">
        <f t="shared" si="554"/>
        <v>1.1000000000000001</v>
      </c>
      <c r="J1600" s="23">
        <f t="shared" si="555"/>
        <v>0.83333333333333348</v>
      </c>
      <c r="K1600" s="65">
        <f t="shared" si="556"/>
        <v>13.199999999999998</v>
      </c>
      <c r="L1600" s="21">
        <v>600</v>
      </c>
      <c r="M1600" s="21">
        <v>660</v>
      </c>
      <c r="N1600" s="285"/>
      <c r="O1600" s="285"/>
      <c r="P1600" s="285"/>
      <c r="Q1600" s="285"/>
      <c r="R1600" s="285"/>
      <c r="S1600" s="285"/>
      <c r="T1600" s="285"/>
      <c r="U1600" s="285"/>
      <c r="V1600" s="285"/>
      <c r="W1600" s="285"/>
    </row>
    <row r="1601" spans="1:23" s="26" customFormat="1" ht="30" customHeight="1" x14ac:dyDescent="0.2">
      <c r="A1601" s="106" t="s">
        <v>2667</v>
      </c>
      <c r="B1601" s="125" t="s">
        <v>77</v>
      </c>
      <c r="C1601" s="49" t="s">
        <v>1</v>
      </c>
      <c r="D1601" s="50">
        <v>1</v>
      </c>
      <c r="E1601" s="51">
        <f t="shared" si="552"/>
        <v>0.96000000000000008</v>
      </c>
      <c r="F1601" s="23">
        <f t="shared" si="553"/>
        <v>1.0416666666666665</v>
      </c>
      <c r="G1601" s="65">
        <f t="shared" si="553"/>
        <v>10.56</v>
      </c>
      <c r="H1601" s="77">
        <v>56.818181818181813</v>
      </c>
      <c r="I1601" s="71">
        <f t="shared" si="554"/>
        <v>1.1000000000000001</v>
      </c>
      <c r="J1601" s="23">
        <f t="shared" si="555"/>
        <v>1.0416666666666665</v>
      </c>
      <c r="K1601" s="65">
        <f t="shared" si="556"/>
        <v>10.56</v>
      </c>
      <c r="L1601" s="21">
        <v>600</v>
      </c>
      <c r="M1601" s="21">
        <v>660</v>
      </c>
      <c r="N1601" s="285"/>
      <c r="O1601" s="285"/>
      <c r="P1601" s="285"/>
      <c r="Q1601" s="285"/>
      <c r="R1601" s="285"/>
      <c r="S1601" s="285"/>
      <c r="T1601" s="285"/>
      <c r="U1601" s="285"/>
      <c r="V1601" s="285"/>
      <c r="W1601" s="285"/>
    </row>
    <row r="1602" spans="1:23" s="26" customFormat="1" ht="30" customHeight="1" x14ac:dyDescent="0.2">
      <c r="A1602" s="106" t="s">
        <v>2668</v>
      </c>
      <c r="B1602" s="125" t="s">
        <v>51</v>
      </c>
      <c r="C1602" s="49" t="s">
        <v>1</v>
      </c>
      <c r="D1602" s="50">
        <v>1</v>
      </c>
      <c r="E1602" s="51">
        <f t="shared" si="552"/>
        <v>2.1599999999999997</v>
      </c>
      <c r="F1602" s="23">
        <f t="shared" si="553"/>
        <v>0.46296296296296302</v>
      </c>
      <c r="G1602" s="65">
        <f t="shared" si="553"/>
        <v>23.759999999999998</v>
      </c>
      <c r="H1602" s="77">
        <v>25.252525252525253</v>
      </c>
      <c r="I1602" s="71">
        <f t="shared" si="554"/>
        <v>1.1000000000000001</v>
      </c>
      <c r="J1602" s="23">
        <f t="shared" si="555"/>
        <v>0.46296296296296302</v>
      </c>
      <c r="K1602" s="65">
        <f t="shared" si="556"/>
        <v>23.759999999999998</v>
      </c>
      <c r="L1602" s="21">
        <v>600</v>
      </c>
      <c r="M1602" s="21">
        <v>660</v>
      </c>
      <c r="N1602" s="285"/>
      <c r="O1602" s="285"/>
      <c r="P1602" s="285"/>
      <c r="Q1602" s="285"/>
      <c r="R1602" s="285"/>
      <c r="S1602" s="285"/>
      <c r="T1602" s="285"/>
      <c r="U1602" s="285"/>
      <c r="V1602" s="285"/>
      <c r="W1602" s="285"/>
    </row>
    <row r="1603" spans="1:23" s="26" customFormat="1" ht="30" customHeight="1" x14ac:dyDescent="0.2">
      <c r="A1603" s="106" t="s">
        <v>2669</v>
      </c>
      <c r="B1603" s="125" t="s">
        <v>78</v>
      </c>
      <c r="C1603" s="49" t="s">
        <v>1</v>
      </c>
      <c r="D1603" s="50">
        <v>1</v>
      </c>
      <c r="E1603" s="51">
        <f t="shared" si="552"/>
        <v>2.04</v>
      </c>
      <c r="F1603" s="23">
        <f t="shared" si="553"/>
        <v>0.49019607843137253</v>
      </c>
      <c r="G1603" s="65">
        <f t="shared" si="553"/>
        <v>22.44</v>
      </c>
      <c r="H1603" s="77">
        <v>26.737967914438499</v>
      </c>
      <c r="I1603" s="71">
        <f t="shared" si="554"/>
        <v>1.1000000000000001</v>
      </c>
      <c r="J1603" s="23">
        <f t="shared" si="555"/>
        <v>0.49019607843137253</v>
      </c>
      <c r="K1603" s="65">
        <f t="shared" si="556"/>
        <v>22.44</v>
      </c>
      <c r="L1603" s="21">
        <v>600</v>
      </c>
      <c r="M1603" s="21">
        <v>660</v>
      </c>
      <c r="N1603" s="285"/>
      <c r="O1603" s="285"/>
      <c r="P1603" s="285"/>
      <c r="Q1603" s="285"/>
      <c r="R1603" s="285"/>
      <c r="S1603" s="285"/>
      <c r="T1603" s="285"/>
      <c r="U1603" s="285"/>
      <c r="V1603" s="285"/>
      <c r="W1603" s="285"/>
    </row>
    <row r="1604" spans="1:23" s="26" customFormat="1" ht="30" customHeight="1" x14ac:dyDescent="0.2">
      <c r="A1604" s="106" t="s">
        <v>2670</v>
      </c>
      <c r="B1604" s="125" t="s">
        <v>58</v>
      </c>
      <c r="C1604" s="49" t="s">
        <v>1</v>
      </c>
      <c r="D1604" s="50">
        <v>1</v>
      </c>
      <c r="E1604" s="51">
        <f t="shared" si="552"/>
        <v>1.32</v>
      </c>
      <c r="F1604" s="23">
        <f t="shared" si="553"/>
        <v>0.75757575757575757</v>
      </c>
      <c r="G1604" s="65">
        <f t="shared" si="553"/>
        <v>14.52</v>
      </c>
      <c r="H1604" s="77">
        <v>41.322314049586772</v>
      </c>
      <c r="I1604" s="71">
        <f t="shared" si="554"/>
        <v>1.1000000000000001</v>
      </c>
      <c r="J1604" s="23">
        <f t="shared" si="555"/>
        <v>0.75757575757575757</v>
      </c>
      <c r="K1604" s="65">
        <f t="shared" si="556"/>
        <v>14.52</v>
      </c>
      <c r="L1604" s="21">
        <v>600</v>
      </c>
      <c r="M1604" s="21">
        <v>660</v>
      </c>
      <c r="N1604" s="285"/>
      <c r="O1604" s="285"/>
      <c r="P1604" s="285"/>
      <c r="Q1604" s="285"/>
      <c r="R1604" s="285"/>
      <c r="S1604" s="285"/>
      <c r="T1604" s="285"/>
      <c r="U1604" s="285"/>
      <c r="V1604" s="285"/>
      <c r="W1604" s="285"/>
    </row>
    <row r="1605" spans="1:23" s="26" customFormat="1" ht="30" customHeight="1" x14ac:dyDescent="0.2">
      <c r="A1605" s="106" t="s">
        <v>2671</v>
      </c>
      <c r="B1605" s="125" t="s">
        <v>71</v>
      </c>
      <c r="C1605" s="49" t="s">
        <v>1</v>
      </c>
      <c r="D1605" s="50">
        <v>1</v>
      </c>
      <c r="E1605" s="51">
        <f t="shared" si="552"/>
        <v>1.1999999999999997</v>
      </c>
      <c r="F1605" s="23">
        <f t="shared" si="553"/>
        <v>0.83333333333333348</v>
      </c>
      <c r="G1605" s="65">
        <f t="shared" si="553"/>
        <v>13.199999999999998</v>
      </c>
      <c r="H1605" s="77">
        <v>45.45454545454546</v>
      </c>
      <c r="I1605" s="71">
        <f t="shared" si="554"/>
        <v>1.1000000000000001</v>
      </c>
      <c r="J1605" s="23">
        <f t="shared" si="555"/>
        <v>0.83333333333333348</v>
      </c>
      <c r="K1605" s="65">
        <f t="shared" si="556"/>
        <v>13.199999999999998</v>
      </c>
      <c r="L1605" s="21">
        <v>600</v>
      </c>
      <c r="M1605" s="21">
        <v>660</v>
      </c>
      <c r="N1605" s="285"/>
      <c r="O1605" s="285"/>
      <c r="P1605" s="285"/>
      <c r="Q1605" s="285"/>
      <c r="R1605" s="285"/>
      <c r="S1605" s="285"/>
      <c r="T1605" s="285"/>
      <c r="U1605" s="285"/>
      <c r="V1605" s="285"/>
      <c r="W1605" s="285"/>
    </row>
    <row r="1606" spans="1:23" s="26" customFormat="1" ht="30" customHeight="1" x14ac:dyDescent="0.2">
      <c r="A1606" s="106" t="s">
        <v>2672</v>
      </c>
      <c r="B1606" s="125" t="s">
        <v>59</v>
      </c>
      <c r="C1606" s="49" t="s">
        <v>1</v>
      </c>
      <c r="D1606" s="50">
        <v>1</v>
      </c>
      <c r="E1606" s="51">
        <f t="shared" si="552"/>
        <v>1.9200000000000002</v>
      </c>
      <c r="F1606" s="23">
        <f t="shared" si="553"/>
        <v>0.52083333333333326</v>
      </c>
      <c r="G1606" s="65">
        <f t="shared" si="553"/>
        <v>21.12</v>
      </c>
      <c r="H1606" s="77">
        <v>28.409090909090907</v>
      </c>
      <c r="I1606" s="71">
        <f t="shared" si="554"/>
        <v>1.1000000000000001</v>
      </c>
      <c r="J1606" s="23">
        <f t="shared" si="555"/>
        <v>0.52083333333333326</v>
      </c>
      <c r="K1606" s="65">
        <f t="shared" si="556"/>
        <v>21.12</v>
      </c>
      <c r="L1606" s="21">
        <v>600</v>
      </c>
      <c r="M1606" s="21">
        <v>660</v>
      </c>
      <c r="N1606" s="285"/>
      <c r="O1606" s="285"/>
      <c r="P1606" s="285"/>
      <c r="Q1606" s="285"/>
      <c r="R1606" s="285"/>
      <c r="S1606" s="285"/>
      <c r="T1606" s="285"/>
      <c r="U1606" s="285"/>
      <c r="V1606" s="285"/>
      <c r="W1606" s="285"/>
    </row>
    <row r="1607" spans="1:23" s="26" customFormat="1" ht="30" customHeight="1" x14ac:dyDescent="0.2">
      <c r="A1607" s="106" t="s">
        <v>2673</v>
      </c>
      <c r="B1607" s="125" t="s">
        <v>72</v>
      </c>
      <c r="C1607" s="49" t="s">
        <v>1</v>
      </c>
      <c r="D1607" s="50">
        <v>1</v>
      </c>
      <c r="E1607" s="51">
        <f t="shared" si="552"/>
        <v>1.7999999999999994</v>
      </c>
      <c r="F1607" s="23">
        <f t="shared" si="553"/>
        <v>0.55555555555555569</v>
      </c>
      <c r="G1607" s="65">
        <f t="shared" si="553"/>
        <v>19.799999999999994</v>
      </c>
      <c r="H1607" s="77">
        <v>30.303030303030308</v>
      </c>
      <c r="I1607" s="71">
        <f t="shared" si="554"/>
        <v>1.1000000000000001</v>
      </c>
      <c r="J1607" s="23">
        <f t="shared" si="555"/>
        <v>0.55555555555555569</v>
      </c>
      <c r="K1607" s="65">
        <f t="shared" si="556"/>
        <v>19.799999999999994</v>
      </c>
      <c r="L1607" s="21">
        <v>600</v>
      </c>
      <c r="M1607" s="21">
        <v>660</v>
      </c>
      <c r="N1607" s="285"/>
      <c r="O1607" s="285"/>
      <c r="P1607" s="285"/>
      <c r="Q1607" s="285"/>
      <c r="R1607" s="285"/>
      <c r="S1607" s="285"/>
      <c r="T1607" s="285"/>
      <c r="U1607" s="285"/>
      <c r="V1607" s="285"/>
      <c r="W1607" s="285"/>
    </row>
    <row r="1608" spans="1:23" s="26" customFormat="1" ht="30" customHeight="1" x14ac:dyDescent="0.2">
      <c r="A1608" s="106" t="s">
        <v>2674</v>
      </c>
      <c r="B1608" s="125" t="s">
        <v>60</v>
      </c>
      <c r="C1608" s="49" t="s">
        <v>1</v>
      </c>
      <c r="D1608" s="50">
        <v>1</v>
      </c>
      <c r="E1608" s="51">
        <f t="shared" si="552"/>
        <v>1.32</v>
      </c>
      <c r="F1608" s="23">
        <f t="shared" si="553"/>
        <v>0.75757575757575757</v>
      </c>
      <c r="G1608" s="65">
        <f t="shared" si="553"/>
        <v>14.52</v>
      </c>
      <c r="H1608" s="77">
        <v>41.322314049586772</v>
      </c>
      <c r="I1608" s="71">
        <f t="shared" si="554"/>
        <v>1.1000000000000001</v>
      </c>
      <c r="J1608" s="23">
        <f t="shared" si="555"/>
        <v>0.75757575757575757</v>
      </c>
      <c r="K1608" s="65">
        <f t="shared" si="556"/>
        <v>14.52</v>
      </c>
      <c r="L1608" s="21">
        <v>600</v>
      </c>
      <c r="M1608" s="21">
        <v>660</v>
      </c>
      <c r="N1608" s="285"/>
      <c r="O1608" s="285"/>
      <c r="P1608" s="285"/>
      <c r="Q1608" s="285"/>
      <c r="R1608" s="285"/>
      <c r="S1608" s="285"/>
      <c r="T1608" s="285"/>
      <c r="U1608" s="285"/>
      <c r="V1608" s="285"/>
      <c r="W1608" s="285"/>
    </row>
    <row r="1609" spans="1:23" s="26" customFormat="1" ht="30" customHeight="1" x14ac:dyDescent="0.2">
      <c r="A1609" s="106" t="s">
        <v>2675</v>
      </c>
      <c r="B1609" s="125" t="s">
        <v>73</v>
      </c>
      <c r="C1609" s="49" t="s">
        <v>1</v>
      </c>
      <c r="D1609" s="50">
        <v>1</v>
      </c>
      <c r="E1609" s="51">
        <f t="shared" si="552"/>
        <v>1.1999999999999997</v>
      </c>
      <c r="F1609" s="23">
        <f t="shared" si="553"/>
        <v>0.83333333333333348</v>
      </c>
      <c r="G1609" s="65">
        <f t="shared" si="553"/>
        <v>13.199999999999998</v>
      </c>
      <c r="H1609" s="77">
        <v>45.45454545454546</v>
      </c>
      <c r="I1609" s="71">
        <f t="shared" si="554"/>
        <v>1.1000000000000001</v>
      </c>
      <c r="J1609" s="23">
        <f t="shared" si="555"/>
        <v>0.83333333333333348</v>
      </c>
      <c r="K1609" s="65">
        <f t="shared" si="556"/>
        <v>13.199999999999998</v>
      </c>
      <c r="L1609" s="21">
        <v>600</v>
      </c>
      <c r="M1609" s="21">
        <v>660</v>
      </c>
      <c r="N1609" s="285"/>
      <c r="O1609" s="285"/>
      <c r="P1609" s="285"/>
      <c r="Q1609" s="285"/>
      <c r="R1609" s="285"/>
      <c r="S1609" s="285"/>
      <c r="T1609" s="285"/>
      <c r="U1609" s="285"/>
      <c r="V1609" s="285"/>
      <c r="W1609" s="285"/>
    </row>
    <row r="1610" spans="1:23" s="26" customFormat="1" ht="30" customHeight="1" x14ac:dyDescent="0.2">
      <c r="A1610" s="106" t="s">
        <v>2676</v>
      </c>
      <c r="B1610" s="125" t="s">
        <v>61</v>
      </c>
      <c r="C1610" s="49" t="s">
        <v>1</v>
      </c>
      <c r="D1610" s="50">
        <v>1</v>
      </c>
      <c r="E1610" s="51">
        <f t="shared" si="552"/>
        <v>1.0799999999999998</v>
      </c>
      <c r="F1610" s="23">
        <f t="shared" si="553"/>
        <v>0.92592592592592604</v>
      </c>
      <c r="G1610" s="65">
        <f t="shared" si="553"/>
        <v>11.879999999999999</v>
      </c>
      <c r="H1610" s="77">
        <v>50.505050505050505</v>
      </c>
      <c r="I1610" s="71">
        <f t="shared" si="554"/>
        <v>1.1000000000000001</v>
      </c>
      <c r="J1610" s="23">
        <f t="shared" si="555"/>
        <v>0.92592592592592604</v>
      </c>
      <c r="K1610" s="65">
        <f t="shared" si="556"/>
        <v>11.879999999999999</v>
      </c>
      <c r="L1610" s="21">
        <v>600</v>
      </c>
      <c r="M1610" s="21">
        <v>660</v>
      </c>
      <c r="N1610" s="285"/>
      <c r="O1610" s="285"/>
      <c r="P1610" s="285"/>
      <c r="Q1610" s="285"/>
      <c r="R1610" s="285"/>
      <c r="S1610" s="285"/>
      <c r="T1610" s="285"/>
      <c r="U1610" s="285"/>
      <c r="V1610" s="285"/>
      <c r="W1610" s="285"/>
    </row>
    <row r="1611" spans="1:23" s="26" customFormat="1" ht="30" customHeight="1" x14ac:dyDescent="0.2">
      <c r="A1611" s="106" t="s">
        <v>2677</v>
      </c>
      <c r="B1611" s="125" t="s">
        <v>74</v>
      </c>
      <c r="C1611" s="49" t="s">
        <v>1</v>
      </c>
      <c r="D1611" s="50">
        <v>1</v>
      </c>
      <c r="E1611" s="51">
        <f t="shared" si="552"/>
        <v>0.84</v>
      </c>
      <c r="F1611" s="23">
        <f t="shared" si="553"/>
        <v>1.1904761904761905</v>
      </c>
      <c r="G1611" s="65">
        <f t="shared" si="553"/>
        <v>9.24</v>
      </c>
      <c r="H1611" s="77">
        <v>64.935064935064929</v>
      </c>
      <c r="I1611" s="71">
        <f t="shared" si="554"/>
        <v>1.1000000000000001</v>
      </c>
      <c r="J1611" s="23">
        <f t="shared" si="555"/>
        <v>1.1904761904761905</v>
      </c>
      <c r="K1611" s="65">
        <f t="shared" si="556"/>
        <v>9.24</v>
      </c>
      <c r="L1611" s="21">
        <v>600</v>
      </c>
      <c r="M1611" s="21">
        <v>660</v>
      </c>
      <c r="N1611" s="285"/>
      <c r="O1611" s="285"/>
      <c r="P1611" s="285"/>
      <c r="Q1611" s="285"/>
      <c r="R1611" s="285"/>
      <c r="S1611" s="285"/>
      <c r="T1611" s="285"/>
      <c r="U1611" s="285"/>
      <c r="V1611" s="285"/>
      <c r="W1611" s="285"/>
    </row>
    <row r="1612" spans="1:23" s="26" customFormat="1" ht="30" customHeight="1" x14ac:dyDescent="0.2">
      <c r="A1612" s="106" t="s">
        <v>2678</v>
      </c>
      <c r="B1612" s="126" t="s">
        <v>528</v>
      </c>
      <c r="C1612" s="49" t="s">
        <v>8</v>
      </c>
      <c r="D1612" s="50">
        <v>1</v>
      </c>
      <c r="E1612" s="51">
        <f t="shared" si="552"/>
        <v>5.8909090909090898</v>
      </c>
      <c r="F1612" s="23">
        <f t="shared" si="553"/>
        <v>0.16975308641975312</v>
      </c>
      <c r="G1612" s="65">
        <f t="shared" si="553"/>
        <v>64.799999999999983</v>
      </c>
      <c r="H1612" s="77">
        <v>9.2592592592592595</v>
      </c>
      <c r="I1612" s="71">
        <f t="shared" si="554"/>
        <v>1.1000000000000001</v>
      </c>
      <c r="J1612" s="23">
        <f t="shared" si="555"/>
        <v>0.16975308641975312</v>
      </c>
      <c r="K1612" s="65">
        <f t="shared" si="556"/>
        <v>64.799999999999983</v>
      </c>
      <c r="L1612" s="21">
        <v>600</v>
      </c>
      <c r="M1612" s="21">
        <v>660</v>
      </c>
      <c r="N1612" s="285"/>
      <c r="O1612" s="285"/>
      <c r="P1612" s="285"/>
      <c r="Q1612" s="285"/>
      <c r="R1612" s="285"/>
      <c r="S1612" s="285"/>
      <c r="T1612" s="285"/>
      <c r="U1612" s="285"/>
      <c r="V1612" s="285"/>
      <c r="W1612" s="285"/>
    </row>
    <row r="1613" spans="1:23" s="26" customFormat="1" ht="30" customHeight="1" x14ac:dyDescent="0.2">
      <c r="A1613" s="106" t="s">
        <v>2679</v>
      </c>
      <c r="B1613" s="126" t="s">
        <v>656</v>
      </c>
      <c r="C1613" s="49" t="s">
        <v>8</v>
      </c>
      <c r="D1613" s="50">
        <v>1</v>
      </c>
      <c r="E1613" s="51">
        <f t="shared" si="552"/>
        <v>4.1454545454545446</v>
      </c>
      <c r="F1613" s="23">
        <f t="shared" si="553"/>
        <v>0.24122807017543862</v>
      </c>
      <c r="G1613" s="65">
        <f t="shared" si="553"/>
        <v>45.599999999999994</v>
      </c>
      <c r="H1613" s="77">
        <v>13.157894736842104</v>
      </c>
      <c r="I1613" s="71">
        <f t="shared" si="554"/>
        <v>1.1000000000000001</v>
      </c>
      <c r="J1613" s="23">
        <f t="shared" si="555"/>
        <v>0.24122807017543862</v>
      </c>
      <c r="K1613" s="65">
        <f t="shared" si="556"/>
        <v>45.599999999999994</v>
      </c>
      <c r="L1613" s="21">
        <v>600</v>
      </c>
      <c r="M1613" s="21">
        <v>660</v>
      </c>
      <c r="N1613" s="285"/>
      <c r="O1613" s="285"/>
      <c r="P1613" s="285"/>
      <c r="Q1613" s="285"/>
      <c r="R1613" s="285"/>
      <c r="S1613" s="285"/>
      <c r="T1613" s="285"/>
      <c r="U1613" s="285"/>
      <c r="V1613" s="285"/>
      <c r="W1613" s="285"/>
    </row>
    <row r="1614" spans="1:23" s="26" customFormat="1" ht="20.100000000000001" customHeight="1" x14ac:dyDescent="0.2">
      <c r="A1614" s="106" t="s">
        <v>2680</v>
      </c>
      <c r="B1614" s="126" t="s">
        <v>527</v>
      </c>
      <c r="C1614" s="49" t="s">
        <v>8</v>
      </c>
      <c r="D1614" s="50">
        <v>1</v>
      </c>
      <c r="E1614" s="51">
        <f t="shared" si="552"/>
        <v>7.4181818181818162</v>
      </c>
      <c r="F1614" s="23">
        <f t="shared" si="553"/>
        <v>0.13480392156862747</v>
      </c>
      <c r="G1614" s="65">
        <f t="shared" si="553"/>
        <v>81.59999999999998</v>
      </c>
      <c r="H1614" s="77">
        <v>7.3529411764705888</v>
      </c>
      <c r="I1614" s="71">
        <f t="shared" si="554"/>
        <v>1.1000000000000001</v>
      </c>
      <c r="J1614" s="23">
        <f t="shared" si="555"/>
        <v>0.13480392156862747</v>
      </c>
      <c r="K1614" s="65">
        <f t="shared" si="556"/>
        <v>81.59999999999998</v>
      </c>
      <c r="L1614" s="21">
        <v>600</v>
      </c>
      <c r="M1614" s="21">
        <v>660</v>
      </c>
      <c r="N1614" s="285"/>
      <c r="O1614" s="285"/>
      <c r="P1614" s="285"/>
      <c r="Q1614" s="285"/>
      <c r="R1614" s="285"/>
      <c r="S1614" s="285"/>
      <c r="T1614" s="285"/>
      <c r="U1614" s="285"/>
      <c r="V1614" s="285"/>
      <c r="W1614" s="285"/>
    </row>
    <row r="1615" spans="1:23" s="26" customFormat="1" ht="20.100000000000001" customHeight="1" x14ac:dyDescent="0.2">
      <c r="A1615" s="106" t="s">
        <v>2681</v>
      </c>
      <c r="B1615" s="125" t="s">
        <v>32</v>
      </c>
      <c r="C1615" s="49" t="s">
        <v>1</v>
      </c>
      <c r="D1615" s="50">
        <v>1</v>
      </c>
      <c r="E1615" s="51">
        <f t="shared" si="552"/>
        <v>1.0799999999999998</v>
      </c>
      <c r="F1615" s="23">
        <f t="shared" si="553"/>
        <v>0.92592592592592604</v>
      </c>
      <c r="G1615" s="65">
        <f t="shared" si="553"/>
        <v>11.879999999999999</v>
      </c>
      <c r="H1615" s="77">
        <v>50.505050505050505</v>
      </c>
      <c r="I1615" s="71">
        <f t="shared" si="554"/>
        <v>1.1000000000000001</v>
      </c>
      <c r="J1615" s="23">
        <f t="shared" si="555"/>
        <v>0.92592592592592604</v>
      </c>
      <c r="K1615" s="65">
        <f t="shared" si="556"/>
        <v>11.879999999999999</v>
      </c>
      <c r="L1615" s="21">
        <v>600</v>
      </c>
      <c r="M1615" s="21">
        <v>660</v>
      </c>
      <c r="N1615" s="285"/>
      <c r="O1615" s="285"/>
      <c r="P1615" s="285"/>
      <c r="Q1615" s="285"/>
      <c r="R1615" s="285"/>
      <c r="S1615" s="285"/>
      <c r="T1615" s="285"/>
      <c r="U1615" s="285"/>
      <c r="V1615" s="285"/>
      <c r="W1615" s="285"/>
    </row>
    <row r="1616" spans="1:23" s="26" customFormat="1" ht="20.100000000000001" customHeight="1" x14ac:dyDescent="0.2">
      <c r="A1616" s="106" t="s">
        <v>2682</v>
      </c>
      <c r="B1616" s="125" t="s">
        <v>33</v>
      </c>
      <c r="C1616" s="49" t="s">
        <v>1</v>
      </c>
      <c r="D1616" s="50">
        <v>1</v>
      </c>
      <c r="E1616" s="51">
        <f t="shared" si="552"/>
        <v>1.9200000000000002</v>
      </c>
      <c r="F1616" s="23">
        <f t="shared" si="553"/>
        <v>0.52083333333333326</v>
      </c>
      <c r="G1616" s="65">
        <f t="shared" si="553"/>
        <v>21.12</v>
      </c>
      <c r="H1616" s="77">
        <v>28.409090909090907</v>
      </c>
      <c r="I1616" s="71">
        <f t="shared" si="554"/>
        <v>1.1000000000000001</v>
      </c>
      <c r="J1616" s="23">
        <f t="shared" si="555"/>
        <v>0.52083333333333326</v>
      </c>
      <c r="K1616" s="65">
        <f t="shared" si="556"/>
        <v>21.12</v>
      </c>
      <c r="L1616" s="21">
        <v>600</v>
      </c>
      <c r="M1616" s="21">
        <v>660</v>
      </c>
      <c r="N1616" s="285"/>
      <c r="O1616" s="285"/>
      <c r="P1616" s="285"/>
      <c r="Q1616" s="285"/>
      <c r="R1616" s="285"/>
      <c r="S1616" s="285"/>
      <c r="T1616" s="285"/>
      <c r="U1616" s="285"/>
      <c r="V1616" s="285"/>
      <c r="W1616" s="285"/>
    </row>
    <row r="1617" spans="1:23" s="26" customFormat="1" ht="20.100000000000001" customHeight="1" x14ac:dyDescent="0.2">
      <c r="A1617" s="106" t="s">
        <v>2683</v>
      </c>
      <c r="B1617" s="125" t="s">
        <v>34</v>
      </c>
      <c r="C1617" s="49" t="s">
        <v>1</v>
      </c>
      <c r="D1617" s="50">
        <v>1</v>
      </c>
      <c r="E1617" s="51">
        <f t="shared" si="552"/>
        <v>1.32</v>
      </c>
      <c r="F1617" s="23">
        <f t="shared" si="553"/>
        <v>0.75757575757575757</v>
      </c>
      <c r="G1617" s="65">
        <f t="shared" si="553"/>
        <v>14.52</v>
      </c>
      <c r="H1617" s="77">
        <v>41.322314049586772</v>
      </c>
      <c r="I1617" s="71">
        <f t="shared" si="554"/>
        <v>1.1000000000000001</v>
      </c>
      <c r="J1617" s="23">
        <f t="shared" si="555"/>
        <v>0.75757575757575757</v>
      </c>
      <c r="K1617" s="65">
        <f t="shared" si="556"/>
        <v>14.52</v>
      </c>
      <c r="L1617" s="21">
        <v>600</v>
      </c>
      <c r="M1617" s="21">
        <v>660</v>
      </c>
      <c r="N1617" s="285"/>
      <c r="O1617" s="285"/>
      <c r="P1617" s="285"/>
      <c r="Q1617" s="285"/>
      <c r="R1617" s="285"/>
      <c r="S1617" s="285"/>
      <c r="T1617" s="285"/>
      <c r="U1617" s="285"/>
      <c r="V1617" s="285"/>
      <c r="W1617" s="285"/>
    </row>
    <row r="1618" spans="1:23" s="26" customFormat="1" ht="20.100000000000001" customHeight="1" x14ac:dyDescent="0.2">
      <c r="A1618" s="106" t="s">
        <v>2684</v>
      </c>
      <c r="B1618" s="125" t="s">
        <v>52</v>
      </c>
      <c r="C1618" s="49" t="s">
        <v>1</v>
      </c>
      <c r="D1618" s="50">
        <v>1</v>
      </c>
      <c r="E1618" s="51">
        <f t="shared" si="552"/>
        <v>1.9200000000000002</v>
      </c>
      <c r="F1618" s="23">
        <f t="shared" si="553"/>
        <v>0.52083333333333326</v>
      </c>
      <c r="G1618" s="65">
        <f t="shared" si="553"/>
        <v>21.12</v>
      </c>
      <c r="H1618" s="77">
        <v>28.409090909090907</v>
      </c>
      <c r="I1618" s="71">
        <f t="shared" si="554"/>
        <v>1.1000000000000001</v>
      </c>
      <c r="J1618" s="23">
        <f t="shared" si="555"/>
        <v>0.52083333333333326</v>
      </c>
      <c r="K1618" s="65">
        <f t="shared" si="556"/>
        <v>21.12</v>
      </c>
      <c r="L1618" s="21">
        <v>600</v>
      </c>
      <c r="M1618" s="21">
        <v>660</v>
      </c>
      <c r="N1618" s="285"/>
      <c r="O1618" s="285"/>
      <c r="P1618" s="285"/>
      <c r="Q1618" s="285"/>
      <c r="R1618" s="285"/>
      <c r="S1618" s="285"/>
      <c r="T1618" s="285"/>
      <c r="U1618" s="285"/>
      <c r="V1618" s="285"/>
      <c r="W1618" s="285"/>
    </row>
    <row r="1619" spans="1:23" s="26" customFormat="1" ht="20.100000000000001" customHeight="1" x14ac:dyDescent="0.2">
      <c r="A1619" s="106" t="s">
        <v>2685</v>
      </c>
      <c r="B1619" s="125" t="s">
        <v>62</v>
      </c>
      <c r="C1619" s="49" t="s">
        <v>1</v>
      </c>
      <c r="D1619" s="50">
        <v>1</v>
      </c>
      <c r="E1619" s="51">
        <f t="shared" si="552"/>
        <v>1.1999999999999997</v>
      </c>
      <c r="F1619" s="23">
        <f t="shared" si="553"/>
        <v>0.83333333333333348</v>
      </c>
      <c r="G1619" s="65">
        <f t="shared" si="553"/>
        <v>13.199999999999998</v>
      </c>
      <c r="H1619" s="77">
        <v>45.45454545454546</v>
      </c>
      <c r="I1619" s="71">
        <f t="shared" si="554"/>
        <v>1.1000000000000001</v>
      </c>
      <c r="J1619" s="23">
        <f t="shared" si="555"/>
        <v>0.83333333333333348</v>
      </c>
      <c r="K1619" s="65">
        <f t="shared" si="556"/>
        <v>13.199999999999998</v>
      </c>
      <c r="L1619" s="21">
        <v>600</v>
      </c>
      <c r="M1619" s="21">
        <v>660</v>
      </c>
      <c r="N1619" s="285"/>
      <c r="O1619" s="285"/>
      <c r="P1619" s="285"/>
      <c r="Q1619" s="285"/>
      <c r="R1619" s="285"/>
      <c r="S1619" s="285"/>
      <c r="T1619" s="285"/>
      <c r="U1619" s="285"/>
      <c r="V1619" s="285"/>
      <c r="W1619" s="285"/>
    </row>
    <row r="1620" spans="1:23" s="26" customFormat="1" ht="20.100000000000001" customHeight="1" x14ac:dyDescent="0.2">
      <c r="A1620" s="106" t="s">
        <v>2686</v>
      </c>
      <c r="B1620" s="125" t="s">
        <v>63</v>
      </c>
      <c r="C1620" s="49" t="s">
        <v>1</v>
      </c>
      <c r="D1620" s="50">
        <v>1</v>
      </c>
      <c r="E1620" s="51">
        <f t="shared" si="552"/>
        <v>1.7999999999999994</v>
      </c>
      <c r="F1620" s="23">
        <f t="shared" si="553"/>
        <v>0.55555555555555569</v>
      </c>
      <c r="G1620" s="65">
        <f t="shared" si="553"/>
        <v>19.799999999999994</v>
      </c>
      <c r="H1620" s="77">
        <v>30.303030303030308</v>
      </c>
      <c r="I1620" s="71">
        <f t="shared" si="554"/>
        <v>1.1000000000000001</v>
      </c>
      <c r="J1620" s="23">
        <f t="shared" si="555"/>
        <v>0.55555555555555569</v>
      </c>
      <c r="K1620" s="65">
        <f t="shared" si="556"/>
        <v>19.799999999999994</v>
      </c>
      <c r="L1620" s="21">
        <v>600</v>
      </c>
      <c r="M1620" s="21">
        <v>660</v>
      </c>
      <c r="N1620" s="285"/>
      <c r="O1620" s="285"/>
      <c r="P1620" s="285"/>
      <c r="Q1620" s="285"/>
      <c r="R1620" s="285"/>
      <c r="S1620" s="285"/>
      <c r="T1620" s="285"/>
      <c r="U1620" s="285"/>
      <c r="V1620" s="285"/>
      <c r="W1620" s="285"/>
    </row>
    <row r="1621" spans="1:23" ht="20.100000000000001" customHeight="1" x14ac:dyDescent="0.2">
      <c r="A1621" s="106" t="s">
        <v>2687</v>
      </c>
      <c r="B1621" s="125" t="s">
        <v>64</v>
      </c>
      <c r="C1621" s="49" t="s">
        <v>1</v>
      </c>
      <c r="D1621" s="50">
        <v>1</v>
      </c>
      <c r="E1621" s="51">
        <f t="shared" si="552"/>
        <v>1.32</v>
      </c>
      <c r="F1621" s="23">
        <f t="shared" si="553"/>
        <v>0.75757575757575757</v>
      </c>
      <c r="G1621" s="65">
        <f t="shared" si="553"/>
        <v>14.52</v>
      </c>
      <c r="H1621" s="77">
        <v>41.322314049586772</v>
      </c>
      <c r="I1621" s="71">
        <f t="shared" si="554"/>
        <v>1.1000000000000001</v>
      </c>
      <c r="J1621" s="23">
        <f t="shared" si="555"/>
        <v>0.75757575757575757</v>
      </c>
      <c r="K1621" s="65">
        <f t="shared" si="556"/>
        <v>14.52</v>
      </c>
      <c r="L1621" s="21">
        <v>600</v>
      </c>
      <c r="M1621" s="21">
        <v>660</v>
      </c>
      <c r="N1621" s="285"/>
      <c r="O1621" s="285"/>
      <c r="P1621" s="285"/>
      <c r="Q1621" s="285"/>
    </row>
    <row r="1622" spans="1:23" ht="20.100000000000001" customHeight="1" x14ac:dyDescent="0.2">
      <c r="A1622" s="106"/>
      <c r="B1622" s="201" t="s">
        <v>258</v>
      </c>
      <c r="C1622" s="74"/>
      <c r="D1622" s="74"/>
      <c r="E1622" s="51">
        <f t="shared" si="552"/>
        <v>0</v>
      </c>
      <c r="F1622" s="74"/>
      <c r="G1622" s="74"/>
      <c r="H1622" s="74"/>
      <c r="I1622" s="296"/>
      <c r="J1622" s="296"/>
      <c r="K1622" s="296"/>
      <c r="L1622" s="296"/>
      <c r="M1622" s="296"/>
    </row>
    <row r="1623" spans="1:23" ht="20.100000000000001" customHeight="1" x14ac:dyDescent="0.2">
      <c r="A1623" s="106" t="s">
        <v>2688</v>
      </c>
      <c r="B1623" s="125" t="s">
        <v>121</v>
      </c>
      <c r="C1623" s="21" t="s">
        <v>1</v>
      </c>
      <c r="D1623" s="50">
        <v>1</v>
      </c>
      <c r="E1623" s="51">
        <f t="shared" si="552"/>
        <v>1.0909090909090908</v>
      </c>
      <c r="F1623" s="23">
        <f t="shared" ref="F1623:G1686" si="557">J1623</f>
        <v>0.91666666666666685</v>
      </c>
      <c r="G1623" s="65">
        <f t="shared" si="557"/>
        <v>11.999999999999998</v>
      </c>
      <c r="H1623" s="77">
        <v>50</v>
      </c>
      <c r="I1623" s="71">
        <f t="shared" ref="I1623:I1686" si="558">M1623/L1623</f>
        <v>1.1000000000000001</v>
      </c>
      <c r="J1623" s="23">
        <f t="shared" ref="J1623:J1686" si="559">11/K1623</f>
        <v>0.91666666666666685</v>
      </c>
      <c r="K1623" s="65">
        <f t="shared" ref="K1623:K1686" si="560">M1623/(H1623*I1623)</f>
        <v>11.999999999999998</v>
      </c>
      <c r="L1623" s="21">
        <v>600</v>
      </c>
      <c r="M1623" s="21">
        <v>660</v>
      </c>
    </row>
    <row r="1624" spans="1:23" ht="20.100000000000001" customHeight="1" x14ac:dyDescent="0.2">
      <c r="A1624" s="106" t="s">
        <v>2689</v>
      </c>
      <c r="B1624" s="125" t="s">
        <v>122</v>
      </c>
      <c r="C1624" s="21" t="s">
        <v>1</v>
      </c>
      <c r="D1624" s="50">
        <v>1</v>
      </c>
      <c r="E1624" s="51">
        <f t="shared" si="552"/>
        <v>0.98181818181818159</v>
      </c>
      <c r="F1624" s="23">
        <f t="shared" si="557"/>
        <v>1.0185185185185188</v>
      </c>
      <c r="G1624" s="65">
        <f t="shared" si="557"/>
        <v>10.799999999999997</v>
      </c>
      <c r="H1624" s="77">
        <v>55.555555555555564</v>
      </c>
      <c r="I1624" s="71">
        <f t="shared" si="558"/>
        <v>1.1000000000000001</v>
      </c>
      <c r="J1624" s="23">
        <f t="shared" si="559"/>
        <v>1.0185185185185188</v>
      </c>
      <c r="K1624" s="65">
        <f t="shared" si="560"/>
        <v>10.799999999999997</v>
      </c>
      <c r="L1624" s="21">
        <v>600</v>
      </c>
      <c r="M1624" s="21">
        <v>660</v>
      </c>
    </row>
    <row r="1625" spans="1:23" ht="20.100000000000001" customHeight="1" x14ac:dyDescent="0.2">
      <c r="A1625" s="106" t="s">
        <v>2690</v>
      </c>
      <c r="B1625" s="125" t="s">
        <v>124</v>
      </c>
      <c r="C1625" s="21" t="s">
        <v>1</v>
      </c>
      <c r="D1625" s="50">
        <v>1</v>
      </c>
      <c r="E1625" s="51">
        <f t="shared" si="552"/>
        <v>0.98181818181818159</v>
      </c>
      <c r="F1625" s="23">
        <f t="shared" si="557"/>
        <v>1.0185185185185188</v>
      </c>
      <c r="G1625" s="65">
        <f t="shared" si="557"/>
        <v>10.799999999999997</v>
      </c>
      <c r="H1625" s="77">
        <v>55.555555555555564</v>
      </c>
      <c r="I1625" s="71">
        <f t="shared" si="558"/>
        <v>1.1000000000000001</v>
      </c>
      <c r="J1625" s="23">
        <f t="shared" si="559"/>
        <v>1.0185185185185188</v>
      </c>
      <c r="K1625" s="65">
        <f t="shared" si="560"/>
        <v>10.799999999999997</v>
      </c>
      <c r="L1625" s="21">
        <v>600</v>
      </c>
      <c r="M1625" s="21">
        <v>660</v>
      </c>
    </row>
    <row r="1626" spans="1:23" ht="20.100000000000001" customHeight="1" x14ac:dyDescent="0.2">
      <c r="A1626" s="106" t="s">
        <v>2691</v>
      </c>
      <c r="B1626" s="144" t="s">
        <v>187</v>
      </c>
      <c r="C1626" s="21" t="s">
        <v>1</v>
      </c>
      <c r="D1626" s="50">
        <v>1</v>
      </c>
      <c r="E1626" s="51">
        <f t="shared" si="552"/>
        <v>2.1599999999999997</v>
      </c>
      <c r="F1626" s="23">
        <f t="shared" si="557"/>
        <v>0.46296296296296302</v>
      </c>
      <c r="G1626" s="65">
        <f t="shared" si="557"/>
        <v>23.759999999999998</v>
      </c>
      <c r="H1626" s="77">
        <v>25.252525252525253</v>
      </c>
      <c r="I1626" s="71">
        <f t="shared" si="558"/>
        <v>1.1000000000000001</v>
      </c>
      <c r="J1626" s="23">
        <f t="shared" si="559"/>
        <v>0.46296296296296302</v>
      </c>
      <c r="K1626" s="65">
        <f t="shared" si="560"/>
        <v>23.759999999999998</v>
      </c>
      <c r="L1626" s="21">
        <v>600</v>
      </c>
      <c r="M1626" s="21">
        <v>660</v>
      </c>
    </row>
    <row r="1627" spans="1:23" ht="20.100000000000001" customHeight="1" x14ac:dyDescent="0.2">
      <c r="A1627" s="106" t="s">
        <v>2692</v>
      </c>
      <c r="B1627" s="144" t="s">
        <v>199</v>
      </c>
      <c r="C1627" s="21" t="s">
        <v>1</v>
      </c>
      <c r="D1627" s="50">
        <v>1</v>
      </c>
      <c r="E1627" s="51">
        <f t="shared" si="552"/>
        <v>1.68</v>
      </c>
      <c r="F1627" s="23">
        <f t="shared" si="557"/>
        <v>0.59523809523809523</v>
      </c>
      <c r="G1627" s="65">
        <f t="shared" si="557"/>
        <v>18.48</v>
      </c>
      <c r="H1627" s="77">
        <v>32.467532467532465</v>
      </c>
      <c r="I1627" s="71">
        <f t="shared" si="558"/>
        <v>1.1000000000000001</v>
      </c>
      <c r="J1627" s="23">
        <f t="shared" si="559"/>
        <v>0.59523809523809523</v>
      </c>
      <c r="K1627" s="65">
        <f t="shared" si="560"/>
        <v>18.48</v>
      </c>
      <c r="L1627" s="21">
        <v>600</v>
      </c>
      <c r="M1627" s="21">
        <v>660</v>
      </c>
    </row>
    <row r="1628" spans="1:23" ht="20.100000000000001" customHeight="1" x14ac:dyDescent="0.2">
      <c r="A1628" s="106" t="s">
        <v>2693</v>
      </c>
      <c r="B1628" s="126" t="s">
        <v>188</v>
      </c>
      <c r="C1628" s="21" t="s">
        <v>1</v>
      </c>
      <c r="D1628" s="50">
        <v>1</v>
      </c>
      <c r="E1628" s="51">
        <f t="shared" si="552"/>
        <v>2.04</v>
      </c>
      <c r="F1628" s="23">
        <f t="shared" si="557"/>
        <v>0.49019607843137253</v>
      </c>
      <c r="G1628" s="65">
        <f t="shared" si="557"/>
        <v>22.44</v>
      </c>
      <c r="H1628" s="77">
        <v>26.737967914438499</v>
      </c>
      <c r="I1628" s="71">
        <f t="shared" si="558"/>
        <v>1.1000000000000001</v>
      </c>
      <c r="J1628" s="23">
        <f t="shared" si="559"/>
        <v>0.49019607843137253</v>
      </c>
      <c r="K1628" s="65">
        <f t="shared" si="560"/>
        <v>22.44</v>
      </c>
      <c r="L1628" s="21">
        <v>600</v>
      </c>
      <c r="M1628" s="21">
        <v>660</v>
      </c>
    </row>
    <row r="1629" spans="1:23" ht="20.100000000000001" customHeight="1" x14ac:dyDescent="0.2">
      <c r="A1629" s="106" t="s">
        <v>2694</v>
      </c>
      <c r="B1629" s="126" t="s">
        <v>488</v>
      </c>
      <c r="C1629" s="21" t="s">
        <v>1</v>
      </c>
      <c r="D1629" s="50">
        <v>1</v>
      </c>
      <c r="E1629" s="51">
        <f t="shared" si="552"/>
        <v>1.56</v>
      </c>
      <c r="F1629" s="23">
        <f t="shared" si="557"/>
        <v>0.64102564102564097</v>
      </c>
      <c r="G1629" s="65">
        <f t="shared" si="557"/>
        <v>17.16</v>
      </c>
      <c r="H1629" s="77">
        <v>34.96503496503496</v>
      </c>
      <c r="I1629" s="71">
        <f t="shared" si="558"/>
        <v>1.1000000000000001</v>
      </c>
      <c r="J1629" s="23">
        <f t="shared" si="559"/>
        <v>0.64102564102564097</v>
      </c>
      <c r="K1629" s="65">
        <f t="shared" si="560"/>
        <v>17.16</v>
      </c>
      <c r="L1629" s="21">
        <v>600</v>
      </c>
      <c r="M1629" s="21">
        <v>660</v>
      </c>
    </row>
    <row r="1630" spans="1:23" ht="20.100000000000001" customHeight="1" x14ac:dyDescent="0.2">
      <c r="A1630" s="106" t="s">
        <v>2695</v>
      </c>
      <c r="B1630" s="125" t="s">
        <v>189</v>
      </c>
      <c r="C1630" s="21" t="s">
        <v>1</v>
      </c>
      <c r="D1630" s="50">
        <v>1</v>
      </c>
      <c r="E1630" s="51">
        <f t="shared" si="552"/>
        <v>1.9200000000000002</v>
      </c>
      <c r="F1630" s="23">
        <f t="shared" si="557"/>
        <v>0.52083333333333326</v>
      </c>
      <c r="G1630" s="65">
        <f t="shared" si="557"/>
        <v>21.12</v>
      </c>
      <c r="H1630" s="77">
        <v>28.409090909090907</v>
      </c>
      <c r="I1630" s="71">
        <f t="shared" si="558"/>
        <v>1.1000000000000001</v>
      </c>
      <c r="J1630" s="23">
        <f t="shared" si="559"/>
        <v>0.52083333333333326</v>
      </c>
      <c r="K1630" s="65">
        <f t="shared" si="560"/>
        <v>21.12</v>
      </c>
      <c r="L1630" s="21">
        <v>600</v>
      </c>
      <c r="M1630" s="21">
        <v>660</v>
      </c>
    </row>
    <row r="1631" spans="1:23" ht="20.100000000000001" customHeight="1" x14ac:dyDescent="0.2">
      <c r="A1631" s="106" t="s">
        <v>2696</v>
      </c>
      <c r="B1631" s="125" t="s">
        <v>200</v>
      </c>
      <c r="C1631" s="21" t="s">
        <v>1</v>
      </c>
      <c r="D1631" s="50">
        <v>1</v>
      </c>
      <c r="E1631" s="51">
        <f t="shared" si="552"/>
        <v>1.56</v>
      </c>
      <c r="F1631" s="23">
        <f t="shared" si="557"/>
        <v>0.64102564102564097</v>
      </c>
      <c r="G1631" s="65">
        <f t="shared" si="557"/>
        <v>17.16</v>
      </c>
      <c r="H1631" s="77">
        <v>34.96503496503496</v>
      </c>
      <c r="I1631" s="71">
        <f t="shared" si="558"/>
        <v>1.1000000000000001</v>
      </c>
      <c r="J1631" s="23">
        <f t="shared" si="559"/>
        <v>0.64102564102564097</v>
      </c>
      <c r="K1631" s="65">
        <f t="shared" si="560"/>
        <v>17.16</v>
      </c>
      <c r="L1631" s="21">
        <v>600</v>
      </c>
      <c r="M1631" s="21">
        <v>660</v>
      </c>
    </row>
    <row r="1632" spans="1:23" ht="20.100000000000001" customHeight="1" x14ac:dyDescent="0.2">
      <c r="A1632" s="106" t="s">
        <v>2697</v>
      </c>
      <c r="B1632" s="126" t="s">
        <v>486</v>
      </c>
      <c r="C1632" s="21" t="s">
        <v>1</v>
      </c>
      <c r="D1632" s="50">
        <v>1</v>
      </c>
      <c r="E1632" s="51">
        <f t="shared" si="552"/>
        <v>1.7999999999999994</v>
      </c>
      <c r="F1632" s="23">
        <f t="shared" si="557"/>
        <v>0.55555555555555569</v>
      </c>
      <c r="G1632" s="65">
        <f t="shared" si="557"/>
        <v>19.799999999999994</v>
      </c>
      <c r="H1632" s="77">
        <v>30.303030303030308</v>
      </c>
      <c r="I1632" s="71">
        <f t="shared" si="558"/>
        <v>1.1000000000000001</v>
      </c>
      <c r="J1632" s="23">
        <f t="shared" si="559"/>
        <v>0.55555555555555569</v>
      </c>
      <c r="K1632" s="65">
        <f t="shared" si="560"/>
        <v>19.799999999999994</v>
      </c>
      <c r="L1632" s="21">
        <v>600</v>
      </c>
      <c r="M1632" s="21">
        <v>660</v>
      </c>
    </row>
    <row r="1633" spans="1:13" ht="20.100000000000001" customHeight="1" x14ac:dyDescent="0.2">
      <c r="A1633" s="106" t="s">
        <v>2698</v>
      </c>
      <c r="B1633" s="126" t="s">
        <v>487</v>
      </c>
      <c r="C1633" s="21" t="s">
        <v>1</v>
      </c>
      <c r="D1633" s="50">
        <v>1</v>
      </c>
      <c r="E1633" s="51">
        <f t="shared" si="552"/>
        <v>1.4399999999999997</v>
      </c>
      <c r="F1633" s="23">
        <f t="shared" si="557"/>
        <v>0.69444444444444453</v>
      </c>
      <c r="G1633" s="65">
        <f t="shared" si="557"/>
        <v>15.839999999999998</v>
      </c>
      <c r="H1633" s="77">
        <v>37.878787878787882</v>
      </c>
      <c r="I1633" s="71">
        <f t="shared" si="558"/>
        <v>1.1000000000000001</v>
      </c>
      <c r="J1633" s="23">
        <f t="shared" si="559"/>
        <v>0.69444444444444453</v>
      </c>
      <c r="K1633" s="65">
        <f t="shared" si="560"/>
        <v>15.839999999999998</v>
      </c>
      <c r="L1633" s="21">
        <v>600</v>
      </c>
      <c r="M1633" s="21">
        <v>660</v>
      </c>
    </row>
    <row r="1634" spans="1:13" ht="20.100000000000001" customHeight="1" x14ac:dyDescent="0.2">
      <c r="A1634" s="106" t="s">
        <v>2699</v>
      </c>
      <c r="B1634" s="125" t="s">
        <v>190</v>
      </c>
      <c r="C1634" s="21" t="s">
        <v>1</v>
      </c>
      <c r="D1634" s="50">
        <v>1</v>
      </c>
      <c r="E1634" s="51">
        <f t="shared" si="552"/>
        <v>1.4399999999999997</v>
      </c>
      <c r="F1634" s="23">
        <f t="shared" si="557"/>
        <v>0.69444444444444453</v>
      </c>
      <c r="G1634" s="65">
        <f t="shared" si="557"/>
        <v>15.839999999999998</v>
      </c>
      <c r="H1634" s="77">
        <v>37.878787878787882</v>
      </c>
      <c r="I1634" s="71">
        <f t="shared" si="558"/>
        <v>1.1000000000000001</v>
      </c>
      <c r="J1634" s="23">
        <f t="shared" si="559"/>
        <v>0.69444444444444453</v>
      </c>
      <c r="K1634" s="65">
        <f t="shared" si="560"/>
        <v>15.839999999999998</v>
      </c>
      <c r="L1634" s="21">
        <v>600</v>
      </c>
      <c r="M1634" s="21">
        <v>660</v>
      </c>
    </row>
    <row r="1635" spans="1:13" ht="20.100000000000001" customHeight="1" x14ac:dyDescent="0.2">
      <c r="A1635" s="106" t="s">
        <v>2700</v>
      </c>
      <c r="B1635" s="125" t="s">
        <v>201</v>
      </c>
      <c r="C1635" s="21" t="s">
        <v>1</v>
      </c>
      <c r="D1635" s="50">
        <v>1</v>
      </c>
      <c r="E1635" s="51">
        <f t="shared" si="552"/>
        <v>1.1999999999999997</v>
      </c>
      <c r="F1635" s="23">
        <f t="shared" si="557"/>
        <v>0.83333333333333348</v>
      </c>
      <c r="G1635" s="65">
        <f t="shared" si="557"/>
        <v>13.199999999999998</v>
      </c>
      <c r="H1635" s="77">
        <v>45.45454545454546</v>
      </c>
      <c r="I1635" s="71">
        <f t="shared" si="558"/>
        <v>1.1000000000000001</v>
      </c>
      <c r="J1635" s="23">
        <f t="shared" si="559"/>
        <v>0.83333333333333348</v>
      </c>
      <c r="K1635" s="65">
        <f t="shared" si="560"/>
        <v>13.199999999999998</v>
      </c>
      <c r="L1635" s="21">
        <v>600</v>
      </c>
      <c r="M1635" s="21">
        <v>660</v>
      </c>
    </row>
    <row r="1636" spans="1:13" ht="20.100000000000001" customHeight="1" x14ac:dyDescent="0.2">
      <c r="A1636" s="106" t="s">
        <v>2701</v>
      </c>
      <c r="B1636" s="126" t="s">
        <v>489</v>
      </c>
      <c r="C1636" s="21" t="s">
        <v>1</v>
      </c>
      <c r="D1636" s="50">
        <v>1</v>
      </c>
      <c r="E1636" s="51">
        <f t="shared" si="552"/>
        <v>1.32</v>
      </c>
      <c r="F1636" s="23">
        <f t="shared" si="557"/>
        <v>0.75757575757575757</v>
      </c>
      <c r="G1636" s="65">
        <f t="shared" si="557"/>
        <v>14.52</v>
      </c>
      <c r="H1636" s="77">
        <v>41.322314049586772</v>
      </c>
      <c r="I1636" s="71">
        <f t="shared" si="558"/>
        <v>1.1000000000000001</v>
      </c>
      <c r="J1636" s="23">
        <f t="shared" si="559"/>
        <v>0.75757575757575757</v>
      </c>
      <c r="K1636" s="65">
        <f t="shared" si="560"/>
        <v>14.52</v>
      </c>
      <c r="L1636" s="21">
        <v>600</v>
      </c>
      <c r="M1636" s="21">
        <v>660</v>
      </c>
    </row>
    <row r="1637" spans="1:13" ht="20.100000000000001" customHeight="1" x14ac:dyDescent="0.2">
      <c r="A1637" s="106" t="s">
        <v>2702</v>
      </c>
      <c r="B1637" s="126" t="s">
        <v>490</v>
      </c>
      <c r="C1637" s="21" t="s">
        <v>1</v>
      </c>
      <c r="D1637" s="50">
        <v>1</v>
      </c>
      <c r="E1637" s="51">
        <f t="shared" si="552"/>
        <v>1.0799999999999998</v>
      </c>
      <c r="F1637" s="23">
        <f t="shared" si="557"/>
        <v>0.92592592592592604</v>
      </c>
      <c r="G1637" s="65">
        <f t="shared" si="557"/>
        <v>11.879999999999999</v>
      </c>
      <c r="H1637" s="77">
        <v>50.505050505050505</v>
      </c>
      <c r="I1637" s="71">
        <f t="shared" si="558"/>
        <v>1.1000000000000001</v>
      </c>
      <c r="J1637" s="23">
        <f t="shared" si="559"/>
        <v>0.92592592592592604</v>
      </c>
      <c r="K1637" s="65">
        <f t="shared" si="560"/>
        <v>11.879999999999999</v>
      </c>
      <c r="L1637" s="21">
        <v>600</v>
      </c>
      <c r="M1637" s="21">
        <v>660</v>
      </c>
    </row>
    <row r="1638" spans="1:13" ht="20.100000000000001" customHeight="1" x14ac:dyDescent="0.2">
      <c r="A1638" s="106" t="s">
        <v>2703</v>
      </c>
      <c r="B1638" s="202" t="s">
        <v>191</v>
      </c>
      <c r="C1638" s="21" t="s">
        <v>1</v>
      </c>
      <c r="D1638" s="50">
        <v>1</v>
      </c>
      <c r="E1638" s="51">
        <f t="shared" si="552"/>
        <v>1.0799999999999998</v>
      </c>
      <c r="F1638" s="23">
        <f t="shared" si="557"/>
        <v>0.92592592592592604</v>
      </c>
      <c r="G1638" s="65">
        <f t="shared" si="557"/>
        <v>11.879999999999999</v>
      </c>
      <c r="H1638" s="77">
        <v>50.505050505050505</v>
      </c>
      <c r="I1638" s="71">
        <f t="shared" si="558"/>
        <v>1.1000000000000001</v>
      </c>
      <c r="J1638" s="23">
        <f t="shared" si="559"/>
        <v>0.92592592592592604</v>
      </c>
      <c r="K1638" s="65">
        <f t="shared" si="560"/>
        <v>11.879999999999999</v>
      </c>
      <c r="L1638" s="21">
        <v>600</v>
      </c>
      <c r="M1638" s="21">
        <v>660</v>
      </c>
    </row>
    <row r="1639" spans="1:13" ht="20.100000000000001" customHeight="1" x14ac:dyDescent="0.2">
      <c r="A1639" s="106" t="s">
        <v>2704</v>
      </c>
      <c r="B1639" s="202" t="s">
        <v>202</v>
      </c>
      <c r="C1639" s="21" t="s">
        <v>1</v>
      </c>
      <c r="D1639" s="50">
        <v>1</v>
      </c>
      <c r="E1639" s="51">
        <f t="shared" si="552"/>
        <v>0.96000000000000008</v>
      </c>
      <c r="F1639" s="23">
        <f t="shared" si="557"/>
        <v>1.0416666666666665</v>
      </c>
      <c r="G1639" s="65">
        <f t="shared" si="557"/>
        <v>10.56</v>
      </c>
      <c r="H1639" s="77">
        <v>56.818181818181813</v>
      </c>
      <c r="I1639" s="71">
        <f t="shared" si="558"/>
        <v>1.1000000000000001</v>
      </c>
      <c r="J1639" s="23">
        <f t="shared" si="559"/>
        <v>1.0416666666666665</v>
      </c>
      <c r="K1639" s="65">
        <f t="shared" si="560"/>
        <v>10.56</v>
      </c>
      <c r="L1639" s="21">
        <v>600</v>
      </c>
      <c r="M1639" s="21">
        <v>660</v>
      </c>
    </row>
    <row r="1640" spans="1:13" ht="20.100000000000001" customHeight="1" x14ac:dyDescent="0.2">
      <c r="A1640" s="106" t="s">
        <v>2705</v>
      </c>
      <c r="B1640" s="126" t="s">
        <v>192</v>
      </c>
      <c r="C1640" s="21" t="s">
        <v>1</v>
      </c>
      <c r="D1640" s="50">
        <v>1</v>
      </c>
      <c r="E1640" s="51">
        <f t="shared" si="552"/>
        <v>0.96000000000000008</v>
      </c>
      <c r="F1640" s="23">
        <f t="shared" si="557"/>
        <v>1.0416666666666665</v>
      </c>
      <c r="G1640" s="65">
        <f t="shared" si="557"/>
        <v>10.56</v>
      </c>
      <c r="H1640" s="77">
        <v>56.818181818181813</v>
      </c>
      <c r="I1640" s="71">
        <f t="shared" si="558"/>
        <v>1.1000000000000001</v>
      </c>
      <c r="J1640" s="23">
        <f t="shared" si="559"/>
        <v>1.0416666666666665</v>
      </c>
      <c r="K1640" s="65">
        <f t="shared" si="560"/>
        <v>10.56</v>
      </c>
      <c r="L1640" s="21">
        <v>600</v>
      </c>
      <c r="M1640" s="21">
        <v>660</v>
      </c>
    </row>
    <row r="1641" spans="1:13" ht="20.100000000000001" customHeight="1" x14ac:dyDescent="0.2">
      <c r="A1641" s="106" t="s">
        <v>2706</v>
      </c>
      <c r="B1641" s="126" t="s">
        <v>203</v>
      </c>
      <c r="C1641" s="21" t="s">
        <v>1</v>
      </c>
      <c r="D1641" s="50">
        <v>1</v>
      </c>
      <c r="E1641" s="51">
        <f t="shared" si="552"/>
        <v>0.89999999999999969</v>
      </c>
      <c r="F1641" s="23">
        <f t="shared" si="557"/>
        <v>1.1111111111111114</v>
      </c>
      <c r="G1641" s="65">
        <f t="shared" si="557"/>
        <v>9.8999999999999968</v>
      </c>
      <c r="H1641" s="77">
        <v>60.606060606060616</v>
      </c>
      <c r="I1641" s="71">
        <f t="shared" si="558"/>
        <v>1.1000000000000001</v>
      </c>
      <c r="J1641" s="23">
        <f t="shared" si="559"/>
        <v>1.1111111111111114</v>
      </c>
      <c r="K1641" s="65">
        <f t="shared" si="560"/>
        <v>9.8999999999999968</v>
      </c>
      <c r="L1641" s="21">
        <v>600</v>
      </c>
      <c r="M1641" s="21">
        <v>660</v>
      </c>
    </row>
    <row r="1642" spans="1:13" ht="20.100000000000001" customHeight="1" x14ac:dyDescent="0.2">
      <c r="A1642" s="106" t="s">
        <v>2707</v>
      </c>
      <c r="B1642" s="202" t="s">
        <v>193</v>
      </c>
      <c r="C1642" s="21" t="s">
        <v>1</v>
      </c>
      <c r="D1642" s="50">
        <v>1</v>
      </c>
      <c r="E1642" s="51">
        <f t="shared" si="552"/>
        <v>2.3999999999999995</v>
      </c>
      <c r="F1642" s="23">
        <f t="shared" si="557"/>
        <v>0.41666666666666674</v>
      </c>
      <c r="G1642" s="65">
        <f t="shared" si="557"/>
        <v>26.399999999999995</v>
      </c>
      <c r="H1642" s="77">
        <v>22.72727272727273</v>
      </c>
      <c r="I1642" s="71">
        <f t="shared" si="558"/>
        <v>1.1000000000000001</v>
      </c>
      <c r="J1642" s="23">
        <f t="shared" si="559"/>
        <v>0.41666666666666674</v>
      </c>
      <c r="K1642" s="65">
        <f t="shared" si="560"/>
        <v>26.399999999999995</v>
      </c>
      <c r="L1642" s="21">
        <v>600</v>
      </c>
      <c r="M1642" s="21">
        <v>660</v>
      </c>
    </row>
    <row r="1643" spans="1:13" ht="20.100000000000001" customHeight="1" x14ac:dyDescent="0.2">
      <c r="A1643" s="106" t="s">
        <v>2708</v>
      </c>
      <c r="B1643" s="202" t="s">
        <v>204</v>
      </c>
      <c r="C1643" s="21" t="s">
        <v>1</v>
      </c>
      <c r="D1643" s="50">
        <v>1</v>
      </c>
      <c r="E1643" s="51">
        <f t="shared" si="552"/>
        <v>1.9200000000000002</v>
      </c>
      <c r="F1643" s="23">
        <f t="shared" si="557"/>
        <v>0.52083333333333326</v>
      </c>
      <c r="G1643" s="65">
        <f t="shared" si="557"/>
        <v>21.12</v>
      </c>
      <c r="H1643" s="77">
        <v>28.409090909090907</v>
      </c>
      <c r="I1643" s="71">
        <f t="shared" si="558"/>
        <v>1.1000000000000001</v>
      </c>
      <c r="J1643" s="23">
        <f t="shared" si="559"/>
        <v>0.52083333333333326</v>
      </c>
      <c r="K1643" s="65">
        <f t="shared" si="560"/>
        <v>21.12</v>
      </c>
      <c r="L1643" s="21">
        <v>600</v>
      </c>
      <c r="M1643" s="21">
        <v>660</v>
      </c>
    </row>
    <row r="1644" spans="1:13" ht="20.100000000000001" customHeight="1" x14ac:dyDescent="0.2">
      <c r="A1644" s="106" t="s">
        <v>2709</v>
      </c>
      <c r="B1644" s="126" t="s">
        <v>491</v>
      </c>
      <c r="C1644" s="21" t="s">
        <v>1</v>
      </c>
      <c r="D1644" s="50">
        <v>1</v>
      </c>
      <c r="E1644" s="51">
        <f t="shared" si="552"/>
        <v>2.2799999999999998</v>
      </c>
      <c r="F1644" s="23">
        <f t="shared" si="557"/>
        <v>0.43859649122807021</v>
      </c>
      <c r="G1644" s="65">
        <f t="shared" si="557"/>
        <v>25.08</v>
      </c>
      <c r="H1644" s="77">
        <v>23.923444976076556</v>
      </c>
      <c r="I1644" s="71">
        <f t="shared" si="558"/>
        <v>1.1000000000000001</v>
      </c>
      <c r="J1644" s="23">
        <f t="shared" si="559"/>
        <v>0.43859649122807021</v>
      </c>
      <c r="K1644" s="65">
        <f t="shared" si="560"/>
        <v>25.08</v>
      </c>
      <c r="L1644" s="21">
        <v>600</v>
      </c>
      <c r="M1644" s="21">
        <v>660</v>
      </c>
    </row>
    <row r="1645" spans="1:13" ht="20.100000000000001" customHeight="1" x14ac:dyDescent="0.2">
      <c r="A1645" s="106" t="s">
        <v>2710</v>
      </c>
      <c r="B1645" s="126" t="s">
        <v>492</v>
      </c>
      <c r="C1645" s="21" t="s">
        <v>1</v>
      </c>
      <c r="D1645" s="50">
        <v>1</v>
      </c>
      <c r="E1645" s="51">
        <f t="shared" ref="E1645:E1708" si="561">G1645/11</f>
        <v>1.7999999999999994</v>
      </c>
      <c r="F1645" s="23">
        <f t="shared" si="557"/>
        <v>0.55555555555555569</v>
      </c>
      <c r="G1645" s="65">
        <f t="shared" si="557"/>
        <v>19.799999999999994</v>
      </c>
      <c r="H1645" s="77">
        <v>30.303030303030308</v>
      </c>
      <c r="I1645" s="71">
        <f t="shared" si="558"/>
        <v>1.1000000000000001</v>
      </c>
      <c r="J1645" s="23">
        <f t="shared" si="559"/>
        <v>0.55555555555555569</v>
      </c>
      <c r="K1645" s="65">
        <f t="shared" si="560"/>
        <v>19.799999999999994</v>
      </c>
      <c r="L1645" s="21">
        <v>600</v>
      </c>
      <c r="M1645" s="21">
        <v>660</v>
      </c>
    </row>
    <row r="1646" spans="1:13" ht="20.100000000000001" customHeight="1" x14ac:dyDescent="0.2">
      <c r="A1646" s="106" t="s">
        <v>2711</v>
      </c>
      <c r="B1646" s="125" t="s">
        <v>194</v>
      </c>
      <c r="C1646" s="21" t="s">
        <v>1</v>
      </c>
      <c r="D1646" s="50">
        <v>1</v>
      </c>
      <c r="E1646" s="51">
        <f t="shared" si="561"/>
        <v>1.9200000000000002</v>
      </c>
      <c r="F1646" s="23">
        <f t="shared" si="557"/>
        <v>0.52083333333333326</v>
      </c>
      <c r="G1646" s="65">
        <f t="shared" si="557"/>
        <v>21.12</v>
      </c>
      <c r="H1646" s="77">
        <v>28.409090909090907</v>
      </c>
      <c r="I1646" s="71">
        <f t="shared" si="558"/>
        <v>1.1000000000000001</v>
      </c>
      <c r="J1646" s="23">
        <f t="shared" si="559"/>
        <v>0.52083333333333326</v>
      </c>
      <c r="K1646" s="65">
        <f t="shared" si="560"/>
        <v>21.12</v>
      </c>
      <c r="L1646" s="21">
        <v>600</v>
      </c>
      <c r="M1646" s="21">
        <v>660</v>
      </c>
    </row>
    <row r="1647" spans="1:13" ht="20.100000000000001" customHeight="1" x14ac:dyDescent="0.2">
      <c r="A1647" s="106" t="s">
        <v>2712</v>
      </c>
      <c r="B1647" s="125" t="s">
        <v>205</v>
      </c>
      <c r="C1647" s="21" t="s">
        <v>1</v>
      </c>
      <c r="D1647" s="50">
        <v>1</v>
      </c>
      <c r="E1647" s="51">
        <f t="shared" si="561"/>
        <v>1.4399999999999997</v>
      </c>
      <c r="F1647" s="23">
        <f t="shared" si="557"/>
        <v>0.69444444444444453</v>
      </c>
      <c r="G1647" s="65">
        <f t="shared" si="557"/>
        <v>15.839999999999998</v>
      </c>
      <c r="H1647" s="77">
        <v>37.878787878787882</v>
      </c>
      <c r="I1647" s="71">
        <f t="shared" si="558"/>
        <v>1.1000000000000001</v>
      </c>
      <c r="J1647" s="23">
        <f t="shared" si="559"/>
        <v>0.69444444444444453</v>
      </c>
      <c r="K1647" s="65">
        <f t="shared" si="560"/>
        <v>15.839999999999998</v>
      </c>
      <c r="L1647" s="21">
        <v>600</v>
      </c>
      <c r="M1647" s="21">
        <v>660</v>
      </c>
    </row>
    <row r="1648" spans="1:13" ht="20.100000000000001" customHeight="1" x14ac:dyDescent="0.2">
      <c r="A1648" s="106" t="s">
        <v>2713</v>
      </c>
      <c r="B1648" s="126" t="s">
        <v>493</v>
      </c>
      <c r="C1648" s="21" t="s">
        <v>1</v>
      </c>
      <c r="D1648" s="50">
        <v>1</v>
      </c>
      <c r="E1648" s="51">
        <f t="shared" si="561"/>
        <v>1.7999999999999994</v>
      </c>
      <c r="F1648" s="23">
        <f t="shared" si="557"/>
        <v>0.55555555555555569</v>
      </c>
      <c r="G1648" s="65">
        <f t="shared" si="557"/>
        <v>19.799999999999994</v>
      </c>
      <c r="H1648" s="77">
        <v>30.303030303030308</v>
      </c>
      <c r="I1648" s="71">
        <f t="shared" si="558"/>
        <v>1.1000000000000001</v>
      </c>
      <c r="J1648" s="23">
        <f t="shared" si="559"/>
        <v>0.55555555555555569</v>
      </c>
      <c r="K1648" s="65">
        <f t="shared" si="560"/>
        <v>19.799999999999994</v>
      </c>
      <c r="L1648" s="21">
        <v>600</v>
      </c>
      <c r="M1648" s="21">
        <v>660</v>
      </c>
    </row>
    <row r="1649" spans="1:13" ht="20.100000000000001" customHeight="1" x14ac:dyDescent="0.2">
      <c r="A1649" s="106" t="s">
        <v>2714</v>
      </c>
      <c r="B1649" s="126" t="s">
        <v>495</v>
      </c>
      <c r="C1649" s="21" t="s">
        <v>1</v>
      </c>
      <c r="D1649" s="50">
        <v>1</v>
      </c>
      <c r="E1649" s="51">
        <f t="shared" si="561"/>
        <v>1.32</v>
      </c>
      <c r="F1649" s="23">
        <f t="shared" si="557"/>
        <v>0.75757575757575757</v>
      </c>
      <c r="G1649" s="65">
        <f t="shared" si="557"/>
        <v>14.52</v>
      </c>
      <c r="H1649" s="77">
        <v>41.322314049586772</v>
      </c>
      <c r="I1649" s="71">
        <f t="shared" si="558"/>
        <v>1.1000000000000001</v>
      </c>
      <c r="J1649" s="23">
        <f t="shared" si="559"/>
        <v>0.75757575757575757</v>
      </c>
      <c r="K1649" s="65">
        <f t="shared" si="560"/>
        <v>14.52</v>
      </c>
      <c r="L1649" s="21">
        <v>600</v>
      </c>
      <c r="M1649" s="21">
        <v>660</v>
      </c>
    </row>
    <row r="1650" spans="1:13" ht="20.100000000000001" customHeight="1" x14ac:dyDescent="0.2">
      <c r="A1650" s="106" t="s">
        <v>2715</v>
      </c>
      <c r="B1650" s="126" t="s">
        <v>496</v>
      </c>
      <c r="C1650" s="21" t="s">
        <v>1</v>
      </c>
      <c r="D1650" s="50">
        <v>1</v>
      </c>
      <c r="E1650" s="51">
        <f t="shared" si="561"/>
        <v>1.68</v>
      </c>
      <c r="F1650" s="23">
        <f t="shared" si="557"/>
        <v>0.59523809523809523</v>
      </c>
      <c r="G1650" s="65">
        <f t="shared" si="557"/>
        <v>18.48</v>
      </c>
      <c r="H1650" s="77">
        <v>32.467532467532465</v>
      </c>
      <c r="I1650" s="71">
        <f t="shared" si="558"/>
        <v>1.1000000000000001</v>
      </c>
      <c r="J1650" s="23">
        <f t="shared" si="559"/>
        <v>0.59523809523809523</v>
      </c>
      <c r="K1650" s="65">
        <f t="shared" si="560"/>
        <v>18.48</v>
      </c>
      <c r="L1650" s="21">
        <v>600</v>
      </c>
      <c r="M1650" s="21">
        <v>660</v>
      </c>
    </row>
    <row r="1651" spans="1:13" ht="20.100000000000001" customHeight="1" x14ac:dyDescent="0.2">
      <c r="A1651" s="106" t="s">
        <v>2716</v>
      </c>
      <c r="B1651" s="126" t="s">
        <v>498</v>
      </c>
      <c r="C1651" s="21" t="s">
        <v>1</v>
      </c>
      <c r="D1651" s="50">
        <v>1</v>
      </c>
      <c r="E1651" s="51">
        <f t="shared" si="561"/>
        <v>1.32</v>
      </c>
      <c r="F1651" s="23">
        <f t="shared" si="557"/>
        <v>0.75757575757575757</v>
      </c>
      <c r="G1651" s="65">
        <f t="shared" si="557"/>
        <v>14.52</v>
      </c>
      <c r="H1651" s="77">
        <v>41.322314049586772</v>
      </c>
      <c r="I1651" s="71">
        <f t="shared" si="558"/>
        <v>1.1000000000000001</v>
      </c>
      <c r="J1651" s="23">
        <f t="shared" si="559"/>
        <v>0.75757575757575757</v>
      </c>
      <c r="K1651" s="65">
        <f t="shared" si="560"/>
        <v>14.52</v>
      </c>
      <c r="L1651" s="21">
        <v>600</v>
      </c>
      <c r="M1651" s="21">
        <v>660</v>
      </c>
    </row>
    <row r="1652" spans="1:13" ht="20.100000000000001" customHeight="1" x14ac:dyDescent="0.2">
      <c r="A1652" s="106" t="s">
        <v>2717</v>
      </c>
      <c r="B1652" s="126" t="s">
        <v>499</v>
      </c>
      <c r="C1652" s="21" t="s">
        <v>1</v>
      </c>
      <c r="D1652" s="50">
        <v>1</v>
      </c>
      <c r="E1652" s="51">
        <f t="shared" si="561"/>
        <v>1.56</v>
      </c>
      <c r="F1652" s="23">
        <f t="shared" si="557"/>
        <v>0.64102564102564097</v>
      </c>
      <c r="G1652" s="65">
        <f t="shared" si="557"/>
        <v>17.16</v>
      </c>
      <c r="H1652" s="77">
        <v>34.96503496503496</v>
      </c>
      <c r="I1652" s="71">
        <f t="shared" si="558"/>
        <v>1.1000000000000001</v>
      </c>
      <c r="J1652" s="23">
        <f t="shared" si="559"/>
        <v>0.64102564102564097</v>
      </c>
      <c r="K1652" s="65">
        <f t="shared" si="560"/>
        <v>17.16</v>
      </c>
      <c r="L1652" s="21">
        <v>600</v>
      </c>
      <c r="M1652" s="21">
        <v>660</v>
      </c>
    </row>
    <row r="1653" spans="1:13" ht="20.100000000000001" customHeight="1" x14ac:dyDescent="0.2">
      <c r="A1653" s="106" t="s">
        <v>2718</v>
      </c>
      <c r="B1653" s="126" t="s">
        <v>497</v>
      </c>
      <c r="C1653" s="21" t="s">
        <v>1</v>
      </c>
      <c r="D1653" s="50">
        <v>1</v>
      </c>
      <c r="E1653" s="51">
        <f t="shared" si="561"/>
        <v>1.1999999999999997</v>
      </c>
      <c r="F1653" s="23">
        <f t="shared" si="557"/>
        <v>0.83333333333333348</v>
      </c>
      <c r="G1653" s="65">
        <f t="shared" si="557"/>
        <v>13.199999999999998</v>
      </c>
      <c r="H1653" s="77">
        <v>45.45454545454546</v>
      </c>
      <c r="I1653" s="71">
        <f t="shared" si="558"/>
        <v>1.1000000000000001</v>
      </c>
      <c r="J1653" s="23">
        <f t="shared" si="559"/>
        <v>0.83333333333333348</v>
      </c>
      <c r="K1653" s="65">
        <f t="shared" si="560"/>
        <v>13.199999999999998</v>
      </c>
      <c r="L1653" s="21">
        <v>600</v>
      </c>
      <c r="M1653" s="21">
        <v>660</v>
      </c>
    </row>
    <row r="1654" spans="1:13" ht="20.100000000000001" customHeight="1" x14ac:dyDescent="0.2">
      <c r="A1654" s="106" t="s">
        <v>2719</v>
      </c>
      <c r="B1654" s="126" t="s">
        <v>195</v>
      </c>
      <c r="C1654" s="21" t="s">
        <v>1</v>
      </c>
      <c r="D1654" s="50">
        <v>1</v>
      </c>
      <c r="E1654" s="51">
        <f t="shared" si="561"/>
        <v>2.8799999999999994</v>
      </c>
      <c r="F1654" s="23">
        <f t="shared" si="557"/>
        <v>0.34722222222222227</v>
      </c>
      <c r="G1654" s="65">
        <f t="shared" si="557"/>
        <v>31.679999999999996</v>
      </c>
      <c r="H1654" s="77">
        <v>18.939393939393941</v>
      </c>
      <c r="I1654" s="71">
        <f t="shared" si="558"/>
        <v>1.1000000000000001</v>
      </c>
      <c r="J1654" s="23">
        <f t="shared" si="559"/>
        <v>0.34722222222222227</v>
      </c>
      <c r="K1654" s="65">
        <f t="shared" si="560"/>
        <v>31.679999999999996</v>
      </c>
      <c r="L1654" s="21">
        <v>600</v>
      </c>
      <c r="M1654" s="21">
        <v>660</v>
      </c>
    </row>
    <row r="1655" spans="1:13" ht="20.100000000000001" customHeight="1" x14ac:dyDescent="0.2">
      <c r="A1655" s="106" t="s">
        <v>2720</v>
      </c>
      <c r="B1655" s="126" t="s">
        <v>206</v>
      </c>
      <c r="C1655" s="21" t="s">
        <v>1</v>
      </c>
      <c r="D1655" s="50">
        <v>1</v>
      </c>
      <c r="E1655" s="51">
        <f t="shared" si="561"/>
        <v>2.3999999999999995</v>
      </c>
      <c r="F1655" s="23">
        <f t="shared" si="557"/>
        <v>0.41666666666666674</v>
      </c>
      <c r="G1655" s="65">
        <f t="shared" si="557"/>
        <v>26.399999999999995</v>
      </c>
      <c r="H1655" s="77">
        <v>22.72727272727273</v>
      </c>
      <c r="I1655" s="71">
        <f t="shared" si="558"/>
        <v>1.1000000000000001</v>
      </c>
      <c r="J1655" s="23">
        <f t="shared" si="559"/>
        <v>0.41666666666666674</v>
      </c>
      <c r="K1655" s="65">
        <f t="shared" si="560"/>
        <v>26.399999999999995</v>
      </c>
      <c r="L1655" s="21">
        <v>600</v>
      </c>
      <c r="M1655" s="21">
        <v>660</v>
      </c>
    </row>
    <row r="1656" spans="1:13" ht="20.100000000000001" customHeight="1" x14ac:dyDescent="0.2">
      <c r="A1656" s="106" t="s">
        <v>2721</v>
      </c>
      <c r="B1656" s="126" t="s">
        <v>500</v>
      </c>
      <c r="C1656" s="21" t="s">
        <v>1</v>
      </c>
      <c r="D1656" s="50">
        <v>1</v>
      </c>
      <c r="E1656" s="51">
        <f t="shared" si="561"/>
        <v>2.76</v>
      </c>
      <c r="F1656" s="23">
        <f t="shared" si="557"/>
        <v>0.36231884057971014</v>
      </c>
      <c r="G1656" s="65">
        <f t="shared" si="557"/>
        <v>30.36</v>
      </c>
      <c r="H1656" s="77">
        <v>19.762845849802371</v>
      </c>
      <c r="I1656" s="71">
        <f t="shared" si="558"/>
        <v>1.1000000000000001</v>
      </c>
      <c r="J1656" s="23">
        <f t="shared" si="559"/>
        <v>0.36231884057971014</v>
      </c>
      <c r="K1656" s="65">
        <f t="shared" si="560"/>
        <v>30.36</v>
      </c>
      <c r="L1656" s="21">
        <v>600</v>
      </c>
      <c r="M1656" s="21">
        <v>660</v>
      </c>
    </row>
    <row r="1657" spans="1:13" ht="20.100000000000001" customHeight="1" x14ac:dyDescent="0.2">
      <c r="A1657" s="106" t="s">
        <v>2722</v>
      </c>
      <c r="B1657" s="126" t="s">
        <v>494</v>
      </c>
      <c r="C1657" s="21" t="s">
        <v>1</v>
      </c>
      <c r="D1657" s="50">
        <v>1</v>
      </c>
      <c r="E1657" s="51">
        <f t="shared" si="561"/>
        <v>2.2799999999999998</v>
      </c>
      <c r="F1657" s="23">
        <f t="shared" si="557"/>
        <v>0.43859649122807021</v>
      </c>
      <c r="G1657" s="65">
        <f t="shared" si="557"/>
        <v>25.08</v>
      </c>
      <c r="H1657" s="77">
        <v>23.923444976076556</v>
      </c>
      <c r="I1657" s="71">
        <f t="shared" si="558"/>
        <v>1.1000000000000001</v>
      </c>
      <c r="J1657" s="23">
        <f t="shared" si="559"/>
        <v>0.43859649122807021</v>
      </c>
      <c r="K1657" s="65">
        <f t="shared" si="560"/>
        <v>25.08</v>
      </c>
      <c r="L1657" s="21">
        <v>600</v>
      </c>
      <c r="M1657" s="21">
        <v>660</v>
      </c>
    </row>
    <row r="1658" spans="1:13" ht="20.100000000000001" customHeight="1" x14ac:dyDescent="0.2">
      <c r="A1658" s="106" t="s">
        <v>2723</v>
      </c>
      <c r="B1658" s="125" t="s">
        <v>196</v>
      </c>
      <c r="C1658" s="21" t="s">
        <v>1</v>
      </c>
      <c r="D1658" s="50">
        <v>1</v>
      </c>
      <c r="E1658" s="51">
        <f t="shared" si="561"/>
        <v>2.2799999999999998</v>
      </c>
      <c r="F1658" s="23">
        <f t="shared" si="557"/>
        <v>0.43859649122807021</v>
      </c>
      <c r="G1658" s="65">
        <f t="shared" si="557"/>
        <v>25.08</v>
      </c>
      <c r="H1658" s="77">
        <v>23.923444976076556</v>
      </c>
      <c r="I1658" s="71">
        <f t="shared" si="558"/>
        <v>1.1000000000000001</v>
      </c>
      <c r="J1658" s="23">
        <f t="shared" si="559"/>
        <v>0.43859649122807021</v>
      </c>
      <c r="K1658" s="65">
        <f t="shared" si="560"/>
        <v>25.08</v>
      </c>
      <c r="L1658" s="21">
        <v>600</v>
      </c>
      <c r="M1658" s="21">
        <v>660</v>
      </c>
    </row>
    <row r="1659" spans="1:13" ht="20.100000000000001" customHeight="1" x14ac:dyDescent="0.2">
      <c r="A1659" s="106" t="s">
        <v>2724</v>
      </c>
      <c r="B1659" s="125" t="s">
        <v>207</v>
      </c>
      <c r="C1659" s="21" t="s">
        <v>1</v>
      </c>
      <c r="D1659" s="50">
        <v>1</v>
      </c>
      <c r="E1659" s="51">
        <f t="shared" si="561"/>
        <v>1.7999999999999994</v>
      </c>
      <c r="F1659" s="23">
        <f t="shared" si="557"/>
        <v>0.55555555555555569</v>
      </c>
      <c r="G1659" s="65">
        <f t="shared" si="557"/>
        <v>19.799999999999994</v>
      </c>
      <c r="H1659" s="77">
        <v>30.303030303030308</v>
      </c>
      <c r="I1659" s="71">
        <f t="shared" si="558"/>
        <v>1.1000000000000001</v>
      </c>
      <c r="J1659" s="23">
        <f t="shared" si="559"/>
        <v>0.55555555555555569</v>
      </c>
      <c r="K1659" s="65">
        <f t="shared" si="560"/>
        <v>19.799999999999994</v>
      </c>
      <c r="L1659" s="21">
        <v>600</v>
      </c>
      <c r="M1659" s="21">
        <v>660</v>
      </c>
    </row>
    <row r="1660" spans="1:13" ht="20.100000000000001" customHeight="1" x14ac:dyDescent="0.2">
      <c r="A1660" s="106" t="s">
        <v>2725</v>
      </c>
      <c r="B1660" s="126" t="s">
        <v>501</v>
      </c>
      <c r="C1660" s="21" t="s">
        <v>1</v>
      </c>
      <c r="D1660" s="50">
        <v>1</v>
      </c>
      <c r="E1660" s="51">
        <f t="shared" si="561"/>
        <v>2.1599999999999997</v>
      </c>
      <c r="F1660" s="23">
        <f t="shared" si="557"/>
        <v>0.46296296296296302</v>
      </c>
      <c r="G1660" s="65">
        <f t="shared" si="557"/>
        <v>23.759999999999998</v>
      </c>
      <c r="H1660" s="77">
        <v>25.252525252525253</v>
      </c>
      <c r="I1660" s="71">
        <f t="shared" si="558"/>
        <v>1.1000000000000001</v>
      </c>
      <c r="J1660" s="23">
        <f t="shared" si="559"/>
        <v>0.46296296296296302</v>
      </c>
      <c r="K1660" s="65">
        <f t="shared" si="560"/>
        <v>23.759999999999998</v>
      </c>
      <c r="L1660" s="21">
        <v>600</v>
      </c>
      <c r="M1660" s="21">
        <v>660</v>
      </c>
    </row>
    <row r="1661" spans="1:13" ht="20.100000000000001" customHeight="1" x14ac:dyDescent="0.2">
      <c r="A1661" s="106" t="s">
        <v>2726</v>
      </c>
      <c r="B1661" s="126" t="s">
        <v>502</v>
      </c>
      <c r="C1661" s="21" t="s">
        <v>1</v>
      </c>
      <c r="D1661" s="50">
        <v>1</v>
      </c>
      <c r="E1661" s="51">
        <f t="shared" si="561"/>
        <v>1.68</v>
      </c>
      <c r="F1661" s="23">
        <f t="shared" si="557"/>
        <v>0.59523809523809523</v>
      </c>
      <c r="G1661" s="65">
        <f t="shared" si="557"/>
        <v>18.48</v>
      </c>
      <c r="H1661" s="77">
        <v>32.467532467532465</v>
      </c>
      <c r="I1661" s="71">
        <f t="shared" si="558"/>
        <v>1.1000000000000001</v>
      </c>
      <c r="J1661" s="23">
        <f t="shared" si="559"/>
        <v>0.59523809523809523</v>
      </c>
      <c r="K1661" s="65">
        <f t="shared" si="560"/>
        <v>18.48</v>
      </c>
      <c r="L1661" s="21">
        <v>600</v>
      </c>
      <c r="M1661" s="21">
        <v>660</v>
      </c>
    </row>
    <row r="1662" spans="1:13" ht="20.100000000000001" customHeight="1" x14ac:dyDescent="0.2">
      <c r="A1662" s="106" t="s">
        <v>2727</v>
      </c>
      <c r="B1662" s="125" t="s">
        <v>197</v>
      </c>
      <c r="C1662" s="21" t="s">
        <v>1</v>
      </c>
      <c r="D1662" s="50">
        <v>1</v>
      </c>
      <c r="E1662" s="51">
        <f t="shared" si="561"/>
        <v>2.04</v>
      </c>
      <c r="F1662" s="23">
        <f t="shared" si="557"/>
        <v>0.49019607843137253</v>
      </c>
      <c r="G1662" s="65">
        <f t="shared" si="557"/>
        <v>22.44</v>
      </c>
      <c r="H1662" s="77">
        <v>26.737967914438499</v>
      </c>
      <c r="I1662" s="71">
        <f t="shared" si="558"/>
        <v>1.1000000000000001</v>
      </c>
      <c r="J1662" s="23">
        <f t="shared" si="559"/>
        <v>0.49019607843137253</v>
      </c>
      <c r="K1662" s="65">
        <f t="shared" si="560"/>
        <v>22.44</v>
      </c>
      <c r="L1662" s="21">
        <v>600</v>
      </c>
      <c r="M1662" s="21">
        <v>660</v>
      </c>
    </row>
    <row r="1663" spans="1:13" ht="20.100000000000001" customHeight="1" x14ac:dyDescent="0.2">
      <c r="A1663" s="106" t="s">
        <v>2728</v>
      </c>
      <c r="B1663" s="125" t="s">
        <v>208</v>
      </c>
      <c r="C1663" s="21" t="s">
        <v>1</v>
      </c>
      <c r="D1663" s="50">
        <v>1</v>
      </c>
      <c r="E1663" s="51">
        <f t="shared" si="561"/>
        <v>1.68</v>
      </c>
      <c r="F1663" s="23">
        <f t="shared" si="557"/>
        <v>0.59523809523809523</v>
      </c>
      <c r="G1663" s="65">
        <f t="shared" si="557"/>
        <v>18.48</v>
      </c>
      <c r="H1663" s="77">
        <v>32.467532467532465</v>
      </c>
      <c r="I1663" s="71">
        <f t="shared" si="558"/>
        <v>1.1000000000000001</v>
      </c>
      <c r="J1663" s="23">
        <f t="shared" si="559"/>
        <v>0.59523809523809523</v>
      </c>
      <c r="K1663" s="65">
        <f t="shared" si="560"/>
        <v>18.48</v>
      </c>
      <c r="L1663" s="21">
        <v>600</v>
      </c>
      <c r="M1663" s="21">
        <v>660</v>
      </c>
    </row>
    <row r="1664" spans="1:13" ht="20.100000000000001" customHeight="1" x14ac:dyDescent="0.2">
      <c r="A1664" s="106" t="s">
        <v>2729</v>
      </c>
      <c r="B1664" s="126" t="s">
        <v>198</v>
      </c>
      <c r="C1664" s="21" t="s">
        <v>1</v>
      </c>
      <c r="D1664" s="50">
        <v>1</v>
      </c>
      <c r="E1664" s="51">
        <f t="shared" si="561"/>
        <v>1.9200000000000002</v>
      </c>
      <c r="F1664" s="23">
        <f t="shared" si="557"/>
        <v>0.52083333333333326</v>
      </c>
      <c r="G1664" s="65">
        <f t="shared" si="557"/>
        <v>21.12</v>
      </c>
      <c r="H1664" s="77">
        <v>28.409090909090907</v>
      </c>
      <c r="I1664" s="71">
        <f t="shared" si="558"/>
        <v>1.1000000000000001</v>
      </c>
      <c r="J1664" s="23">
        <f t="shared" si="559"/>
        <v>0.52083333333333326</v>
      </c>
      <c r="K1664" s="65">
        <f t="shared" si="560"/>
        <v>21.12</v>
      </c>
      <c r="L1664" s="21">
        <v>600</v>
      </c>
      <c r="M1664" s="21">
        <v>660</v>
      </c>
    </row>
    <row r="1665" spans="1:13" ht="20.100000000000001" customHeight="1" x14ac:dyDescent="0.2">
      <c r="A1665" s="106" t="s">
        <v>2730</v>
      </c>
      <c r="B1665" s="126" t="s">
        <v>209</v>
      </c>
      <c r="C1665" s="21" t="s">
        <v>1</v>
      </c>
      <c r="D1665" s="50">
        <v>1</v>
      </c>
      <c r="E1665" s="51">
        <f t="shared" si="561"/>
        <v>1.56</v>
      </c>
      <c r="F1665" s="23">
        <f t="shared" si="557"/>
        <v>0.64102564102564097</v>
      </c>
      <c r="G1665" s="65">
        <f t="shared" si="557"/>
        <v>17.16</v>
      </c>
      <c r="H1665" s="77">
        <v>34.96503496503496</v>
      </c>
      <c r="I1665" s="71">
        <f t="shared" si="558"/>
        <v>1.1000000000000001</v>
      </c>
      <c r="J1665" s="23">
        <f t="shared" si="559"/>
        <v>0.64102564102564097</v>
      </c>
      <c r="K1665" s="65">
        <f t="shared" si="560"/>
        <v>17.16</v>
      </c>
      <c r="L1665" s="21">
        <v>600</v>
      </c>
      <c r="M1665" s="21">
        <v>660</v>
      </c>
    </row>
    <row r="1666" spans="1:13" ht="20.100000000000001" customHeight="1" x14ac:dyDescent="0.2">
      <c r="A1666" s="106" t="s">
        <v>2731</v>
      </c>
      <c r="B1666" s="126" t="s">
        <v>137</v>
      </c>
      <c r="C1666" s="21" t="s">
        <v>1</v>
      </c>
      <c r="D1666" s="50">
        <v>1</v>
      </c>
      <c r="E1666" s="51">
        <f t="shared" si="561"/>
        <v>1.32</v>
      </c>
      <c r="F1666" s="23">
        <f t="shared" si="557"/>
        <v>0.75757575757575757</v>
      </c>
      <c r="G1666" s="65">
        <f t="shared" si="557"/>
        <v>14.52</v>
      </c>
      <c r="H1666" s="77">
        <v>41.322314049586772</v>
      </c>
      <c r="I1666" s="71">
        <f t="shared" si="558"/>
        <v>1.1000000000000001</v>
      </c>
      <c r="J1666" s="23">
        <f t="shared" si="559"/>
        <v>0.75757575757575757</v>
      </c>
      <c r="K1666" s="65">
        <f t="shared" si="560"/>
        <v>14.52</v>
      </c>
      <c r="L1666" s="21">
        <v>600</v>
      </c>
      <c r="M1666" s="21">
        <v>660</v>
      </c>
    </row>
    <row r="1667" spans="1:13" ht="20.100000000000001" customHeight="1" x14ac:dyDescent="0.2">
      <c r="A1667" s="106" t="s">
        <v>2732</v>
      </c>
      <c r="B1667" s="126" t="s">
        <v>181</v>
      </c>
      <c r="C1667" s="21" t="s">
        <v>1</v>
      </c>
      <c r="D1667" s="50">
        <v>1</v>
      </c>
      <c r="E1667" s="51">
        <f t="shared" si="561"/>
        <v>0.96000000000000008</v>
      </c>
      <c r="F1667" s="23">
        <f t="shared" si="557"/>
        <v>1.0416666666666665</v>
      </c>
      <c r="G1667" s="65">
        <f t="shared" si="557"/>
        <v>10.56</v>
      </c>
      <c r="H1667" s="77">
        <v>56.818181818181813</v>
      </c>
      <c r="I1667" s="71">
        <f t="shared" si="558"/>
        <v>1.1000000000000001</v>
      </c>
      <c r="J1667" s="23">
        <f t="shared" si="559"/>
        <v>1.0416666666666665</v>
      </c>
      <c r="K1667" s="65">
        <f t="shared" si="560"/>
        <v>10.56</v>
      </c>
      <c r="L1667" s="21">
        <v>600</v>
      </c>
      <c r="M1667" s="21">
        <v>660</v>
      </c>
    </row>
    <row r="1668" spans="1:13" ht="20.100000000000001" customHeight="1" x14ac:dyDescent="0.2">
      <c r="A1668" s="106" t="s">
        <v>2733</v>
      </c>
      <c r="B1668" s="126" t="s">
        <v>138</v>
      </c>
      <c r="C1668" s="21" t="s">
        <v>1</v>
      </c>
      <c r="D1668" s="50">
        <v>1</v>
      </c>
      <c r="E1668" s="51">
        <f t="shared" si="561"/>
        <v>1.1999999999999997</v>
      </c>
      <c r="F1668" s="23">
        <f t="shared" si="557"/>
        <v>0.83333333333333348</v>
      </c>
      <c r="G1668" s="65">
        <f t="shared" si="557"/>
        <v>13.199999999999998</v>
      </c>
      <c r="H1668" s="77">
        <v>45.45454545454546</v>
      </c>
      <c r="I1668" s="71">
        <f t="shared" si="558"/>
        <v>1.1000000000000001</v>
      </c>
      <c r="J1668" s="23">
        <f t="shared" si="559"/>
        <v>0.83333333333333348</v>
      </c>
      <c r="K1668" s="65">
        <f t="shared" si="560"/>
        <v>13.199999999999998</v>
      </c>
      <c r="L1668" s="21">
        <v>600</v>
      </c>
      <c r="M1668" s="21">
        <v>660</v>
      </c>
    </row>
    <row r="1669" spans="1:13" ht="20.100000000000001" customHeight="1" x14ac:dyDescent="0.2">
      <c r="A1669" s="106" t="s">
        <v>2734</v>
      </c>
      <c r="B1669" s="126" t="s">
        <v>182</v>
      </c>
      <c r="C1669" s="21" t="s">
        <v>1</v>
      </c>
      <c r="D1669" s="50">
        <v>1</v>
      </c>
      <c r="E1669" s="51">
        <f t="shared" si="561"/>
        <v>0.84</v>
      </c>
      <c r="F1669" s="23">
        <f t="shared" si="557"/>
        <v>1.1904761904761905</v>
      </c>
      <c r="G1669" s="65">
        <f t="shared" si="557"/>
        <v>9.24</v>
      </c>
      <c r="H1669" s="77">
        <v>64.935064935064929</v>
      </c>
      <c r="I1669" s="71">
        <f t="shared" si="558"/>
        <v>1.1000000000000001</v>
      </c>
      <c r="J1669" s="23">
        <f t="shared" si="559"/>
        <v>1.1904761904761905</v>
      </c>
      <c r="K1669" s="65">
        <f t="shared" si="560"/>
        <v>9.24</v>
      </c>
      <c r="L1669" s="21">
        <v>600</v>
      </c>
      <c r="M1669" s="21">
        <v>660</v>
      </c>
    </row>
    <row r="1670" spans="1:13" ht="20.100000000000001" customHeight="1" x14ac:dyDescent="0.2">
      <c r="A1670" s="106" t="s">
        <v>2735</v>
      </c>
      <c r="B1670" s="126" t="s">
        <v>133</v>
      </c>
      <c r="C1670" s="21" t="s">
        <v>1</v>
      </c>
      <c r="D1670" s="50">
        <v>1</v>
      </c>
      <c r="E1670" s="51">
        <f t="shared" si="561"/>
        <v>0.96000000000000008</v>
      </c>
      <c r="F1670" s="23">
        <f t="shared" si="557"/>
        <v>1.0416666666666665</v>
      </c>
      <c r="G1670" s="65">
        <f t="shared" si="557"/>
        <v>10.56</v>
      </c>
      <c r="H1670" s="77">
        <v>56.818181818181813</v>
      </c>
      <c r="I1670" s="71">
        <f t="shared" si="558"/>
        <v>1.1000000000000001</v>
      </c>
      <c r="J1670" s="23">
        <f t="shared" si="559"/>
        <v>1.0416666666666665</v>
      </c>
      <c r="K1670" s="65">
        <f t="shared" si="560"/>
        <v>10.56</v>
      </c>
      <c r="L1670" s="21">
        <v>600</v>
      </c>
      <c r="M1670" s="21">
        <v>660</v>
      </c>
    </row>
    <row r="1671" spans="1:13" ht="20.100000000000001" customHeight="1" x14ac:dyDescent="0.2">
      <c r="A1671" s="106" t="s">
        <v>2736</v>
      </c>
      <c r="B1671" s="126" t="s">
        <v>183</v>
      </c>
      <c r="C1671" s="21" t="s">
        <v>1</v>
      </c>
      <c r="D1671" s="50">
        <v>1</v>
      </c>
      <c r="E1671" s="51">
        <f t="shared" si="561"/>
        <v>0.71999999999999986</v>
      </c>
      <c r="F1671" s="23">
        <f t="shared" si="557"/>
        <v>1.3888888888888891</v>
      </c>
      <c r="G1671" s="65">
        <f t="shared" si="557"/>
        <v>7.919999999999999</v>
      </c>
      <c r="H1671" s="77">
        <v>75.757575757575765</v>
      </c>
      <c r="I1671" s="71">
        <f t="shared" si="558"/>
        <v>1.1000000000000001</v>
      </c>
      <c r="J1671" s="23">
        <f t="shared" si="559"/>
        <v>1.3888888888888891</v>
      </c>
      <c r="K1671" s="65">
        <f t="shared" si="560"/>
        <v>7.919999999999999</v>
      </c>
      <c r="L1671" s="21">
        <v>600</v>
      </c>
      <c r="M1671" s="21">
        <v>660</v>
      </c>
    </row>
    <row r="1672" spans="1:13" ht="20.100000000000001" customHeight="1" x14ac:dyDescent="0.2">
      <c r="A1672" s="106" t="s">
        <v>2737</v>
      </c>
      <c r="B1672" s="126" t="s">
        <v>135</v>
      </c>
      <c r="C1672" s="21" t="s">
        <v>1</v>
      </c>
      <c r="D1672" s="50">
        <v>1</v>
      </c>
      <c r="E1672" s="51">
        <f t="shared" si="561"/>
        <v>0.84</v>
      </c>
      <c r="F1672" s="23">
        <f t="shared" si="557"/>
        <v>1.1904761904761905</v>
      </c>
      <c r="G1672" s="65">
        <f t="shared" si="557"/>
        <v>9.24</v>
      </c>
      <c r="H1672" s="77">
        <v>64.935064935064929</v>
      </c>
      <c r="I1672" s="71">
        <f t="shared" si="558"/>
        <v>1.1000000000000001</v>
      </c>
      <c r="J1672" s="23">
        <f t="shared" si="559"/>
        <v>1.1904761904761905</v>
      </c>
      <c r="K1672" s="65">
        <f t="shared" si="560"/>
        <v>9.24</v>
      </c>
      <c r="L1672" s="21">
        <v>600</v>
      </c>
      <c r="M1672" s="21">
        <v>660</v>
      </c>
    </row>
    <row r="1673" spans="1:13" ht="20.100000000000001" customHeight="1" x14ac:dyDescent="0.2">
      <c r="A1673" s="106" t="s">
        <v>2738</v>
      </c>
      <c r="B1673" s="126" t="s">
        <v>184</v>
      </c>
      <c r="C1673" s="21" t="s">
        <v>1</v>
      </c>
      <c r="D1673" s="50">
        <v>1</v>
      </c>
      <c r="E1673" s="51">
        <f t="shared" si="561"/>
        <v>0.59999999999999987</v>
      </c>
      <c r="F1673" s="23">
        <f t="shared" si="557"/>
        <v>1.666666666666667</v>
      </c>
      <c r="G1673" s="65">
        <f t="shared" si="557"/>
        <v>6.5999999999999988</v>
      </c>
      <c r="H1673" s="77">
        <v>90.909090909090921</v>
      </c>
      <c r="I1673" s="71">
        <f t="shared" si="558"/>
        <v>1.1000000000000001</v>
      </c>
      <c r="J1673" s="23">
        <f t="shared" si="559"/>
        <v>1.666666666666667</v>
      </c>
      <c r="K1673" s="65">
        <f t="shared" si="560"/>
        <v>6.5999999999999988</v>
      </c>
      <c r="L1673" s="21">
        <v>600</v>
      </c>
      <c r="M1673" s="21">
        <v>660</v>
      </c>
    </row>
    <row r="1674" spans="1:13" ht="20.100000000000001" customHeight="1" x14ac:dyDescent="0.2">
      <c r="A1674" s="106" t="s">
        <v>2739</v>
      </c>
      <c r="B1674" s="126" t="s">
        <v>134</v>
      </c>
      <c r="C1674" s="21" t="s">
        <v>1</v>
      </c>
      <c r="D1674" s="50">
        <v>1</v>
      </c>
      <c r="E1674" s="51">
        <f t="shared" si="561"/>
        <v>0.71999999999999986</v>
      </c>
      <c r="F1674" s="23">
        <f t="shared" si="557"/>
        <v>1.3888888888888891</v>
      </c>
      <c r="G1674" s="65">
        <f t="shared" si="557"/>
        <v>7.919999999999999</v>
      </c>
      <c r="H1674" s="77">
        <v>75.757575757575765</v>
      </c>
      <c r="I1674" s="71">
        <f t="shared" si="558"/>
        <v>1.1000000000000001</v>
      </c>
      <c r="J1674" s="23">
        <f t="shared" si="559"/>
        <v>1.3888888888888891</v>
      </c>
      <c r="K1674" s="65">
        <f t="shared" si="560"/>
        <v>7.919999999999999</v>
      </c>
      <c r="L1674" s="21">
        <v>600</v>
      </c>
      <c r="M1674" s="21">
        <v>660</v>
      </c>
    </row>
    <row r="1675" spans="1:13" ht="20.100000000000001" customHeight="1" x14ac:dyDescent="0.2">
      <c r="A1675" s="106" t="s">
        <v>2740</v>
      </c>
      <c r="B1675" s="126" t="s">
        <v>186</v>
      </c>
      <c r="C1675" s="21" t="s">
        <v>1</v>
      </c>
      <c r="D1675" s="50">
        <v>1</v>
      </c>
      <c r="E1675" s="51">
        <f t="shared" si="561"/>
        <v>0.55199999999999994</v>
      </c>
      <c r="F1675" s="23">
        <f t="shared" si="557"/>
        <v>1.811594202898551</v>
      </c>
      <c r="G1675" s="65">
        <f t="shared" si="557"/>
        <v>6.0719999999999992</v>
      </c>
      <c r="H1675" s="77">
        <v>98.814229249011859</v>
      </c>
      <c r="I1675" s="71">
        <f t="shared" si="558"/>
        <v>1.1000000000000001</v>
      </c>
      <c r="J1675" s="23">
        <f t="shared" si="559"/>
        <v>1.811594202898551</v>
      </c>
      <c r="K1675" s="65">
        <f t="shared" si="560"/>
        <v>6.0719999999999992</v>
      </c>
      <c r="L1675" s="21">
        <v>600</v>
      </c>
      <c r="M1675" s="21">
        <v>660</v>
      </c>
    </row>
    <row r="1676" spans="1:13" ht="20.100000000000001" customHeight="1" x14ac:dyDescent="0.2">
      <c r="A1676" s="106" t="s">
        <v>2741</v>
      </c>
      <c r="B1676" s="126" t="s">
        <v>136</v>
      </c>
      <c r="C1676" s="21" t="s">
        <v>1</v>
      </c>
      <c r="D1676" s="50">
        <v>1</v>
      </c>
      <c r="E1676" s="51">
        <f t="shared" si="561"/>
        <v>0.59999999999999987</v>
      </c>
      <c r="F1676" s="23">
        <f t="shared" si="557"/>
        <v>1.666666666666667</v>
      </c>
      <c r="G1676" s="65">
        <f t="shared" si="557"/>
        <v>6.5999999999999988</v>
      </c>
      <c r="H1676" s="77">
        <v>90.909090909090921</v>
      </c>
      <c r="I1676" s="71">
        <f t="shared" si="558"/>
        <v>1.1000000000000001</v>
      </c>
      <c r="J1676" s="23">
        <f t="shared" si="559"/>
        <v>1.666666666666667</v>
      </c>
      <c r="K1676" s="65">
        <f t="shared" si="560"/>
        <v>6.5999999999999988</v>
      </c>
      <c r="L1676" s="21">
        <v>600</v>
      </c>
      <c r="M1676" s="21">
        <v>660</v>
      </c>
    </row>
    <row r="1677" spans="1:13" ht="20.100000000000001" customHeight="1" x14ac:dyDescent="0.2">
      <c r="A1677" s="106" t="s">
        <v>2742</v>
      </c>
      <c r="B1677" s="126" t="s">
        <v>185</v>
      </c>
      <c r="C1677" s="21" t="s">
        <v>1</v>
      </c>
      <c r="D1677" s="50">
        <v>1</v>
      </c>
      <c r="E1677" s="51">
        <f t="shared" si="561"/>
        <v>0.45599999999999991</v>
      </c>
      <c r="F1677" s="23">
        <f t="shared" si="557"/>
        <v>2.1929824561403515</v>
      </c>
      <c r="G1677" s="65">
        <f t="shared" si="557"/>
        <v>5.0159999999999991</v>
      </c>
      <c r="H1677" s="77">
        <v>119.61722488038279</v>
      </c>
      <c r="I1677" s="71">
        <f t="shared" si="558"/>
        <v>1.1000000000000001</v>
      </c>
      <c r="J1677" s="23">
        <f t="shared" si="559"/>
        <v>2.1929824561403515</v>
      </c>
      <c r="K1677" s="65">
        <f t="shared" si="560"/>
        <v>5.0159999999999991</v>
      </c>
      <c r="L1677" s="21">
        <v>600</v>
      </c>
      <c r="M1677" s="21">
        <v>660</v>
      </c>
    </row>
    <row r="1678" spans="1:13" ht="20.100000000000001" customHeight="1" x14ac:dyDescent="0.2">
      <c r="A1678" s="106" t="s">
        <v>2743</v>
      </c>
      <c r="B1678" s="125" t="s">
        <v>46</v>
      </c>
      <c r="C1678" s="21" t="s">
        <v>1</v>
      </c>
      <c r="D1678" s="50">
        <v>1</v>
      </c>
      <c r="E1678" s="51">
        <f t="shared" si="561"/>
        <v>74.88000000000001</v>
      </c>
      <c r="F1678" s="23">
        <f t="shared" si="557"/>
        <v>1.3354700854700854E-2</v>
      </c>
      <c r="G1678" s="65">
        <f t="shared" si="557"/>
        <v>823.68000000000006</v>
      </c>
      <c r="H1678" s="77">
        <v>0.72843822843822836</v>
      </c>
      <c r="I1678" s="71">
        <f t="shared" si="558"/>
        <v>1.1000000000000001</v>
      </c>
      <c r="J1678" s="23">
        <f t="shared" si="559"/>
        <v>1.3354700854700854E-2</v>
      </c>
      <c r="K1678" s="65">
        <f t="shared" si="560"/>
        <v>823.68000000000006</v>
      </c>
      <c r="L1678" s="21">
        <v>600</v>
      </c>
      <c r="M1678" s="21">
        <v>660</v>
      </c>
    </row>
    <row r="1679" spans="1:13" ht="20.100000000000001" customHeight="1" x14ac:dyDescent="0.2">
      <c r="A1679" s="106" t="s">
        <v>2744</v>
      </c>
      <c r="B1679" s="125" t="s">
        <v>45</v>
      </c>
      <c r="C1679" s="21" t="s">
        <v>1</v>
      </c>
      <c r="D1679" s="50">
        <v>1</v>
      </c>
      <c r="E1679" s="51">
        <f t="shared" si="561"/>
        <v>68.16</v>
      </c>
      <c r="F1679" s="23">
        <f t="shared" si="557"/>
        <v>1.4671361502347418E-2</v>
      </c>
      <c r="G1679" s="65">
        <f t="shared" si="557"/>
        <v>749.76</v>
      </c>
      <c r="H1679" s="77">
        <v>0.80025608194622277</v>
      </c>
      <c r="I1679" s="71">
        <f t="shared" si="558"/>
        <v>1.1000000000000001</v>
      </c>
      <c r="J1679" s="23">
        <f t="shared" si="559"/>
        <v>1.4671361502347418E-2</v>
      </c>
      <c r="K1679" s="65">
        <f t="shared" si="560"/>
        <v>749.76</v>
      </c>
      <c r="L1679" s="21">
        <v>600</v>
      </c>
      <c r="M1679" s="21">
        <v>660</v>
      </c>
    </row>
    <row r="1680" spans="1:13" ht="20.100000000000001" customHeight="1" x14ac:dyDescent="0.2">
      <c r="A1680" s="106" t="s">
        <v>2745</v>
      </c>
      <c r="B1680" s="125" t="s">
        <v>47</v>
      </c>
      <c r="C1680" s="21" t="s">
        <v>1</v>
      </c>
      <c r="D1680" s="50">
        <v>1</v>
      </c>
      <c r="E1680" s="51">
        <f t="shared" si="561"/>
        <v>80.88000000000001</v>
      </c>
      <c r="F1680" s="23">
        <f t="shared" si="557"/>
        <v>1.2363996043521263E-2</v>
      </c>
      <c r="G1680" s="65">
        <f t="shared" si="557"/>
        <v>889.68000000000018</v>
      </c>
      <c r="H1680" s="77">
        <v>0.67439978419206892</v>
      </c>
      <c r="I1680" s="71">
        <f t="shared" si="558"/>
        <v>1.1000000000000001</v>
      </c>
      <c r="J1680" s="23">
        <f t="shared" si="559"/>
        <v>1.2363996043521263E-2</v>
      </c>
      <c r="K1680" s="65">
        <f t="shared" si="560"/>
        <v>889.68000000000018</v>
      </c>
      <c r="L1680" s="21">
        <v>600</v>
      </c>
      <c r="M1680" s="21">
        <v>660</v>
      </c>
    </row>
    <row r="1681" spans="1:13" ht="20.100000000000001" customHeight="1" x14ac:dyDescent="0.2">
      <c r="A1681" s="106" t="s">
        <v>2746</v>
      </c>
      <c r="B1681" s="125" t="s">
        <v>48</v>
      </c>
      <c r="C1681" s="21" t="s">
        <v>1</v>
      </c>
      <c r="D1681" s="50">
        <v>1</v>
      </c>
      <c r="E1681" s="51">
        <f t="shared" si="561"/>
        <v>73.680000000000007</v>
      </c>
      <c r="F1681" s="23">
        <f t="shared" si="557"/>
        <v>1.3572204125950052E-2</v>
      </c>
      <c r="G1681" s="65">
        <f t="shared" si="557"/>
        <v>810.48000000000013</v>
      </c>
      <c r="H1681" s="77">
        <v>0.74030204323363924</v>
      </c>
      <c r="I1681" s="71">
        <f t="shared" si="558"/>
        <v>1.1000000000000001</v>
      </c>
      <c r="J1681" s="23">
        <f t="shared" si="559"/>
        <v>1.3572204125950052E-2</v>
      </c>
      <c r="K1681" s="65">
        <f t="shared" si="560"/>
        <v>810.48000000000013</v>
      </c>
      <c r="L1681" s="21">
        <v>600</v>
      </c>
      <c r="M1681" s="21">
        <v>660</v>
      </c>
    </row>
    <row r="1682" spans="1:13" ht="20.100000000000001" customHeight="1" x14ac:dyDescent="0.2">
      <c r="A1682" s="106" t="s">
        <v>2747</v>
      </c>
      <c r="B1682" s="125" t="s">
        <v>53</v>
      </c>
      <c r="C1682" s="21" t="s">
        <v>1</v>
      </c>
      <c r="D1682" s="50">
        <v>1</v>
      </c>
      <c r="E1682" s="51">
        <f t="shared" si="561"/>
        <v>78.48</v>
      </c>
      <c r="F1682" s="23">
        <f t="shared" si="557"/>
        <v>1.2742099898063202E-2</v>
      </c>
      <c r="G1682" s="65">
        <f t="shared" si="557"/>
        <v>863.28</v>
      </c>
      <c r="H1682" s="77">
        <v>0.69502363080344731</v>
      </c>
      <c r="I1682" s="71">
        <f t="shared" si="558"/>
        <v>1.1000000000000001</v>
      </c>
      <c r="J1682" s="23">
        <f t="shared" si="559"/>
        <v>1.2742099898063202E-2</v>
      </c>
      <c r="K1682" s="65">
        <f t="shared" si="560"/>
        <v>863.28</v>
      </c>
      <c r="L1682" s="21">
        <v>600</v>
      </c>
      <c r="M1682" s="21">
        <v>660</v>
      </c>
    </row>
    <row r="1683" spans="1:13" ht="20.100000000000001" customHeight="1" x14ac:dyDescent="0.2">
      <c r="A1683" s="106" t="s">
        <v>2748</v>
      </c>
      <c r="B1683" s="125" t="s">
        <v>10</v>
      </c>
      <c r="C1683" s="21" t="s">
        <v>1</v>
      </c>
      <c r="D1683" s="50">
        <v>1</v>
      </c>
      <c r="E1683" s="51">
        <f t="shared" si="561"/>
        <v>24.96</v>
      </c>
      <c r="F1683" s="23">
        <f t="shared" si="557"/>
        <v>4.0064102564102561E-2</v>
      </c>
      <c r="G1683" s="65">
        <f t="shared" si="557"/>
        <v>274.56</v>
      </c>
      <c r="H1683" s="77">
        <v>2.185314685314685</v>
      </c>
      <c r="I1683" s="71">
        <f t="shared" si="558"/>
        <v>1.1000000000000001</v>
      </c>
      <c r="J1683" s="23">
        <f t="shared" si="559"/>
        <v>4.0064102564102561E-2</v>
      </c>
      <c r="K1683" s="65">
        <f t="shared" si="560"/>
        <v>274.56</v>
      </c>
      <c r="L1683" s="21">
        <v>600</v>
      </c>
      <c r="M1683" s="21">
        <v>660</v>
      </c>
    </row>
    <row r="1684" spans="1:13" ht="20.100000000000001" customHeight="1" x14ac:dyDescent="0.2">
      <c r="A1684" s="106" t="s">
        <v>2749</v>
      </c>
      <c r="B1684" s="125" t="s">
        <v>49</v>
      </c>
      <c r="C1684" s="21" t="s">
        <v>1</v>
      </c>
      <c r="D1684" s="50">
        <v>1</v>
      </c>
      <c r="E1684" s="51">
        <f t="shared" si="561"/>
        <v>384.23999999999995</v>
      </c>
      <c r="F1684" s="23">
        <f t="shared" si="557"/>
        <v>2.6025400791172188E-3</v>
      </c>
      <c r="G1684" s="65">
        <f t="shared" si="557"/>
        <v>4226.6399999999994</v>
      </c>
      <c r="H1684" s="77">
        <v>0.14195673158821193</v>
      </c>
      <c r="I1684" s="71">
        <f t="shared" si="558"/>
        <v>1.1000000000000001</v>
      </c>
      <c r="J1684" s="23">
        <f t="shared" si="559"/>
        <v>2.6025400791172188E-3</v>
      </c>
      <c r="K1684" s="65">
        <f t="shared" si="560"/>
        <v>4226.6399999999994</v>
      </c>
      <c r="L1684" s="21">
        <v>600</v>
      </c>
      <c r="M1684" s="21">
        <v>660</v>
      </c>
    </row>
    <row r="1685" spans="1:13" ht="20.100000000000001" customHeight="1" x14ac:dyDescent="0.2">
      <c r="A1685" s="106" t="s">
        <v>2750</v>
      </c>
      <c r="B1685" s="125" t="s">
        <v>57</v>
      </c>
      <c r="C1685" s="21" t="s">
        <v>8</v>
      </c>
      <c r="D1685" s="50">
        <v>1</v>
      </c>
      <c r="E1685" s="51">
        <f t="shared" si="561"/>
        <v>10.44</v>
      </c>
      <c r="F1685" s="23">
        <f t="shared" si="557"/>
        <v>9.5785440613026823E-2</v>
      </c>
      <c r="G1685" s="65">
        <f t="shared" si="557"/>
        <v>114.83999999999999</v>
      </c>
      <c r="H1685" s="77">
        <v>5.2246603970741905</v>
      </c>
      <c r="I1685" s="71">
        <f t="shared" si="558"/>
        <v>1.1000000000000001</v>
      </c>
      <c r="J1685" s="23">
        <f t="shared" si="559"/>
        <v>9.5785440613026823E-2</v>
      </c>
      <c r="K1685" s="65">
        <f t="shared" si="560"/>
        <v>114.83999999999999</v>
      </c>
      <c r="L1685" s="21">
        <v>600</v>
      </c>
      <c r="M1685" s="21">
        <v>660</v>
      </c>
    </row>
    <row r="1686" spans="1:13" ht="20.100000000000001" customHeight="1" x14ac:dyDescent="0.2">
      <c r="A1686" s="106" t="s">
        <v>2751</v>
      </c>
      <c r="B1686" s="126" t="s">
        <v>236</v>
      </c>
      <c r="C1686" s="21" t="s">
        <v>1</v>
      </c>
      <c r="D1686" s="50">
        <v>1</v>
      </c>
      <c r="E1686" s="51">
        <f t="shared" si="561"/>
        <v>1.1999999999999997</v>
      </c>
      <c r="F1686" s="23">
        <f t="shared" si="557"/>
        <v>0.83333333333333348</v>
      </c>
      <c r="G1686" s="65">
        <f t="shared" si="557"/>
        <v>13.199999999999998</v>
      </c>
      <c r="H1686" s="77">
        <v>45.45454545454546</v>
      </c>
      <c r="I1686" s="71">
        <f t="shared" si="558"/>
        <v>1.1000000000000001</v>
      </c>
      <c r="J1686" s="23">
        <f t="shared" si="559"/>
        <v>0.83333333333333348</v>
      </c>
      <c r="K1686" s="65">
        <f t="shared" si="560"/>
        <v>13.199999999999998</v>
      </c>
      <c r="L1686" s="21">
        <v>600</v>
      </c>
      <c r="M1686" s="21">
        <v>660</v>
      </c>
    </row>
    <row r="1687" spans="1:13" ht="20.100000000000001" customHeight="1" x14ac:dyDescent="0.2">
      <c r="A1687" s="106" t="s">
        <v>2752</v>
      </c>
      <c r="B1687" s="126" t="s">
        <v>240</v>
      </c>
      <c r="C1687" s="21" t="s">
        <v>1</v>
      </c>
      <c r="D1687" s="50">
        <v>1</v>
      </c>
      <c r="E1687" s="51">
        <f t="shared" si="561"/>
        <v>1.0799999999999998</v>
      </c>
      <c r="F1687" s="23">
        <f t="shared" ref="F1687:G1750" si="562">J1687</f>
        <v>0.92592592592592604</v>
      </c>
      <c r="G1687" s="65">
        <f t="shared" si="562"/>
        <v>11.879999999999999</v>
      </c>
      <c r="H1687" s="77">
        <v>50.505050505050505</v>
      </c>
      <c r="I1687" s="71">
        <f t="shared" ref="I1687:I1750" si="563">M1687/L1687</f>
        <v>1.1000000000000001</v>
      </c>
      <c r="J1687" s="23">
        <f t="shared" ref="J1687:J1750" si="564">11/K1687</f>
        <v>0.92592592592592604</v>
      </c>
      <c r="K1687" s="65">
        <f t="shared" ref="K1687:K1750" si="565">M1687/(H1687*I1687)</f>
        <v>11.879999999999999</v>
      </c>
      <c r="L1687" s="21">
        <v>600</v>
      </c>
      <c r="M1687" s="21">
        <v>660</v>
      </c>
    </row>
    <row r="1688" spans="1:13" ht="20.100000000000001" customHeight="1" x14ac:dyDescent="0.2">
      <c r="A1688" s="106" t="s">
        <v>2753</v>
      </c>
      <c r="B1688" s="126" t="s">
        <v>241</v>
      </c>
      <c r="C1688" s="21" t="s">
        <v>1</v>
      </c>
      <c r="D1688" s="50">
        <v>1</v>
      </c>
      <c r="E1688" s="51">
        <f t="shared" si="561"/>
        <v>0.96000000000000008</v>
      </c>
      <c r="F1688" s="23">
        <f t="shared" si="562"/>
        <v>1.0416666666666665</v>
      </c>
      <c r="G1688" s="65">
        <f t="shared" si="562"/>
        <v>10.56</v>
      </c>
      <c r="H1688" s="77">
        <v>56.818181818181813</v>
      </c>
      <c r="I1688" s="71">
        <f t="shared" si="563"/>
        <v>1.1000000000000001</v>
      </c>
      <c r="J1688" s="23">
        <f t="shared" si="564"/>
        <v>1.0416666666666665</v>
      </c>
      <c r="K1688" s="65">
        <f t="shared" si="565"/>
        <v>10.56</v>
      </c>
      <c r="L1688" s="21">
        <v>600</v>
      </c>
      <c r="M1688" s="21">
        <v>660</v>
      </c>
    </row>
    <row r="1689" spans="1:13" ht="20.100000000000001" customHeight="1" x14ac:dyDescent="0.2">
      <c r="A1689" s="106" t="s">
        <v>2754</v>
      </c>
      <c r="B1689" s="126" t="s">
        <v>230</v>
      </c>
      <c r="C1689" s="21" t="s">
        <v>1</v>
      </c>
      <c r="D1689" s="50">
        <v>1</v>
      </c>
      <c r="E1689" s="51">
        <f t="shared" si="561"/>
        <v>0.84</v>
      </c>
      <c r="F1689" s="23">
        <f t="shared" si="562"/>
        <v>1.1904761904761905</v>
      </c>
      <c r="G1689" s="65">
        <f t="shared" si="562"/>
        <v>9.24</v>
      </c>
      <c r="H1689" s="77">
        <v>64.935064935064929</v>
      </c>
      <c r="I1689" s="71">
        <f t="shared" si="563"/>
        <v>1.1000000000000001</v>
      </c>
      <c r="J1689" s="23">
        <f t="shared" si="564"/>
        <v>1.1904761904761905</v>
      </c>
      <c r="K1689" s="65">
        <f t="shared" si="565"/>
        <v>9.24</v>
      </c>
      <c r="L1689" s="21">
        <v>600</v>
      </c>
      <c r="M1689" s="21">
        <v>660</v>
      </c>
    </row>
    <row r="1690" spans="1:13" ht="20.100000000000001" customHeight="1" x14ac:dyDescent="0.2">
      <c r="A1690" s="106" t="s">
        <v>2755</v>
      </c>
      <c r="B1690" s="126" t="s">
        <v>229</v>
      </c>
      <c r="C1690" s="21" t="s">
        <v>1</v>
      </c>
      <c r="D1690" s="50">
        <v>1</v>
      </c>
      <c r="E1690" s="51">
        <f t="shared" si="561"/>
        <v>1.1999999999999997</v>
      </c>
      <c r="F1690" s="23">
        <f t="shared" si="562"/>
        <v>0.83333333333333348</v>
      </c>
      <c r="G1690" s="65">
        <f t="shared" si="562"/>
        <v>13.199999999999998</v>
      </c>
      <c r="H1690" s="77">
        <v>45.45454545454546</v>
      </c>
      <c r="I1690" s="71">
        <f t="shared" si="563"/>
        <v>1.1000000000000001</v>
      </c>
      <c r="J1690" s="23">
        <f t="shared" si="564"/>
        <v>0.83333333333333348</v>
      </c>
      <c r="K1690" s="65">
        <f t="shared" si="565"/>
        <v>13.199999999999998</v>
      </c>
      <c r="L1690" s="21">
        <v>600</v>
      </c>
      <c r="M1690" s="21">
        <v>660</v>
      </c>
    </row>
    <row r="1691" spans="1:13" ht="20.100000000000001" customHeight="1" x14ac:dyDescent="0.2">
      <c r="A1691" s="106" t="s">
        <v>2756</v>
      </c>
      <c r="B1691" s="125" t="s">
        <v>83</v>
      </c>
      <c r="C1691" s="21" t="s">
        <v>1</v>
      </c>
      <c r="D1691" s="50">
        <v>1</v>
      </c>
      <c r="E1691" s="51">
        <f t="shared" si="561"/>
        <v>1.0799999999999998</v>
      </c>
      <c r="F1691" s="23">
        <f t="shared" si="562"/>
        <v>0.92592592592592604</v>
      </c>
      <c r="G1691" s="65">
        <f t="shared" si="562"/>
        <v>11.879999999999999</v>
      </c>
      <c r="H1691" s="77">
        <v>50.505050505050505</v>
      </c>
      <c r="I1691" s="71">
        <f t="shared" si="563"/>
        <v>1.1000000000000001</v>
      </c>
      <c r="J1691" s="23">
        <f t="shared" si="564"/>
        <v>0.92592592592592604</v>
      </c>
      <c r="K1691" s="65">
        <f t="shared" si="565"/>
        <v>11.879999999999999</v>
      </c>
      <c r="L1691" s="21">
        <v>600</v>
      </c>
      <c r="M1691" s="21">
        <v>660</v>
      </c>
    </row>
    <row r="1692" spans="1:13" ht="20.100000000000001" customHeight="1" x14ac:dyDescent="0.2">
      <c r="A1692" s="106" t="s">
        <v>2757</v>
      </c>
      <c r="B1692" s="126" t="s">
        <v>227</v>
      </c>
      <c r="C1692" s="21" t="s">
        <v>1</v>
      </c>
      <c r="D1692" s="50">
        <v>1</v>
      </c>
      <c r="E1692" s="51">
        <f t="shared" si="561"/>
        <v>0.84</v>
      </c>
      <c r="F1692" s="23">
        <f t="shared" si="562"/>
        <v>1.1904761904761905</v>
      </c>
      <c r="G1692" s="65">
        <f t="shared" si="562"/>
        <v>9.24</v>
      </c>
      <c r="H1692" s="77">
        <v>64.935064935064929</v>
      </c>
      <c r="I1692" s="71">
        <f t="shared" si="563"/>
        <v>1.1000000000000001</v>
      </c>
      <c r="J1692" s="23">
        <f t="shared" si="564"/>
        <v>1.1904761904761905</v>
      </c>
      <c r="K1692" s="65">
        <f t="shared" si="565"/>
        <v>9.24</v>
      </c>
      <c r="L1692" s="21">
        <v>600</v>
      </c>
      <c r="M1692" s="21">
        <v>660</v>
      </c>
    </row>
    <row r="1693" spans="1:13" ht="20.100000000000001" customHeight="1" x14ac:dyDescent="0.2">
      <c r="A1693" s="106" t="s">
        <v>2758</v>
      </c>
      <c r="B1693" s="126" t="s">
        <v>226</v>
      </c>
      <c r="C1693" s="21" t="s">
        <v>1</v>
      </c>
      <c r="D1693" s="50">
        <v>1</v>
      </c>
      <c r="E1693" s="51">
        <f t="shared" si="561"/>
        <v>0.71999999999999986</v>
      </c>
      <c r="F1693" s="23">
        <f t="shared" si="562"/>
        <v>1.3888888888888891</v>
      </c>
      <c r="G1693" s="65">
        <f t="shared" si="562"/>
        <v>7.919999999999999</v>
      </c>
      <c r="H1693" s="77">
        <v>75.757575757575765</v>
      </c>
      <c r="I1693" s="71">
        <f t="shared" si="563"/>
        <v>1.1000000000000001</v>
      </c>
      <c r="J1693" s="23">
        <f t="shared" si="564"/>
        <v>1.3888888888888891</v>
      </c>
      <c r="K1693" s="65">
        <f t="shared" si="565"/>
        <v>7.919999999999999</v>
      </c>
      <c r="L1693" s="21">
        <v>600</v>
      </c>
      <c r="M1693" s="21">
        <v>660</v>
      </c>
    </row>
    <row r="1694" spans="1:13" ht="20.100000000000001" customHeight="1" x14ac:dyDescent="0.2">
      <c r="A1694" s="106" t="s">
        <v>2759</v>
      </c>
      <c r="B1694" s="125" t="s">
        <v>169</v>
      </c>
      <c r="C1694" s="49" t="s">
        <v>1</v>
      </c>
      <c r="D1694" s="50">
        <v>1</v>
      </c>
      <c r="E1694" s="51">
        <f t="shared" si="561"/>
        <v>1.32</v>
      </c>
      <c r="F1694" s="23">
        <f t="shared" si="562"/>
        <v>0.75757575757575757</v>
      </c>
      <c r="G1694" s="65">
        <f t="shared" si="562"/>
        <v>14.52</v>
      </c>
      <c r="H1694" s="77">
        <v>41.322314049586772</v>
      </c>
      <c r="I1694" s="71">
        <f t="shared" si="563"/>
        <v>1.1000000000000001</v>
      </c>
      <c r="J1694" s="23">
        <f t="shared" si="564"/>
        <v>0.75757575757575757</v>
      </c>
      <c r="K1694" s="65">
        <f t="shared" si="565"/>
        <v>14.52</v>
      </c>
      <c r="L1694" s="21">
        <v>600</v>
      </c>
      <c r="M1694" s="21">
        <v>660</v>
      </c>
    </row>
    <row r="1695" spans="1:13" ht="20.100000000000001" customHeight="1" x14ac:dyDescent="0.2">
      <c r="A1695" s="106" t="s">
        <v>2760</v>
      </c>
      <c r="B1695" s="125" t="s">
        <v>170</v>
      </c>
      <c r="C1695" s="49" t="s">
        <v>1</v>
      </c>
      <c r="D1695" s="50">
        <v>1</v>
      </c>
      <c r="E1695" s="51">
        <f t="shared" si="561"/>
        <v>1.1999999999999997</v>
      </c>
      <c r="F1695" s="23">
        <f t="shared" si="562"/>
        <v>0.83333333333333348</v>
      </c>
      <c r="G1695" s="65">
        <f t="shared" si="562"/>
        <v>13.199999999999998</v>
      </c>
      <c r="H1695" s="77">
        <v>45.45454545454546</v>
      </c>
      <c r="I1695" s="71">
        <f t="shared" si="563"/>
        <v>1.1000000000000001</v>
      </c>
      <c r="J1695" s="23">
        <f t="shared" si="564"/>
        <v>0.83333333333333348</v>
      </c>
      <c r="K1695" s="65">
        <f t="shared" si="565"/>
        <v>13.199999999999998</v>
      </c>
      <c r="L1695" s="21">
        <v>600</v>
      </c>
      <c r="M1695" s="21">
        <v>660</v>
      </c>
    </row>
    <row r="1696" spans="1:13" ht="20.100000000000001" customHeight="1" x14ac:dyDescent="0.2">
      <c r="A1696" s="106" t="s">
        <v>2761</v>
      </c>
      <c r="B1696" s="126" t="s">
        <v>36</v>
      </c>
      <c r="C1696" s="21" t="s">
        <v>1</v>
      </c>
      <c r="D1696" s="50">
        <v>1</v>
      </c>
      <c r="E1696" s="51">
        <f t="shared" si="561"/>
        <v>0.96000000000000008</v>
      </c>
      <c r="F1696" s="23">
        <f t="shared" si="562"/>
        <v>1.0416666666666665</v>
      </c>
      <c r="G1696" s="65">
        <f t="shared" si="562"/>
        <v>10.56</v>
      </c>
      <c r="H1696" s="77">
        <v>56.818181818181813</v>
      </c>
      <c r="I1696" s="71">
        <f t="shared" si="563"/>
        <v>1.1000000000000001</v>
      </c>
      <c r="J1696" s="23">
        <f t="shared" si="564"/>
        <v>1.0416666666666665</v>
      </c>
      <c r="K1696" s="65">
        <f t="shared" si="565"/>
        <v>10.56</v>
      </c>
      <c r="L1696" s="21">
        <v>600</v>
      </c>
      <c r="M1696" s="21">
        <v>660</v>
      </c>
    </row>
    <row r="1697" spans="1:13" ht="20.100000000000001" customHeight="1" x14ac:dyDescent="0.2">
      <c r="A1697" s="106" t="s">
        <v>2762</v>
      </c>
      <c r="B1697" s="126" t="s">
        <v>37</v>
      </c>
      <c r="C1697" s="21" t="s">
        <v>1</v>
      </c>
      <c r="D1697" s="50">
        <v>1</v>
      </c>
      <c r="E1697" s="51">
        <f t="shared" si="561"/>
        <v>0.84</v>
      </c>
      <c r="F1697" s="23">
        <f t="shared" si="562"/>
        <v>1.1904761904761905</v>
      </c>
      <c r="G1697" s="65">
        <f t="shared" si="562"/>
        <v>9.24</v>
      </c>
      <c r="H1697" s="77">
        <v>64.935064935064929</v>
      </c>
      <c r="I1697" s="71">
        <f t="shared" si="563"/>
        <v>1.1000000000000001</v>
      </c>
      <c r="J1697" s="23">
        <f t="shared" si="564"/>
        <v>1.1904761904761905</v>
      </c>
      <c r="K1697" s="65">
        <f t="shared" si="565"/>
        <v>9.24</v>
      </c>
      <c r="L1697" s="21">
        <v>600</v>
      </c>
      <c r="M1697" s="21">
        <v>660</v>
      </c>
    </row>
    <row r="1698" spans="1:13" ht="20.100000000000001" customHeight="1" x14ac:dyDescent="0.2">
      <c r="A1698" s="106" t="s">
        <v>2763</v>
      </c>
      <c r="B1698" s="126" t="s">
        <v>38</v>
      </c>
      <c r="C1698" s="21" t="s">
        <v>1</v>
      </c>
      <c r="D1698" s="50">
        <v>1</v>
      </c>
      <c r="E1698" s="51">
        <f t="shared" si="561"/>
        <v>0.59999999999999987</v>
      </c>
      <c r="F1698" s="23">
        <f t="shared" si="562"/>
        <v>1.666666666666667</v>
      </c>
      <c r="G1698" s="65">
        <f t="shared" si="562"/>
        <v>6.5999999999999988</v>
      </c>
      <c r="H1698" s="77">
        <v>90.909090909090921</v>
      </c>
      <c r="I1698" s="71">
        <f t="shared" si="563"/>
        <v>1.1000000000000001</v>
      </c>
      <c r="J1698" s="23">
        <f t="shared" si="564"/>
        <v>1.666666666666667</v>
      </c>
      <c r="K1698" s="65">
        <f t="shared" si="565"/>
        <v>6.5999999999999988</v>
      </c>
      <c r="L1698" s="21">
        <v>600</v>
      </c>
      <c r="M1698" s="21">
        <v>660</v>
      </c>
    </row>
    <row r="1699" spans="1:13" ht="20.100000000000001" customHeight="1" x14ac:dyDescent="0.2">
      <c r="A1699" s="106" t="s">
        <v>2764</v>
      </c>
      <c r="B1699" s="126" t="s">
        <v>39</v>
      </c>
      <c r="C1699" s="21" t="s">
        <v>1</v>
      </c>
      <c r="D1699" s="50">
        <v>1</v>
      </c>
      <c r="E1699" s="51">
        <f t="shared" si="561"/>
        <v>1.1999999999999997</v>
      </c>
      <c r="F1699" s="23">
        <f t="shared" si="562"/>
        <v>0.83333333333333348</v>
      </c>
      <c r="G1699" s="65">
        <f t="shared" si="562"/>
        <v>13.199999999999998</v>
      </c>
      <c r="H1699" s="77">
        <v>45.45454545454546</v>
      </c>
      <c r="I1699" s="71">
        <f t="shared" si="563"/>
        <v>1.1000000000000001</v>
      </c>
      <c r="J1699" s="23">
        <f t="shared" si="564"/>
        <v>0.83333333333333348</v>
      </c>
      <c r="K1699" s="65">
        <f t="shared" si="565"/>
        <v>13.199999999999998</v>
      </c>
      <c r="L1699" s="21">
        <v>600</v>
      </c>
      <c r="M1699" s="21">
        <v>660</v>
      </c>
    </row>
    <row r="1700" spans="1:13" ht="20.100000000000001" customHeight="1" x14ac:dyDescent="0.2">
      <c r="A1700" s="106" t="s">
        <v>2765</v>
      </c>
      <c r="B1700" s="126" t="s">
        <v>40</v>
      </c>
      <c r="C1700" s="21" t="s">
        <v>1</v>
      </c>
      <c r="D1700" s="50">
        <v>1</v>
      </c>
      <c r="E1700" s="51">
        <f t="shared" si="561"/>
        <v>0.96000000000000008</v>
      </c>
      <c r="F1700" s="23">
        <f t="shared" si="562"/>
        <v>1.0416666666666665</v>
      </c>
      <c r="G1700" s="65">
        <f t="shared" si="562"/>
        <v>10.56</v>
      </c>
      <c r="H1700" s="77">
        <v>56.818181818181813</v>
      </c>
      <c r="I1700" s="71">
        <f t="shared" si="563"/>
        <v>1.1000000000000001</v>
      </c>
      <c r="J1700" s="23">
        <f t="shared" si="564"/>
        <v>1.0416666666666665</v>
      </c>
      <c r="K1700" s="65">
        <f t="shared" si="565"/>
        <v>10.56</v>
      </c>
      <c r="L1700" s="21">
        <v>600</v>
      </c>
      <c r="M1700" s="21">
        <v>660</v>
      </c>
    </row>
    <row r="1701" spans="1:13" ht="20.100000000000001" customHeight="1" x14ac:dyDescent="0.2">
      <c r="A1701" s="106" t="s">
        <v>2766</v>
      </c>
      <c r="B1701" s="126" t="s">
        <v>41</v>
      </c>
      <c r="C1701" s="21" t="s">
        <v>1</v>
      </c>
      <c r="D1701" s="50">
        <v>1</v>
      </c>
      <c r="E1701" s="51">
        <f t="shared" si="561"/>
        <v>0.71999999999999986</v>
      </c>
      <c r="F1701" s="23">
        <f t="shared" si="562"/>
        <v>1.3888888888888891</v>
      </c>
      <c r="G1701" s="65">
        <f t="shared" si="562"/>
        <v>7.919999999999999</v>
      </c>
      <c r="H1701" s="77">
        <v>75.757575757575765</v>
      </c>
      <c r="I1701" s="71">
        <f t="shared" si="563"/>
        <v>1.1000000000000001</v>
      </c>
      <c r="J1701" s="23">
        <f t="shared" si="564"/>
        <v>1.3888888888888891</v>
      </c>
      <c r="K1701" s="65">
        <f t="shared" si="565"/>
        <v>7.919999999999999</v>
      </c>
      <c r="L1701" s="21">
        <v>600</v>
      </c>
      <c r="M1701" s="21">
        <v>660</v>
      </c>
    </row>
    <row r="1702" spans="1:13" ht="20.100000000000001" customHeight="1" x14ac:dyDescent="0.2">
      <c r="A1702" s="106" t="s">
        <v>2767</v>
      </c>
      <c r="B1702" s="126" t="s">
        <v>276</v>
      </c>
      <c r="C1702" s="49" t="s">
        <v>1</v>
      </c>
      <c r="D1702" s="50">
        <v>1</v>
      </c>
      <c r="E1702" s="51">
        <f t="shared" si="561"/>
        <v>1.32</v>
      </c>
      <c r="F1702" s="23">
        <f t="shared" si="562"/>
        <v>0.75757575757575757</v>
      </c>
      <c r="G1702" s="65">
        <f t="shared" si="562"/>
        <v>14.52</v>
      </c>
      <c r="H1702" s="77">
        <v>41.322314049586772</v>
      </c>
      <c r="I1702" s="71">
        <f t="shared" si="563"/>
        <v>1.1000000000000001</v>
      </c>
      <c r="J1702" s="23">
        <f t="shared" si="564"/>
        <v>0.75757575757575757</v>
      </c>
      <c r="K1702" s="65">
        <f t="shared" si="565"/>
        <v>14.52</v>
      </c>
      <c r="L1702" s="21">
        <v>600</v>
      </c>
      <c r="M1702" s="21">
        <v>660</v>
      </c>
    </row>
    <row r="1703" spans="1:13" ht="20.100000000000001" customHeight="1" x14ac:dyDescent="0.2">
      <c r="A1703" s="106" t="s">
        <v>2768</v>
      </c>
      <c r="B1703" s="126" t="s">
        <v>277</v>
      </c>
      <c r="C1703" s="49" t="s">
        <v>1</v>
      </c>
      <c r="D1703" s="50">
        <v>1</v>
      </c>
      <c r="E1703" s="51">
        <f t="shared" si="561"/>
        <v>0.96000000000000008</v>
      </c>
      <c r="F1703" s="23">
        <f t="shared" si="562"/>
        <v>1.0416666666666665</v>
      </c>
      <c r="G1703" s="65">
        <f t="shared" si="562"/>
        <v>10.56</v>
      </c>
      <c r="H1703" s="77">
        <v>56.818181818181813</v>
      </c>
      <c r="I1703" s="71">
        <f t="shared" si="563"/>
        <v>1.1000000000000001</v>
      </c>
      <c r="J1703" s="23">
        <f t="shared" si="564"/>
        <v>1.0416666666666665</v>
      </c>
      <c r="K1703" s="65">
        <f t="shared" si="565"/>
        <v>10.56</v>
      </c>
      <c r="L1703" s="21">
        <v>600</v>
      </c>
      <c r="M1703" s="21">
        <v>660</v>
      </c>
    </row>
    <row r="1704" spans="1:13" ht="20.100000000000001" customHeight="1" x14ac:dyDescent="0.2">
      <c r="A1704" s="106" t="s">
        <v>2769</v>
      </c>
      <c r="B1704" s="126" t="s">
        <v>278</v>
      </c>
      <c r="C1704" s="49" t="s">
        <v>1</v>
      </c>
      <c r="D1704" s="50">
        <v>1</v>
      </c>
      <c r="E1704" s="51">
        <f t="shared" si="561"/>
        <v>0.71999999999999986</v>
      </c>
      <c r="F1704" s="23">
        <f t="shared" si="562"/>
        <v>1.3888888888888891</v>
      </c>
      <c r="G1704" s="65">
        <f t="shared" si="562"/>
        <v>7.919999999999999</v>
      </c>
      <c r="H1704" s="77">
        <v>75.757575757575765</v>
      </c>
      <c r="I1704" s="71">
        <f t="shared" si="563"/>
        <v>1.1000000000000001</v>
      </c>
      <c r="J1704" s="23">
        <f t="shared" si="564"/>
        <v>1.3888888888888891</v>
      </c>
      <c r="K1704" s="65">
        <f t="shared" si="565"/>
        <v>7.919999999999999</v>
      </c>
      <c r="L1704" s="21">
        <v>600</v>
      </c>
      <c r="M1704" s="21">
        <v>660</v>
      </c>
    </row>
    <row r="1705" spans="1:13" ht="20.100000000000001" customHeight="1" x14ac:dyDescent="0.2">
      <c r="A1705" s="106" t="s">
        <v>2770</v>
      </c>
      <c r="B1705" s="126" t="s">
        <v>279</v>
      </c>
      <c r="C1705" s="49" t="s">
        <v>1</v>
      </c>
      <c r="D1705" s="50">
        <v>1</v>
      </c>
      <c r="E1705" s="51">
        <f t="shared" si="561"/>
        <v>1.56</v>
      </c>
      <c r="F1705" s="23">
        <f t="shared" si="562"/>
        <v>0.64102564102564097</v>
      </c>
      <c r="G1705" s="65">
        <f t="shared" si="562"/>
        <v>17.16</v>
      </c>
      <c r="H1705" s="77">
        <v>34.96503496503496</v>
      </c>
      <c r="I1705" s="71">
        <f t="shared" si="563"/>
        <v>1.1000000000000001</v>
      </c>
      <c r="J1705" s="23">
        <f t="shared" si="564"/>
        <v>0.64102564102564097</v>
      </c>
      <c r="K1705" s="65">
        <f t="shared" si="565"/>
        <v>17.16</v>
      </c>
      <c r="L1705" s="21">
        <v>600</v>
      </c>
      <c r="M1705" s="21">
        <v>660</v>
      </c>
    </row>
    <row r="1706" spans="1:13" ht="20.100000000000001" customHeight="1" x14ac:dyDescent="0.2">
      <c r="A1706" s="106" t="s">
        <v>2771</v>
      </c>
      <c r="B1706" s="125" t="s">
        <v>42</v>
      </c>
      <c r="C1706" s="49" t="s">
        <v>1</v>
      </c>
      <c r="D1706" s="50">
        <v>1</v>
      </c>
      <c r="E1706" s="51">
        <f t="shared" si="561"/>
        <v>1.4399999999999997</v>
      </c>
      <c r="F1706" s="23">
        <f t="shared" si="562"/>
        <v>0.69444444444444453</v>
      </c>
      <c r="G1706" s="65">
        <f t="shared" si="562"/>
        <v>15.839999999999998</v>
      </c>
      <c r="H1706" s="77">
        <v>37.878787878787882</v>
      </c>
      <c r="I1706" s="71">
        <f t="shared" si="563"/>
        <v>1.1000000000000001</v>
      </c>
      <c r="J1706" s="23">
        <f t="shared" si="564"/>
        <v>0.69444444444444453</v>
      </c>
      <c r="K1706" s="65">
        <f t="shared" si="565"/>
        <v>15.839999999999998</v>
      </c>
      <c r="L1706" s="21">
        <v>600</v>
      </c>
      <c r="M1706" s="21">
        <v>660</v>
      </c>
    </row>
    <row r="1707" spans="1:13" ht="20.100000000000001" customHeight="1" x14ac:dyDescent="0.2">
      <c r="A1707" s="106" t="s">
        <v>2772</v>
      </c>
      <c r="B1707" s="125" t="s">
        <v>43</v>
      </c>
      <c r="C1707" s="49" t="s">
        <v>1</v>
      </c>
      <c r="D1707" s="50">
        <v>1</v>
      </c>
      <c r="E1707" s="51">
        <f t="shared" si="561"/>
        <v>1.1999999999999997</v>
      </c>
      <c r="F1707" s="23">
        <f t="shared" si="562"/>
        <v>0.83333333333333348</v>
      </c>
      <c r="G1707" s="65">
        <f t="shared" si="562"/>
        <v>13.199999999999998</v>
      </c>
      <c r="H1707" s="77">
        <v>45.45454545454546</v>
      </c>
      <c r="I1707" s="71">
        <f t="shared" si="563"/>
        <v>1.1000000000000001</v>
      </c>
      <c r="J1707" s="23">
        <f t="shared" si="564"/>
        <v>0.83333333333333348</v>
      </c>
      <c r="K1707" s="65">
        <f t="shared" si="565"/>
        <v>13.199999999999998</v>
      </c>
      <c r="L1707" s="21">
        <v>600</v>
      </c>
      <c r="M1707" s="21">
        <v>660</v>
      </c>
    </row>
    <row r="1708" spans="1:13" ht="20.100000000000001" customHeight="1" x14ac:dyDescent="0.2">
      <c r="A1708" s="106" t="s">
        <v>2773</v>
      </c>
      <c r="B1708" s="125" t="s">
        <v>44</v>
      </c>
      <c r="C1708" s="49" t="s">
        <v>1</v>
      </c>
      <c r="D1708" s="50">
        <v>1</v>
      </c>
      <c r="E1708" s="51">
        <f t="shared" si="561"/>
        <v>0.84</v>
      </c>
      <c r="F1708" s="23">
        <f t="shared" si="562"/>
        <v>1.1904761904761905</v>
      </c>
      <c r="G1708" s="65">
        <f t="shared" si="562"/>
        <v>9.24</v>
      </c>
      <c r="H1708" s="77">
        <v>64.935064935064929</v>
      </c>
      <c r="I1708" s="71">
        <f t="shared" si="563"/>
        <v>1.1000000000000001</v>
      </c>
      <c r="J1708" s="23">
        <f t="shared" si="564"/>
        <v>1.1904761904761905</v>
      </c>
      <c r="K1708" s="65">
        <f t="shared" si="565"/>
        <v>9.24</v>
      </c>
      <c r="L1708" s="21">
        <v>600</v>
      </c>
      <c r="M1708" s="21">
        <v>660</v>
      </c>
    </row>
    <row r="1709" spans="1:13" ht="20.100000000000001" customHeight="1" x14ac:dyDescent="0.2">
      <c r="A1709" s="106" t="s">
        <v>2774</v>
      </c>
      <c r="B1709" s="125" t="s">
        <v>54</v>
      </c>
      <c r="C1709" s="49" t="s">
        <v>1</v>
      </c>
      <c r="D1709" s="50">
        <v>1</v>
      </c>
      <c r="E1709" s="51">
        <f t="shared" ref="E1709:E1772" si="566">G1709/11</f>
        <v>2.04</v>
      </c>
      <c r="F1709" s="23">
        <f t="shared" si="562"/>
        <v>0.49019607843137253</v>
      </c>
      <c r="G1709" s="65">
        <f t="shared" si="562"/>
        <v>22.44</v>
      </c>
      <c r="H1709" s="77">
        <v>26.737967914438499</v>
      </c>
      <c r="I1709" s="71">
        <f t="shared" si="563"/>
        <v>1.1000000000000001</v>
      </c>
      <c r="J1709" s="23">
        <f t="shared" si="564"/>
        <v>0.49019607843137253</v>
      </c>
      <c r="K1709" s="65">
        <f t="shared" si="565"/>
        <v>22.44</v>
      </c>
      <c r="L1709" s="21">
        <v>600</v>
      </c>
      <c r="M1709" s="21">
        <v>660</v>
      </c>
    </row>
    <row r="1710" spans="1:13" ht="20.100000000000001" customHeight="1" x14ac:dyDescent="0.2">
      <c r="A1710" s="106" t="s">
        <v>2775</v>
      </c>
      <c r="B1710" s="126" t="s">
        <v>275</v>
      </c>
      <c r="C1710" s="49" t="s">
        <v>1</v>
      </c>
      <c r="D1710" s="50">
        <v>1</v>
      </c>
      <c r="E1710" s="51">
        <f t="shared" si="566"/>
        <v>1.1999999999999997</v>
      </c>
      <c r="F1710" s="23">
        <f t="shared" si="562"/>
        <v>0.83333333333333348</v>
      </c>
      <c r="G1710" s="65">
        <f t="shared" si="562"/>
        <v>13.199999999999998</v>
      </c>
      <c r="H1710" s="77">
        <v>45.45454545454546</v>
      </c>
      <c r="I1710" s="71">
        <f t="shared" si="563"/>
        <v>1.1000000000000001</v>
      </c>
      <c r="J1710" s="23">
        <f t="shared" si="564"/>
        <v>0.83333333333333348</v>
      </c>
      <c r="K1710" s="65">
        <f t="shared" si="565"/>
        <v>13.199999999999998</v>
      </c>
      <c r="L1710" s="21">
        <v>600</v>
      </c>
      <c r="M1710" s="21">
        <v>660</v>
      </c>
    </row>
    <row r="1711" spans="1:13" ht="20.100000000000001" customHeight="1" x14ac:dyDescent="0.2">
      <c r="A1711" s="106" t="s">
        <v>2776</v>
      </c>
      <c r="B1711" s="125" t="s">
        <v>68</v>
      </c>
      <c r="C1711" s="49" t="s">
        <v>1</v>
      </c>
      <c r="D1711" s="50">
        <v>1</v>
      </c>
      <c r="E1711" s="51">
        <f t="shared" si="566"/>
        <v>0.96000000000000008</v>
      </c>
      <c r="F1711" s="23">
        <f t="shared" si="562"/>
        <v>1.0416666666666665</v>
      </c>
      <c r="G1711" s="65">
        <f t="shared" si="562"/>
        <v>10.56</v>
      </c>
      <c r="H1711" s="77">
        <v>56.818181818181813</v>
      </c>
      <c r="I1711" s="71">
        <f t="shared" si="563"/>
        <v>1.1000000000000001</v>
      </c>
      <c r="J1711" s="23">
        <f t="shared" si="564"/>
        <v>1.0416666666666665</v>
      </c>
      <c r="K1711" s="65">
        <f t="shared" si="565"/>
        <v>10.56</v>
      </c>
      <c r="L1711" s="21">
        <v>600</v>
      </c>
      <c r="M1711" s="21">
        <v>660</v>
      </c>
    </row>
    <row r="1712" spans="1:13" ht="20.100000000000001" customHeight="1" x14ac:dyDescent="0.2">
      <c r="A1712" s="106" t="s">
        <v>2777</v>
      </c>
      <c r="B1712" s="125" t="s">
        <v>69</v>
      </c>
      <c r="C1712" s="49" t="s">
        <v>1</v>
      </c>
      <c r="D1712" s="50">
        <v>1</v>
      </c>
      <c r="E1712" s="51">
        <f t="shared" si="566"/>
        <v>0.71999999999999986</v>
      </c>
      <c r="F1712" s="23">
        <f t="shared" si="562"/>
        <v>1.3888888888888891</v>
      </c>
      <c r="G1712" s="65">
        <f t="shared" si="562"/>
        <v>7.919999999999999</v>
      </c>
      <c r="H1712" s="77">
        <v>75.757575757575765</v>
      </c>
      <c r="I1712" s="71">
        <f t="shared" si="563"/>
        <v>1.1000000000000001</v>
      </c>
      <c r="J1712" s="23">
        <f t="shared" si="564"/>
        <v>1.3888888888888891</v>
      </c>
      <c r="K1712" s="65">
        <f t="shared" si="565"/>
        <v>7.919999999999999</v>
      </c>
      <c r="L1712" s="21">
        <v>600</v>
      </c>
      <c r="M1712" s="21">
        <v>660</v>
      </c>
    </row>
    <row r="1713" spans="1:13" ht="20.100000000000001" customHeight="1" x14ac:dyDescent="0.2">
      <c r="A1713" s="106" t="s">
        <v>2778</v>
      </c>
      <c r="B1713" s="125" t="s">
        <v>65</v>
      </c>
      <c r="C1713" s="49" t="s">
        <v>1</v>
      </c>
      <c r="D1713" s="50">
        <v>1</v>
      </c>
      <c r="E1713" s="51">
        <f t="shared" si="566"/>
        <v>1.1999999999999997</v>
      </c>
      <c r="F1713" s="23">
        <f t="shared" si="562"/>
        <v>0.83333333333333348</v>
      </c>
      <c r="G1713" s="65">
        <f t="shared" si="562"/>
        <v>13.199999999999998</v>
      </c>
      <c r="H1713" s="77">
        <v>45.45454545454546</v>
      </c>
      <c r="I1713" s="71">
        <f t="shared" si="563"/>
        <v>1.1000000000000001</v>
      </c>
      <c r="J1713" s="23">
        <f t="shared" si="564"/>
        <v>0.83333333333333348</v>
      </c>
      <c r="K1713" s="65">
        <f t="shared" si="565"/>
        <v>13.199999999999998</v>
      </c>
      <c r="L1713" s="21">
        <v>600</v>
      </c>
      <c r="M1713" s="21">
        <v>660</v>
      </c>
    </row>
    <row r="1714" spans="1:13" ht="20.100000000000001" customHeight="1" x14ac:dyDescent="0.2">
      <c r="A1714" s="106" t="s">
        <v>2779</v>
      </c>
      <c r="B1714" s="125" t="s">
        <v>109</v>
      </c>
      <c r="C1714" s="49" t="s">
        <v>1</v>
      </c>
      <c r="D1714" s="50">
        <v>1</v>
      </c>
      <c r="E1714" s="51">
        <f t="shared" si="566"/>
        <v>1.0799999999999998</v>
      </c>
      <c r="F1714" s="23">
        <f t="shared" si="562"/>
        <v>0.92592592592592604</v>
      </c>
      <c r="G1714" s="65">
        <f t="shared" si="562"/>
        <v>11.879999999999999</v>
      </c>
      <c r="H1714" s="77">
        <v>50.505050505050505</v>
      </c>
      <c r="I1714" s="71">
        <f t="shared" si="563"/>
        <v>1.1000000000000001</v>
      </c>
      <c r="J1714" s="23">
        <f t="shared" si="564"/>
        <v>0.92592592592592604</v>
      </c>
      <c r="K1714" s="65">
        <f t="shared" si="565"/>
        <v>11.879999999999999</v>
      </c>
      <c r="L1714" s="21">
        <v>600</v>
      </c>
      <c r="M1714" s="21">
        <v>660</v>
      </c>
    </row>
    <row r="1715" spans="1:13" ht="20.100000000000001" customHeight="1" x14ac:dyDescent="0.2">
      <c r="A1715" s="106" t="s">
        <v>2780</v>
      </c>
      <c r="B1715" s="125" t="s">
        <v>112</v>
      </c>
      <c r="C1715" s="49" t="s">
        <v>1</v>
      </c>
      <c r="D1715" s="50">
        <v>1</v>
      </c>
      <c r="E1715" s="51">
        <f t="shared" si="566"/>
        <v>0.84</v>
      </c>
      <c r="F1715" s="23">
        <f t="shared" si="562"/>
        <v>1.1904761904761905</v>
      </c>
      <c r="G1715" s="65">
        <f t="shared" si="562"/>
        <v>9.24</v>
      </c>
      <c r="H1715" s="77">
        <v>64.935064935064929</v>
      </c>
      <c r="I1715" s="71">
        <f t="shared" si="563"/>
        <v>1.1000000000000001</v>
      </c>
      <c r="J1715" s="23">
        <f t="shared" si="564"/>
        <v>1.1904761904761905</v>
      </c>
      <c r="K1715" s="65">
        <f t="shared" si="565"/>
        <v>9.24</v>
      </c>
      <c r="L1715" s="21">
        <v>600</v>
      </c>
      <c r="M1715" s="21">
        <v>660</v>
      </c>
    </row>
    <row r="1716" spans="1:13" ht="20.100000000000001" customHeight="1" x14ac:dyDescent="0.2">
      <c r="A1716" s="106" t="s">
        <v>2781</v>
      </c>
      <c r="B1716" s="125" t="s">
        <v>67</v>
      </c>
      <c r="C1716" s="49" t="s">
        <v>1</v>
      </c>
      <c r="D1716" s="50">
        <v>1</v>
      </c>
      <c r="E1716" s="51">
        <f t="shared" si="566"/>
        <v>0.96000000000000008</v>
      </c>
      <c r="F1716" s="23">
        <f t="shared" si="562"/>
        <v>1.0416666666666665</v>
      </c>
      <c r="G1716" s="65">
        <f t="shared" si="562"/>
        <v>10.56</v>
      </c>
      <c r="H1716" s="77">
        <v>56.818181818181813</v>
      </c>
      <c r="I1716" s="71">
        <f t="shared" si="563"/>
        <v>1.1000000000000001</v>
      </c>
      <c r="J1716" s="23">
        <f t="shared" si="564"/>
        <v>1.0416666666666665</v>
      </c>
      <c r="K1716" s="65">
        <f t="shared" si="565"/>
        <v>10.56</v>
      </c>
      <c r="L1716" s="21">
        <v>600</v>
      </c>
      <c r="M1716" s="21">
        <v>660</v>
      </c>
    </row>
    <row r="1717" spans="1:13" ht="20.100000000000001" customHeight="1" x14ac:dyDescent="0.2">
      <c r="A1717" s="106" t="s">
        <v>2782</v>
      </c>
      <c r="B1717" s="125" t="s">
        <v>110</v>
      </c>
      <c r="C1717" s="49" t="s">
        <v>1</v>
      </c>
      <c r="D1717" s="50">
        <v>1</v>
      </c>
      <c r="E1717" s="51">
        <f t="shared" si="566"/>
        <v>0.84</v>
      </c>
      <c r="F1717" s="23">
        <f t="shared" si="562"/>
        <v>1.1904761904761905</v>
      </c>
      <c r="G1717" s="65">
        <f t="shared" si="562"/>
        <v>9.24</v>
      </c>
      <c r="H1717" s="77">
        <v>64.935064935064929</v>
      </c>
      <c r="I1717" s="71">
        <f t="shared" si="563"/>
        <v>1.1000000000000001</v>
      </c>
      <c r="J1717" s="23">
        <f t="shared" si="564"/>
        <v>1.1904761904761905</v>
      </c>
      <c r="K1717" s="65">
        <f t="shared" si="565"/>
        <v>9.24</v>
      </c>
      <c r="L1717" s="21">
        <v>600</v>
      </c>
      <c r="M1717" s="21">
        <v>660</v>
      </c>
    </row>
    <row r="1718" spans="1:13" ht="20.100000000000001" customHeight="1" x14ac:dyDescent="0.2">
      <c r="A1718" s="106" t="s">
        <v>2783</v>
      </c>
      <c r="B1718" s="125" t="s">
        <v>113</v>
      </c>
      <c r="C1718" s="49" t="s">
        <v>1</v>
      </c>
      <c r="D1718" s="50">
        <v>1</v>
      </c>
      <c r="E1718" s="51">
        <f t="shared" si="566"/>
        <v>0.59999999999999987</v>
      </c>
      <c r="F1718" s="23">
        <f t="shared" si="562"/>
        <v>1.666666666666667</v>
      </c>
      <c r="G1718" s="65">
        <f t="shared" si="562"/>
        <v>6.5999999999999988</v>
      </c>
      <c r="H1718" s="77">
        <v>90.909090909090921</v>
      </c>
      <c r="I1718" s="71">
        <f t="shared" si="563"/>
        <v>1.1000000000000001</v>
      </c>
      <c r="J1718" s="23">
        <f t="shared" si="564"/>
        <v>1.666666666666667</v>
      </c>
      <c r="K1718" s="65">
        <f t="shared" si="565"/>
        <v>6.5999999999999988</v>
      </c>
      <c r="L1718" s="21">
        <v>600</v>
      </c>
      <c r="M1718" s="21">
        <v>660</v>
      </c>
    </row>
    <row r="1719" spans="1:13" ht="20.100000000000001" customHeight="1" x14ac:dyDescent="0.2">
      <c r="A1719" s="106" t="s">
        <v>2784</v>
      </c>
      <c r="B1719" s="125" t="s">
        <v>66</v>
      </c>
      <c r="C1719" s="49" t="s">
        <v>1</v>
      </c>
      <c r="D1719" s="50">
        <v>1</v>
      </c>
      <c r="E1719" s="51">
        <f t="shared" si="566"/>
        <v>0.71999999999999986</v>
      </c>
      <c r="F1719" s="23">
        <f t="shared" si="562"/>
        <v>1.3888888888888891</v>
      </c>
      <c r="G1719" s="65">
        <f t="shared" si="562"/>
        <v>7.919999999999999</v>
      </c>
      <c r="H1719" s="77">
        <v>75.757575757575765</v>
      </c>
      <c r="I1719" s="71">
        <f t="shared" si="563"/>
        <v>1.1000000000000001</v>
      </c>
      <c r="J1719" s="23">
        <f t="shared" si="564"/>
        <v>1.3888888888888891</v>
      </c>
      <c r="K1719" s="65">
        <f t="shared" si="565"/>
        <v>7.919999999999999</v>
      </c>
      <c r="L1719" s="21">
        <v>600</v>
      </c>
      <c r="M1719" s="21">
        <v>660</v>
      </c>
    </row>
    <row r="1720" spans="1:13" ht="20.100000000000001" customHeight="1" x14ac:dyDescent="0.2">
      <c r="A1720" s="106" t="s">
        <v>2785</v>
      </c>
      <c r="B1720" s="125" t="s">
        <v>111</v>
      </c>
      <c r="C1720" s="49" t="s">
        <v>1</v>
      </c>
      <c r="D1720" s="50">
        <v>1</v>
      </c>
      <c r="E1720" s="51">
        <f t="shared" si="566"/>
        <v>0.59999999999999987</v>
      </c>
      <c r="F1720" s="23">
        <f t="shared" si="562"/>
        <v>1.666666666666667</v>
      </c>
      <c r="G1720" s="65">
        <f t="shared" si="562"/>
        <v>6.5999999999999988</v>
      </c>
      <c r="H1720" s="77">
        <v>90.909090909090921</v>
      </c>
      <c r="I1720" s="71">
        <f t="shared" si="563"/>
        <v>1.1000000000000001</v>
      </c>
      <c r="J1720" s="23">
        <f t="shared" si="564"/>
        <v>1.666666666666667</v>
      </c>
      <c r="K1720" s="65">
        <f t="shared" si="565"/>
        <v>6.5999999999999988</v>
      </c>
      <c r="L1720" s="21">
        <v>600</v>
      </c>
      <c r="M1720" s="21">
        <v>660</v>
      </c>
    </row>
    <row r="1721" spans="1:13" ht="20.100000000000001" customHeight="1" x14ac:dyDescent="0.2">
      <c r="A1721" s="106" t="s">
        <v>2786</v>
      </c>
      <c r="B1721" s="126" t="s">
        <v>173</v>
      </c>
      <c r="C1721" s="21" t="s">
        <v>1</v>
      </c>
      <c r="D1721" s="50">
        <v>1</v>
      </c>
      <c r="E1721" s="51">
        <f t="shared" si="566"/>
        <v>5.7599999999999989</v>
      </c>
      <c r="F1721" s="23">
        <f t="shared" si="562"/>
        <v>0.17361111111111113</v>
      </c>
      <c r="G1721" s="65">
        <f t="shared" si="562"/>
        <v>63.359999999999992</v>
      </c>
      <c r="H1721" s="77">
        <v>9.4696969696969706</v>
      </c>
      <c r="I1721" s="71">
        <f t="shared" si="563"/>
        <v>1.1000000000000001</v>
      </c>
      <c r="J1721" s="23">
        <f t="shared" si="564"/>
        <v>0.17361111111111113</v>
      </c>
      <c r="K1721" s="65">
        <f t="shared" si="565"/>
        <v>63.359999999999992</v>
      </c>
      <c r="L1721" s="21">
        <v>600</v>
      </c>
      <c r="M1721" s="21">
        <v>660</v>
      </c>
    </row>
    <row r="1722" spans="1:13" ht="20.100000000000001" customHeight="1" x14ac:dyDescent="0.2">
      <c r="A1722" s="106" t="s">
        <v>2787</v>
      </c>
      <c r="B1722" s="126" t="s">
        <v>176</v>
      </c>
      <c r="C1722" s="21" t="s">
        <v>1</v>
      </c>
      <c r="D1722" s="50">
        <v>1</v>
      </c>
      <c r="E1722" s="51">
        <f t="shared" si="566"/>
        <v>5.16</v>
      </c>
      <c r="F1722" s="23">
        <f t="shared" si="562"/>
        <v>0.19379844961240308</v>
      </c>
      <c r="G1722" s="65">
        <f t="shared" si="562"/>
        <v>56.760000000000005</v>
      </c>
      <c r="H1722" s="77">
        <v>10.570824524312895</v>
      </c>
      <c r="I1722" s="71">
        <f t="shared" si="563"/>
        <v>1.1000000000000001</v>
      </c>
      <c r="J1722" s="23">
        <f t="shared" si="564"/>
        <v>0.19379844961240308</v>
      </c>
      <c r="K1722" s="65">
        <f t="shared" si="565"/>
        <v>56.760000000000005</v>
      </c>
      <c r="L1722" s="21">
        <v>600</v>
      </c>
      <c r="M1722" s="21">
        <v>660</v>
      </c>
    </row>
    <row r="1723" spans="1:13" ht="20.100000000000001" customHeight="1" x14ac:dyDescent="0.2">
      <c r="A1723" s="106" t="s">
        <v>2788</v>
      </c>
      <c r="B1723" s="126" t="s">
        <v>177</v>
      </c>
      <c r="C1723" s="21" t="s">
        <v>1</v>
      </c>
      <c r="D1723" s="50">
        <v>1</v>
      </c>
      <c r="E1723" s="51">
        <f t="shared" si="566"/>
        <v>4.5599999999999996</v>
      </c>
      <c r="F1723" s="23">
        <f t="shared" si="562"/>
        <v>0.2192982456140351</v>
      </c>
      <c r="G1723" s="65">
        <f t="shared" si="562"/>
        <v>50.16</v>
      </c>
      <c r="H1723" s="77">
        <v>11.961722488038278</v>
      </c>
      <c r="I1723" s="71">
        <f t="shared" si="563"/>
        <v>1.1000000000000001</v>
      </c>
      <c r="J1723" s="23">
        <f t="shared" si="564"/>
        <v>0.2192982456140351</v>
      </c>
      <c r="K1723" s="65">
        <f t="shared" si="565"/>
        <v>50.16</v>
      </c>
      <c r="L1723" s="21">
        <v>600</v>
      </c>
      <c r="M1723" s="21">
        <v>660</v>
      </c>
    </row>
    <row r="1724" spans="1:13" ht="20.100000000000001" customHeight="1" x14ac:dyDescent="0.2">
      <c r="A1724" s="106" t="s">
        <v>2789</v>
      </c>
      <c r="B1724" s="126" t="s">
        <v>178</v>
      </c>
      <c r="C1724" s="21" t="s">
        <v>1</v>
      </c>
      <c r="D1724" s="50">
        <v>1</v>
      </c>
      <c r="E1724" s="51">
        <f t="shared" si="566"/>
        <v>4.3199999999999994</v>
      </c>
      <c r="F1724" s="23">
        <f t="shared" si="562"/>
        <v>0.23148148148148151</v>
      </c>
      <c r="G1724" s="65">
        <f t="shared" si="562"/>
        <v>47.519999999999996</v>
      </c>
      <c r="H1724" s="77">
        <v>12.626262626262626</v>
      </c>
      <c r="I1724" s="71">
        <f t="shared" si="563"/>
        <v>1.1000000000000001</v>
      </c>
      <c r="J1724" s="23">
        <f t="shared" si="564"/>
        <v>0.23148148148148151</v>
      </c>
      <c r="K1724" s="65">
        <f t="shared" si="565"/>
        <v>47.519999999999996</v>
      </c>
      <c r="L1724" s="21">
        <v>600</v>
      </c>
      <c r="M1724" s="21">
        <v>660</v>
      </c>
    </row>
    <row r="1725" spans="1:13" ht="20.100000000000001" customHeight="1" x14ac:dyDescent="0.2">
      <c r="A1725" s="106" t="s">
        <v>2790</v>
      </c>
      <c r="B1725" s="126" t="s">
        <v>179</v>
      </c>
      <c r="C1725" s="21" t="s">
        <v>1</v>
      </c>
      <c r="D1725" s="50">
        <v>1</v>
      </c>
      <c r="E1725" s="51">
        <f t="shared" si="566"/>
        <v>3.9599999999999995</v>
      </c>
      <c r="F1725" s="23">
        <f t="shared" si="562"/>
        <v>0.25252525252525254</v>
      </c>
      <c r="G1725" s="65">
        <f t="shared" si="562"/>
        <v>43.559999999999995</v>
      </c>
      <c r="H1725" s="77">
        <v>13.774104683195592</v>
      </c>
      <c r="I1725" s="71">
        <f t="shared" si="563"/>
        <v>1.1000000000000001</v>
      </c>
      <c r="J1725" s="23">
        <f t="shared" si="564"/>
        <v>0.25252525252525254</v>
      </c>
      <c r="K1725" s="65">
        <f t="shared" si="565"/>
        <v>43.559999999999995</v>
      </c>
      <c r="L1725" s="21">
        <v>600</v>
      </c>
      <c r="M1725" s="21">
        <v>660</v>
      </c>
    </row>
    <row r="1726" spans="1:13" ht="20.100000000000001" customHeight="1" x14ac:dyDescent="0.2">
      <c r="A1726" s="106" t="s">
        <v>2791</v>
      </c>
      <c r="B1726" s="126" t="s">
        <v>175</v>
      </c>
      <c r="C1726" s="21" t="s">
        <v>1</v>
      </c>
      <c r="D1726" s="50">
        <v>1</v>
      </c>
      <c r="E1726" s="51">
        <f t="shared" si="566"/>
        <v>3.36</v>
      </c>
      <c r="F1726" s="23">
        <f t="shared" si="562"/>
        <v>0.29761904761904762</v>
      </c>
      <c r="G1726" s="65">
        <f t="shared" si="562"/>
        <v>36.96</v>
      </c>
      <c r="H1726" s="77">
        <v>16.233766233766232</v>
      </c>
      <c r="I1726" s="71">
        <f t="shared" si="563"/>
        <v>1.1000000000000001</v>
      </c>
      <c r="J1726" s="23">
        <f t="shared" si="564"/>
        <v>0.29761904761904762</v>
      </c>
      <c r="K1726" s="65">
        <f t="shared" si="565"/>
        <v>36.96</v>
      </c>
      <c r="L1726" s="21">
        <v>600</v>
      </c>
      <c r="M1726" s="21">
        <v>660</v>
      </c>
    </row>
    <row r="1727" spans="1:13" ht="20.100000000000001" customHeight="1" x14ac:dyDescent="0.2">
      <c r="A1727" s="106" t="s">
        <v>2792</v>
      </c>
      <c r="B1727" s="126" t="s">
        <v>174</v>
      </c>
      <c r="C1727" s="21" t="s">
        <v>1</v>
      </c>
      <c r="D1727" s="50">
        <v>1</v>
      </c>
      <c r="E1727" s="51">
        <f t="shared" si="566"/>
        <v>3</v>
      </c>
      <c r="F1727" s="23">
        <f t="shared" si="562"/>
        <v>0.33333333333333331</v>
      </c>
      <c r="G1727" s="65">
        <f t="shared" si="562"/>
        <v>33</v>
      </c>
      <c r="H1727" s="77">
        <v>18.18181818181818</v>
      </c>
      <c r="I1727" s="71">
        <f t="shared" si="563"/>
        <v>1.1000000000000001</v>
      </c>
      <c r="J1727" s="23">
        <f t="shared" si="564"/>
        <v>0.33333333333333331</v>
      </c>
      <c r="K1727" s="65">
        <f t="shared" si="565"/>
        <v>33</v>
      </c>
      <c r="L1727" s="21">
        <v>600</v>
      </c>
      <c r="M1727" s="21">
        <v>660</v>
      </c>
    </row>
    <row r="1728" spans="1:13" ht="20.100000000000001" customHeight="1" x14ac:dyDescent="0.2">
      <c r="A1728" s="106" t="s">
        <v>2793</v>
      </c>
      <c r="B1728" s="137" t="s">
        <v>94</v>
      </c>
      <c r="C1728" s="60" t="s">
        <v>19</v>
      </c>
      <c r="D1728" s="50">
        <v>1</v>
      </c>
      <c r="E1728" s="51">
        <f t="shared" si="566"/>
        <v>122.39999999999999</v>
      </c>
      <c r="F1728" s="23">
        <f t="shared" si="562"/>
        <v>8.1699346405228763E-3</v>
      </c>
      <c r="G1728" s="65">
        <f t="shared" si="562"/>
        <v>1346.3999999999999</v>
      </c>
      <c r="H1728" s="77">
        <v>0.44563279857397509</v>
      </c>
      <c r="I1728" s="71">
        <f t="shared" si="563"/>
        <v>1.1000000000000001</v>
      </c>
      <c r="J1728" s="23">
        <f t="shared" si="564"/>
        <v>8.1699346405228763E-3</v>
      </c>
      <c r="K1728" s="65">
        <f t="shared" si="565"/>
        <v>1346.3999999999999</v>
      </c>
      <c r="L1728" s="21">
        <v>600</v>
      </c>
      <c r="M1728" s="21">
        <v>660</v>
      </c>
    </row>
    <row r="1729" spans="1:13" ht="20.100000000000001" customHeight="1" x14ac:dyDescent="0.2">
      <c r="A1729" s="106" t="s">
        <v>2794</v>
      </c>
      <c r="B1729" s="125" t="s">
        <v>95</v>
      </c>
      <c r="C1729" s="60" t="s">
        <v>19</v>
      </c>
      <c r="D1729" s="50">
        <v>1</v>
      </c>
      <c r="E1729" s="51">
        <f t="shared" si="566"/>
        <v>73.8</v>
      </c>
      <c r="F1729" s="23">
        <f t="shared" si="562"/>
        <v>1.3550135501355014E-2</v>
      </c>
      <c r="G1729" s="65">
        <f t="shared" si="562"/>
        <v>811.8</v>
      </c>
      <c r="H1729" s="77">
        <v>0.73909830007390986</v>
      </c>
      <c r="I1729" s="71">
        <f t="shared" si="563"/>
        <v>1.1000000000000001</v>
      </c>
      <c r="J1729" s="23">
        <f t="shared" si="564"/>
        <v>1.3550135501355014E-2</v>
      </c>
      <c r="K1729" s="65">
        <f t="shared" si="565"/>
        <v>811.8</v>
      </c>
      <c r="L1729" s="21">
        <v>600</v>
      </c>
      <c r="M1729" s="21">
        <v>660</v>
      </c>
    </row>
    <row r="1730" spans="1:13" ht="20.100000000000001" customHeight="1" x14ac:dyDescent="0.2">
      <c r="A1730" s="106" t="s">
        <v>2795</v>
      </c>
      <c r="B1730" s="137" t="s">
        <v>96</v>
      </c>
      <c r="C1730" s="60" t="s">
        <v>19</v>
      </c>
      <c r="D1730" s="50">
        <v>1</v>
      </c>
      <c r="E1730" s="51">
        <f t="shared" si="566"/>
        <v>41.879999999999988</v>
      </c>
      <c r="F1730" s="23">
        <f t="shared" si="562"/>
        <v>2.3877745940783197E-2</v>
      </c>
      <c r="G1730" s="65">
        <f t="shared" si="562"/>
        <v>460.67999999999989</v>
      </c>
      <c r="H1730" s="77">
        <v>1.3024225058609014</v>
      </c>
      <c r="I1730" s="71">
        <f t="shared" si="563"/>
        <v>1.1000000000000001</v>
      </c>
      <c r="J1730" s="23">
        <f t="shared" si="564"/>
        <v>2.3877745940783197E-2</v>
      </c>
      <c r="K1730" s="65">
        <f t="shared" si="565"/>
        <v>460.67999999999989</v>
      </c>
      <c r="L1730" s="21">
        <v>600</v>
      </c>
      <c r="M1730" s="21">
        <v>660</v>
      </c>
    </row>
    <row r="1731" spans="1:13" ht="20.100000000000001" customHeight="1" x14ac:dyDescent="0.2">
      <c r="A1731" s="106" t="s">
        <v>2796</v>
      </c>
      <c r="B1731" s="137" t="s">
        <v>97</v>
      </c>
      <c r="C1731" s="60" t="s">
        <v>19</v>
      </c>
      <c r="D1731" s="50">
        <v>1</v>
      </c>
      <c r="E1731" s="51">
        <f t="shared" si="566"/>
        <v>31.679999999999996</v>
      </c>
      <c r="F1731" s="23">
        <f t="shared" si="562"/>
        <v>3.1565656565656568E-2</v>
      </c>
      <c r="G1731" s="65">
        <f t="shared" si="562"/>
        <v>348.47999999999996</v>
      </c>
      <c r="H1731" s="77">
        <v>1.721763085399449</v>
      </c>
      <c r="I1731" s="71">
        <f t="shared" si="563"/>
        <v>1.1000000000000001</v>
      </c>
      <c r="J1731" s="23">
        <f t="shared" si="564"/>
        <v>3.1565656565656568E-2</v>
      </c>
      <c r="K1731" s="65">
        <f t="shared" si="565"/>
        <v>348.47999999999996</v>
      </c>
      <c r="L1731" s="21">
        <v>600</v>
      </c>
      <c r="M1731" s="21">
        <v>660</v>
      </c>
    </row>
    <row r="1732" spans="1:13" ht="20.100000000000001" customHeight="1" x14ac:dyDescent="0.2">
      <c r="A1732" s="106" t="s">
        <v>2797</v>
      </c>
      <c r="B1732" s="137" t="s">
        <v>114</v>
      </c>
      <c r="C1732" s="60" t="s">
        <v>19</v>
      </c>
      <c r="D1732" s="50">
        <v>1</v>
      </c>
      <c r="E1732" s="51">
        <f t="shared" si="566"/>
        <v>154.32</v>
      </c>
      <c r="F1732" s="23">
        <f t="shared" si="562"/>
        <v>6.4800414722654227E-3</v>
      </c>
      <c r="G1732" s="65">
        <f t="shared" si="562"/>
        <v>1697.52</v>
      </c>
      <c r="H1732" s="77">
        <v>0.35345680757811393</v>
      </c>
      <c r="I1732" s="71">
        <f t="shared" si="563"/>
        <v>1.1000000000000001</v>
      </c>
      <c r="J1732" s="23">
        <f t="shared" si="564"/>
        <v>6.4800414722654227E-3</v>
      </c>
      <c r="K1732" s="65">
        <f t="shared" si="565"/>
        <v>1697.52</v>
      </c>
      <c r="L1732" s="21">
        <v>600</v>
      </c>
      <c r="M1732" s="21">
        <v>660</v>
      </c>
    </row>
    <row r="1733" spans="1:13" ht="20.100000000000001" customHeight="1" x14ac:dyDescent="0.2">
      <c r="A1733" s="106" t="s">
        <v>2798</v>
      </c>
      <c r="B1733" s="137" t="s">
        <v>115</v>
      </c>
      <c r="C1733" s="60" t="s">
        <v>19</v>
      </c>
      <c r="D1733" s="50">
        <v>1</v>
      </c>
      <c r="E1733" s="51">
        <f t="shared" si="566"/>
        <v>83.28</v>
      </c>
      <c r="F1733" s="23">
        <f t="shared" si="562"/>
        <v>1.2007684918347743E-2</v>
      </c>
      <c r="G1733" s="65">
        <f t="shared" si="562"/>
        <v>916.08</v>
      </c>
      <c r="H1733" s="77">
        <v>0.65496463190987675</v>
      </c>
      <c r="I1733" s="71">
        <f t="shared" si="563"/>
        <v>1.1000000000000001</v>
      </c>
      <c r="J1733" s="23">
        <f t="shared" si="564"/>
        <v>1.2007684918347743E-2</v>
      </c>
      <c r="K1733" s="65">
        <f t="shared" si="565"/>
        <v>916.08</v>
      </c>
      <c r="L1733" s="21">
        <v>600</v>
      </c>
      <c r="M1733" s="21">
        <v>660</v>
      </c>
    </row>
    <row r="1734" spans="1:13" ht="20.100000000000001" customHeight="1" x14ac:dyDescent="0.2">
      <c r="A1734" s="106" t="s">
        <v>2799</v>
      </c>
      <c r="B1734" s="137" t="s">
        <v>116</v>
      </c>
      <c r="C1734" s="60" t="s">
        <v>19</v>
      </c>
      <c r="D1734" s="50">
        <v>1</v>
      </c>
      <c r="E1734" s="51">
        <f t="shared" si="566"/>
        <v>47.28</v>
      </c>
      <c r="F1734" s="23">
        <f t="shared" si="562"/>
        <v>2.1150592216582064E-2</v>
      </c>
      <c r="G1734" s="65">
        <f t="shared" si="562"/>
        <v>520.08000000000004</v>
      </c>
      <c r="H1734" s="77">
        <v>1.1536686663590217</v>
      </c>
      <c r="I1734" s="71">
        <f t="shared" si="563"/>
        <v>1.1000000000000001</v>
      </c>
      <c r="J1734" s="23">
        <f t="shared" si="564"/>
        <v>2.1150592216582064E-2</v>
      </c>
      <c r="K1734" s="65">
        <f t="shared" si="565"/>
        <v>520.08000000000004</v>
      </c>
      <c r="L1734" s="21">
        <v>600</v>
      </c>
      <c r="M1734" s="21">
        <v>660</v>
      </c>
    </row>
    <row r="1735" spans="1:13" ht="20.100000000000001" customHeight="1" x14ac:dyDescent="0.2">
      <c r="A1735" s="106" t="s">
        <v>2800</v>
      </c>
      <c r="B1735" s="137" t="s">
        <v>117</v>
      </c>
      <c r="C1735" s="60" t="s">
        <v>19</v>
      </c>
      <c r="D1735" s="50">
        <v>1</v>
      </c>
      <c r="E1735" s="51">
        <f t="shared" si="566"/>
        <v>35.76</v>
      </c>
      <c r="F1735" s="23">
        <f t="shared" si="562"/>
        <v>2.7964205816554812E-2</v>
      </c>
      <c r="G1735" s="65">
        <f t="shared" si="562"/>
        <v>393.35999999999996</v>
      </c>
      <c r="H1735" s="77">
        <v>1.5253203172666261</v>
      </c>
      <c r="I1735" s="71">
        <f t="shared" si="563"/>
        <v>1.1000000000000001</v>
      </c>
      <c r="J1735" s="23">
        <f t="shared" si="564"/>
        <v>2.7964205816554812E-2</v>
      </c>
      <c r="K1735" s="65">
        <f t="shared" si="565"/>
        <v>393.35999999999996</v>
      </c>
      <c r="L1735" s="21">
        <v>600</v>
      </c>
      <c r="M1735" s="21">
        <v>660</v>
      </c>
    </row>
    <row r="1736" spans="1:13" ht="20.100000000000001" customHeight="1" x14ac:dyDescent="0.2">
      <c r="A1736" s="106" t="s">
        <v>2801</v>
      </c>
      <c r="B1736" s="137" t="s">
        <v>98</v>
      </c>
      <c r="C1736" s="60" t="s">
        <v>19</v>
      </c>
      <c r="D1736" s="50">
        <v>1</v>
      </c>
      <c r="E1736" s="51">
        <f t="shared" si="566"/>
        <v>315.47999999999996</v>
      </c>
      <c r="F1736" s="23">
        <f t="shared" si="562"/>
        <v>3.1697730442500323E-3</v>
      </c>
      <c r="G1736" s="65">
        <f t="shared" si="562"/>
        <v>3470.2799999999993</v>
      </c>
      <c r="H1736" s="77">
        <v>0.17289671150454719</v>
      </c>
      <c r="I1736" s="71">
        <f t="shared" si="563"/>
        <v>1.1000000000000001</v>
      </c>
      <c r="J1736" s="23">
        <f t="shared" si="564"/>
        <v>3.1697730442500323E-3</v>
      </c>
      <c r="K1736" s="65">
        <f t="shared" si="565"/>
        <v>3470.2799999999993</v>
      </c>
      <c r="L1736" s="21">
        <v>600</v>
      </c>
      <c r="M1736" s="21">
        <v>660</v>
      </c>
    </row>
    <row r="1737" spans="1:13" ht="20.100000000000001" customHeight="1" x14ac:dyDescent="0.2">
      <c r="A1737" s="106" t="s">
        <v>2802</v>
      </c>
      <c r="B1737" s="137" t="s">
        <v>99</v>
      </c>
      <c r="C1737" s="60" t="s">
        <v>19</v>
      </c>
      <c r="D1737" s="50">
        <v>1</v>
      </c>
      <c r="E1737" s="51">
        <f t="shared" si="566"/>
        <v>201</v>
      </c>
      <c r="F1737" s="23">
        <f t="shared" si="562"/>
        <v>4.9751243781094526E-3</v>
      </c>
      <c r="G1737" s="65">
        <f t="shared" si="562"/>
        <v>2211</v>
      </c>
      <c r="H1737" s="77">
        <v>0.27137042062415195</v>
      </c>
      <c r="I1737" s="71">
        <f t="shared" si="563"/>
        <v>1.1000000000000001</v>
      </c>
      <c r="J1737" s="23">
        <f t="shared" si="564"/>
        <v>4.9751243781094526E-3</v>
      </c>
      <c r="K1737" s="65">
        <f t="shared" si="565"/>
        <v>2211</v>
      </c>
      <c r="L1737" s="21">
        <v>600</v>
      </c>
      <c r="M1737" s="21">
        <v>660</v>
      </c>
    </row>
    <row r="1738" spans="1:13" ht="20.100000000000001" customHeight="1" x14ac:dyDescent="0.2">
      <c r="A1738" s="106" t="s">
        <v>2803</v>
      </c>
      <c r="B1738" s="137" t="s">
        <v>100</v>
      </c>
      <c r="C1738" s="60" t="s">
        <v>19</v>
      </c>
      <c r="D1738" s="50">
        <v>1</v>
      </c>
      <c r="E1738" s="51">
        <f t="shared" si="566"/>
        <v>127.31999999999998</v>
      </c>
      <c r="F1738" s="23">
        <f t="shared" si="562"/>
        <v>7.8542255733584677E-3</v>
      </c>
      <c r="G1738" s="65">
        <f t="shared" si="562"/>
        <v>1400.5199999999998</v>
      </c>
      <c r="H1738" s="77">
        <v>0.42841230400137092</v>
      </c>
      <c r="I1738" s="71">
        <f t="shared" si="563"/>
        <v>1.1000000000000001</v>
      </c>
      <c r="J1738" s="23">
        <f t="shared" si="564"/>
        <v>7.8542255733584677E-3</v>
      </c>
      <c r="K1738" s="65">
        <f t="shared" si="565"/>
        <v>1400.5199999999998</v>
      </c>
      <c r="L1738" s="21">
        <v>600</v>
      </c>
      <c r="M1738" s="21">
        <v>660</v>
      </c>
    </row>
    <row r="1739" spans="1:13" ht="20.100000000000001" customHeight="1" x14ac:dyDescent="0.2">
      <c r="A1739" s="106" t="s">
        <v>2804</v>
      </c>
      <c r="B1739" s="137" t="s">
        <v>101</v>
      </c>
      <c r="C1739" s="60" t="s">
        <v>19</v>
      </c>
      <c r="D1739" s="50">
        <v>1</v>
      </c>
      <c r="E1739" s="51">
        <f t="shared" si="566"/>
        <v>96.96</v>
      </c>
      <c r="F1739" s="23">
        <f t="shared" si="562"/>
        <v>1.0313531353135313E-2</v>
      </c>
      <c r="G1739" s="65">
        <f t="shared" si="562"/>
        <v>1066.56</v>
      </c>
      <c r="H1739" s="77">
        <v>0.56255625562556255</v>
      </c>
      <c r="I1739" s="71">
        <f t="shared" si="563"/>
        <v>1.1000000000000001</v>
      </c>
      <c r="J1739" s="23">
        <f t="shared" si="564"/>
        <v>1.0313531353135313E-2</v>
      </c>
      <c r="K1739" s="65">
        <f t="shared" si="565"/>
        <v>1066.56</v>
      </c>
      <c r="L1739" s="21">
        <v>600</v>
      </c>
      <c r="M1739" s="21">
        <v>660</v>
      </c>
    </row>
    <row r="1740" spans="1:13" ht="20.100000000000001" customHeight="1" x14ac:dyDescent="0.2">
      <c r="A1740" s="106" t="s">
        <v>2805</v>
      </c>
      <c r="B1740" s="137" t="s">
        <v>103</v>
      </c>
      <c r="C1740" s="60" t="s">
        <v>19</v>
      </c>
      <c r="D1740" s="50">
        <v>1</v>
      </c>
      <c r="E1740" s="51">
        <f t="shared" si="566"/>
        <v>24.12</v>
      </c>
      <c r="F1740" s="23">
        <f t="shared" si="562"/>
        <v>4.1459369817578771E-2</v>
      </c>
      <c r="G1740" s="65">
        <f t="shared" si="562"/>
        <v>265.32</v>
      </c>
      <c r="H1740" s="77">
        <v>2.261420171867933</v>
      </c>
      <c r="I1740" s="71">
        <f t="shared" si="563"/>
        <v>1.1000000000000001</v>
      </c>
      <c r="J1740" s="23">
        <f t="shared" si="564"/>
        <v>4.1459369817578771E-2</v>
      </c>
      <c r="K1740" s="65">
        <f t="shared" si="565"/>
        <v>265.32</v>
      </c>
      <c r="L1740" s="21">
        <v>600</v>
      </c>
      <c r="M1740" s="21">
        <v>660</v>
      </c>
    </row>
    <row r="1741" spans="1:13" ht="20.100000000000001" customHeight="1" x14ac:dyDescent="0.2">
      <c r="A1741" s="106" t="s">
        <v>2806</v>
      </c>
      <c r="B1741" s="125" t="s">
        <v>104</v>
      </c>
      <c r="C1741" s="60" t="s">
        <v>19</v>
      </c>
      <c r="D1741" s="50">
        <v>1</v>
      </c>
      <c r="E1741" s="51">
        <f t="shared" si="566"/>
        <v>20.64</v>
      </c>
      <c r="F1741" s="23">
        <f t="shared" si="562"/>
        <v>4.8449612403100771E-2</v>
      </c>
      <c r="G1741" s="65">
        <f t="shared" si="562"/>
        <v>227.04000000000002</v>
      </c>
      <c r="H1741" s="77">
        <v>2.6427061310782238</v>
      </c>
      <c r="I1741" s="71">
        <f t="shared" si="563"/>
        <v>1.1000000000000001</v>
      </c>
      <c r="J1741" s="23">
        <f t="shared" si="564"/>
        <v>4.8449612403100771E-2</v>
      </c>
      <c r="K1741" s="65">
        <f t="shared" si="565"/>
        <v>227.04000000000002</v>
      </c>
      <c r="L1741" s="21">
        <v>600</v>
      </c>
      <c r="M1741" s="21">
        <v>660</v>
      </c>
    </row>
    <row r="1742" spans="1:13" ht="20.100000000000001" customHeight="1" x14ac:dyDescent="0.2">
      <c r="A1742" s="106" t="s">
        <v>2807</v>
      </c>
      <c r="B1742" s="137" t="s">
        <v>107</v>
      </c>
      <c r="C1742" s="60" t="s">
        <v>19</v>
      </c>
      <c r="D1742" s="50">
        <v>1</v>
      </c>
      <c r="E1742" s="51">
        <f t="shared" si="566"/>
        <v>19.439999999999998</v>
      </c>
      <c r="F1742" s="23">
        <f t="shared" si="562"/>
        <v>5.1440329218107005E-2</v>
      </c>
      <c r="G1742" s="65">
        <f t="shared" si="562"/>
        <v>213.83999999999997</v>
      </c>
      <c r="H1742" s="77">
        <v>2.8058361391694726</v>
      </c>
      <c r="I1742" s="71">
        <f t="shared" si="563"/>
        <v>1.1000000000000001</v>
      </c>
      <c r="J1742" s="23">
        <f t="shared" si="564"/>
        <v>5.1440329218107005E-2</v>
      </c>
      <c r="K1742" s="65">
        <f t="shared" si="565"/>
        <v>213.83999999999997</v>
      </c>
      <c r="L1742" s="21">
        <v>600</v>
      </c>
      <c r="M1742" s="21">
        <v>660</v>
      </c>
    </row>
    <row r="1743" spans="1:13" ht="20.100000000000001" customHeight="1" x14ac:dyDescent="0.2">
      <c r="A1743" s="106" t="s">
        <v>2808</v>
      </c>
      <c r="B1743" s="137" t="s">
        <v>108</v>
      </c>
      <c r="C1743" s="60" t="s">
        <v>19</v>
      </c>
      <c r="D1743" s="50">
        <v>1</v>
      </c>
      <c r="E1743" s="51">
        <f t="shared" si="566"/>
        <v>19.439999999999998</v>
      </c>
      <c r="F1743" s="23">
        <f t="shared" si="562"/>
        <v>5.1440329218107005E-2</v>
      </c>
      <c r="G1743" s="65">
        <f t="shared" si="562"/>
        <v>213.83999999999997</v>
      </c>
      <c r="H1743" s="77">
        <v>2.8058361391694726</v>
      </c>
      <c r="I1743" s="71">
        <f t="shared" si="563"/>
        <v>1.1000000000000001</v>
      </c>
      <c r="J1743" s="23">
        <f t="shared" si="564"/>
        <v>5.1440329218107005E-2</v>
      </c>
      <c r="K1743" s="65">
        <f t="shared" si="565"/>
        <v>213.83999999999997</v>
      </c>
      <c r="L1743" s="21">
        <v>600</v>
      </c>
      <c r="M1743" s="21">
        <v>660</v>
      </c>
    </row>
    <row r="1744" spans="1:13" ht="20.100000000000001" customHeight="1" x14ac:dyDescent="0.2">
      <c r="A1744" s="106" t="s">
        <v>2809</v>
      </c>
      <c r="B1744" s="137" t="s">
        <v>105</v>
      </c>
      <c r="C1744" s="60" t="s">
        <v>19</v>
      </c>
      <c r="D1744" s="50">
        <v>1</v>
      </c>
      <c r="E1744" s="51">
        <f t="shared" si="566"/>
        <v>61.32</v>
      </c>
      <c r="F1744" s="23">
        <f t="shared" si="562"/>
        <v>1.6307893020221786E-2</v>
      </c>
      <c r="G1744" s="65">
        <f t="shared" si="562"/>
        <v>674.52</v>
      </c>
      <c r="H1744" s="77">
        <v>0.88952143746664292</v>
      </c>
      <c r="I1744" s="71">
        <f t="shared" si="563"/>
        <v>1.1000000000000001</v>
      </c>
      <c r="J1744" s="23">
        <f t="shared" si="564"/>
        <v>1.6307893020221786E-2</v>
      </c>
      <c r="K1744" s="65">
        <f t="shared" si="565"/>
        <v>674.52</v>
      </c>
      <c r="L1744" s="21">
        <v>600</v>
      </c>
      <c r="M1744" s="21">
        <v>660</v>
      </c>
    </row>
    <row r="1745" spans="1:13" ht="20.100000000000001" customHeight="1" x14ac:dyDescent="0.2">
      <c r="A1745" s="106" t="s">
        <v>2810</v>
      </c>
      <c r="B1745" s="137" t="s">
        <v>106</v>
      </c>
      <c r="C1745" s="60" t="s">
        <v>19</v>
      </c>
      <c r="D1745" s="50">
        <v>1</v>
      </c>
      <c r="E1745" s="51">
        <f t="shared" si="566"/>
        <v>61.32</v>
      </c>
      <c r="F1745" s="23">
        <f t="shared" si="562"/>
        <v>1.6307893020221786E-2</v>
      </c>
      <c r="G1745" s="65">
        <f t="shared" si="562"/>
        <v>674.52</v>
      </c>
      <c r="H1745" s="77">
        <v>0.88952143746664292</v>
      </c>
      <c r="I1745" s="71">
        <f t="shared" si="563"/>
        <v>1.1000000000000001</v>
      </c>
      <c r="J1745" s="23">
        <f t="shared" si="564"/>
        <v>1.6307893020221786E-2</v>
      </c>
      <c r="K1745" s="65">
        <f t="shared" si="565"/>
        <v>674.52</v>
      </c>
      <c r="L1745" s="21">
        <v>600</v>
      </c>
      <c r="M1745" s="21">
        <v>660</v>
      </c>
    </row>
    <row r="1746" spans="1:13" ht="20.100000000000001" customHeight="1" x14ac:dyDescent="0.2">
      <c r="A1746" s="106" t="s">
        <v>2811</v>
      </c>
      <c r="B1746" s="125" t="s">
        <v>20</v>
      </c>
      <c r="C1746" s="49" t="s">
        <v>1</v>
      </c>
      <c r="D1746" s="50">
        <v>1</v>
      </c>
      <c r="E1746" s="51">
        <f t="shared" si="566"/>
        <v>68.16</v>
      </c>
      <c r="F1746" s="23">
        <f t="shared" si="562"/>
        <v>1.4671361502347418E-2</v>
      </c>
      <c r="G1746" s="65">
        <f t="shared" si="562"/>
        <v>749.76</v>
      </c>
      <c r="H1746" s="77">
        <v>0.80025608194622277</v>
      </c>
      <c r="I1746" s="71">
        <f t="shared" si="563"/>
        <v>1.1000000000000001</v>
      </c>
      <c r="J1746" s="23">
        <f t="shared" si="564"/>
        <v>1.4671361502347418E-2</v>
      </c>
      <c r="K1746" s="65">
        <f t="shared" si="565"/>
        <v>749.76</v>
      </c>
      <c r="L1746" s="21">
        <v>600</v>
      </c>
      <c r="M1746" s="21">
        <v>660</v>
      </c>
    </row>
    <row r="1747" spans="1:13" ht="20.100000000000001" customHeight="1" x14ac:dyDescent="0.2">
      <c r="A1747" s="106" t="s">
        <v>2812</v>
      </c>
      <c r="B1747" s="125" t="s">
        <v>21</v>
      </c>
      <c r="C1747" s="49" t="s">
        <v>1</v>
      </c>
      <c r="D1747" s="50">
        <v>1</v>
      </c>
      <c r="E1747" s="51">
        <f t="shared" si="566"/>
        <v>66.239999999999995</v>
      </c>
      <c r="F1747" s="23">
        <f t="shared" si="562"/>
        <v>1.5096618357487924E-2</v>
      </c>
      <c r="G1747" s="65">
        <f t="shared" si="562"/>
        <v>728.64</v>
      </c>
      <c r="H1747" s="77">
        <v>0.82345191040843213</v>
      </c>
      <c r="I1747" s="71">
        <f t="shared" si="563"/>
        <v>1.1000000000000001</v>
      </c>
      <c r="J1747" s="23">
        <f t="shared" si="564"/>
        <v>1.5096618357487924E-2</v>
      </c>
      <c r="K1747" s="65">
        <f t="shared" si="565"/>
        <v>728.64</v>
      </c>
      <c r="L1747" s="21">
        <v>600</v>
      </c>
      <c r="M1747" s="21">
        <v>660</v>
      </c>
    </row>
    <row r="1748" spans="1:13" ht="20.100000000000001" customHeight="1" x14ac:dyDescent="0.2">
      <c r="A1748" s="106" t="s">
        <v>2813</v>
      </c>
      <c r="B1748" s="125" t="s">
        <v>22</v>
      </c>
      <c r="C1748" s="49" t="s">
        <v>1</v>
      </c>
      <c r="D1748" s="50">
        <v>1</v>
      </c>
      <c r="E1748" s="51">
        <f t="shared" si="566"/>
        <v>56.519999999999989</v>
      </c>
      <c r="F1748" s="23">
        <f t="shared" si="562"/>
        <v>1.7692852087756551E-2</v>
      </c>
      <c r="G1748" s="65">
        <f t="shared" si="562"/>
        <v>621.71999999999991</v>
      </c>
      <c r="H1748" s="77">
        <v>0.96506465933217533</v>
      </c>
      <c r="I1748" s="71">
        <f t="shared" si="563"/>
        <v>1.1000000000000001</v>
      </c>
      <c r="J1748" s="23">
        <f t="shared" si="564"/>
        <v>1.7692852087756551E-2</v>
      </c>
      <c r="K1748" s="65">
        <f t="shared" si="565"/>
        <v>621.71999999999991</v>
      </c>
      <c r="L1748" s="21">
        <v>600</v>
      </c>
      <c r="M1748" s="21">
        <v>660</v>
      </c>
    </row>
    <row r="1749" spans="1:13" ht="20.100000000000001" customHeight="1" x14ac:dyDescent="0.2">
      <c r="A1749" s="106" t="s">
        <v>2814</v>
      </c>
      <c r="B1749" s="125" t="s">
        <v>23</v>
      </c>
      <c r="C1749" s="49" t="s">
        <v>1</v>
      </c>
      <c r="D1749" s="50">
        <v>1</v>
      </c>
      <c r="E1749" s="51">
        <f t="shared" si="566"/>
        <v>49.08</v>
      </c>
      <c r="F1749" s="23">
        <f t="shared" si="562"/>
        <v>2.0374898125509373E-2</v>
      </c>
      <c r="G1749" s="65">
        <f t="shared" si="562"/>
        <v>539.88</v>
      </c>
      <c r="H1749" s="77">
        <v>1.1113580795732385</v>
      </c>
      <c r="I1749" s="71">
        <f t="shared" si="563"/>
        <v>1.1000000000000001</v>
      </c>
      <c r="J1749" s="23">
        <f t="shared" si="564"/>
        <v>2.0374898125509373E-2</v>
      </c>
      <c r="K1749" s="65">
        <f t="shared" si="565"/>
        <v>539.88</v>
      </c>
      <c r="L1749" s="21">
        <v>600</v>
      </c>
      <c r="M1749" s="21">
        <v>660</v>
      </c>
    </row>
    <row r="1750" spans="1:13" ht="20.100000000000001" customHeight="1" x14ac:dyDescent="0.2">
      <c r="A1750" s="106" t="s">
        <v>2815</v>
      </c>
      <c r="B1750" s="125" t="s">
        <v>9</v>
      </c>
      <c r="C1750" s="49" t="s">
        <v>1</v>
      </c>
      <c r="D1750" s="50">
        <v>1</v>
      </c>
      <c r="E1750" s="51">
        <f t="shared" si="566"/>
        <v>121.92000000000002</v>
      </c>
      <c r="F1750" s="23">
        <f t="shared" si="562"/>
        <v>8.2020997375328083E-3</v>
      </c>
      <c r="G1750" s="65">
        <f t="shared" si="562"/>
        <v>1341.1200000000001</v>
      </c>
      <c r="H1750" s="77">
        <v>0.4473872584108804</v>
      </c>
      <c r="I1750" s="71">
        <f t="shared" si="563"/>
        <v>1.1000000000000001</v>
      </c>
      <c r="J1750" s="23">
        <f t="shared" si="564"/>
        <v>8.2020997375328083E-3</v>
      </c>
      <c r="K1750" s="65">
        <f t="shared" si="565"/>
        <v>1341.1200000000001</v>
      </c>
      <c r="L1750" s="21">
        <v>600</v>
      </c>
      <c r="M1750" s="21">
        <v>660</v>
      </c>
    </row>
    <row r="1751" spans="1:13" ht="20.100000000000001" customHeight="1" x14ac:dyDescent="0.2">
      <c r="A1751" s="106" t="s">
        <v>2816</v>
      </c>
      <c r="B1751" s="125" t="s">
        <v>327</v>
      </c>
      <c r="C1751" s="49" t="s">
        <v>1</v>
      </c>
      <c r="D1751" s="50">
        <v>1</v>
      </c>
      <c r="E1751" s="51">
        <f t="shared" si="566"/>
        <v>88.800000000000011</v>
      </c>
      <c r="F1751" s="23">
        <f t="shared" ref="F1751:G1814" si="567">J1751</f>
        <v>1.1261261261261261E-2</v>
      </c>
      <c r="G1751" s="65">
        <f t="shared" si="567"/>
        <v>976.80000000000007</v>
      </c>
      <c r="H1751" s="77">
        <v>0.61425061425061422</v>
      </c>
      <c r="I1751" s="71">
        <f t="shared" ref="I1751:I1814" si="568">M1751/L1751</f>
        <v>1.1000000000000001</v>
      </c>
      <c r="J1751" s="23">
        <f t="shared" ref="J1751:J1814" si="569">11/K1751</f>
        <v>1.1261261261261261E-2</v>
      </c>
      <c r="K1751" s="65">
        <f t="shared" ref="K1751:K1814" si="570">M1751/(H1751*I1751)</f>
        <v>976.80000000000007</v>
      </c>
      <c r="L1751" s="21">
        <v>600</v>
      </c>
      <c r="M1751" s="21">
        <v>660</v>
      </c>
    </row>
    <row r="1752" spans="1:13" ht="20.100000000000001" customHeight="1" x14ac:dyDescent="0.2">
      <c r="A1752" s="106" t="s">
        <v>2817</v>
      </c>
      <c r="B1752" s="125" t="s">
        <v>329</v>
      </c>
      <c r="C1752" s="49" t="s">
        <v>1</v>
      </c>
      <c r="D1752" s="50">
        <v>1</v>
      </c>
      <c r="E1752" s="51">
        <f t="shared" si="566"/>
        <v>64.919999999999987</v>
      </c>
      <c r="F1752" s="23">
        <f t="shared" si="567"/>
        <v>1.540357362908195E-2</v>
      </c>
      <c r="G1752" s="65">
        <f t="shared" si="567"/>
        <v>714.11999999999989</v>
      </c>
      <c r="H1752" s="77">
        <v>0.84019492522265171</v>
      </c>
      <c r="I1752" s="71">
        <f t="shared" si="568"/>
        <v>1.1000000000000001</v>
      </c>
      <c r="J1752" s="23">
        <f t="shared" si="569"/>
        <v>1.540357362908195E-2</v>
      </c>
      <c r="K1752" s="65">
        <f t="shared" si="570"/>
        <v>714.11999999999989</v>
      </c>
      <c r="L1752" s="21">
        <v>600</v>
      </c>
      <c r="M1752" s="21">
        <v>660</v>
      </c>
    </row>
    <row r="1753" spans="1:13" ht="20.100000000000001" customHeight="1" x14ac:dyDescent="0.2">
      <c r="A1753" s="106" t="s">
        <v>2818</v>
      </c>
      <c r="B1753" s="125" t="s">
        <v>328</v>
      </c>
      <c r="C1753" s="49" t="s">
        <v>1</v>
      </c>
      <c r="D1753" s="50">
        <v>1</v>
      </c>
      <c r="E1753" s="51">
        <f t="shared" si="566"/>
        <v>62.399999999999984</v>
      </c>
      <c r="F1753" s="23">
        <f t="shared" si="567"/>
        <v>1.6025641025641028E-2</v>
      </c>
      <c r="G1753" s="65">
        <f t="shared" si="567"/>
        <v>686.39999999999986</v>
      </c>
      <c r="H1753" s="77">
        <v>0.87412587412587417</v>
      </c>
      <c r="I1753" s="71">
        <f t="shared" si="568"/>
        <v>1.1000000000000001</v>
      </c>
      <c r="J1753" s="23">
        <f t="shared" si="569"/>
        <v>1.6025641025641028E-2</v>
      </c>
      <c r="K1753" s="65">
        <f t="shared" si="570"/>
        <v>686.39999999999986</v>
      </c>
      <c r="L1753" s="21">
        <v>600</v>
      </c>
      <c r="M1753" s="21">
        <v>660</v>
      </c>
    </row>
    <row r="1754" spans="1:13" ht="20.100000000000001" customHeight="1" x14ac:dyDescent="0.2">
      <c r="A1754" s="106" t="s">
        <v>2819</v>
      </c>
      <c r="B1754" s="125" t="s">
        <v>330</v>
      </c>
      <c r="C1754" s="49" t="s">
        <v>1</v>
      </c>
      <c r="D1754" s="50">
        <v>1</v>
      </c>
      <c r="E1754" s="51">
        <f t="shared" si="566"/>
        <v>72</v>
      </c>
      <c r="F1754" s="23">
        <f t="shared" si="567"/>
        <v>1.3888888888888888E-2</v>
      </c>
      <c r="G1754" s="65">
        <f t="shared" si="567"/>
        <v>792</v>
      </c>
      <c r="H1754" s="77">
        <v>0.75757575757575757</v>
      </c>
      <c r="I1754" s="71">
        <f t="shared" si="568"/>
        <v>1.1000000000000001</v>
      </c>
      <c r="J1754" s="23">
        <f t="shared" si="569"/>
        <v>1.3888888888888888E-2</v>
      </c>
      <c r="K1754" s="65">
        <f t="shared" si="570"/>
        <v>792</v>
      </c>
      <c r="L1754" s="21">
        <v>600</v>
      </c>
      <c r="M1754" s="21">
        <v>660</v>
      </c>
    </row>
    <row r="1755" spans="1:13" ht="20.100000000000001" customHeight="1" x14ac:dyDescent="0.2">
      <c r="A1755" s="106" t="s">
        <v>2820</v>
      </c>
      <c r="B1755" s="125" t="s">
        <v>336</v>
      </c>
      <c r="C1755" s="49" t="s">
        <v>1</v>
      </c>
      <c r="D1755" s="50">
        <v>1</v>
      </c>
      <c r="E1755" s="51">
        <f t="shared" si="566"/>
        <v>55.800000000000004</v>
      </c>
      <c r="F1755" s="23">
        <f t="shared" si="567"/>
        <v>1.7921146953405017E-2</v>
      </c>
      <c r="G1755" s="65">
        <f t="shared" si="567"/>
        <v>613.80000000000007</v>
      </c>
      <c r="H1755" s="77">
        <v>0.97751710654936452</v>
      </c>
      <c r="I1755" s="71">
        <f t="shared" si="568"/>
        <v>1.1000000000000001</v>
      </c>
      <c r="J1755" s="23">
        <f t="shared" si="569"/>
        <v>1.7921146953405017E-2</v>
      </c>
      <c r="K1755" s="65">
        <f t="shared" si="570"/>
        <v>613.80000000000007</v>
      </c>
      <c r="L1755" s="21">
        <v>600</v>
      </c>
      <c r="M1755" s="21">
        <v>660</v>
      </c>
    </row>
    <row r="1756" spans="1:13" ht="20.100000000000001" customHeight="1" x14ac:dyDescent="0.2">
      <c r="A1756" s="106" t="s">
        <v>2821</v>
      </c>
      <c r="B1756" s="125" t="s">
        <v>331</v>
      </c>
      <c r="C1756" s="49" t="s">
        <v>1</v>
      </c>
      <c r="D1756" s="50">
        <v>1</v>
      </c>
      <c r="E1756" s="51">
        <f t="shared" si="566"/>
        <v>64.8</v>
      </c>
      <c r="F1756" s="23">
        <f t="shared" si="567"/>
        <v>1.54320987654321E-2</v>
      </c>
      <c r="G1756" s="65">
        <f t="shared" si="567"/>
        <v>712.8</v>
      </c>
      <c r="H1756" s="77">
        <v>0.84175084175084181</v>
      </c>
      <c r="I1756" s="71">
        <f t="shared" si="568"/>
        <v>1.1000000000000001</v>
      </c>
      <c r="J1756" s="23">
        <f t="shared" si="569"/>
        <v>1.54320987654321E-2</v>
      </c>
      <c r="K1756" s="65">
        <f t="shared" si="570"/>
        <v>712.8</v>
      </c>
      <c r="L1756" s="21">
        <v>600</v>
      </c>
      <c r="M1756" s="21">
        <v>660</v>
      </c>
    </row>
    <row r="1757" spans="1:13" ht="20.100000000000001" customHeight="1" x14ac:dyDescent="0.2">
      <c r="A1757" s="106" t="s">
        <v>2822</v>
      </c>
      <c r="B1757" s="125" t="s">
        <v>333</v>
      </c>
      <c r="C1757" s="49" t="s">
        <v>1</v>
      </c>
      <c r="D1757" s="50">
        <v>1</v>
      </c>
      <c r="E1757" s="51">
        <f t="shared" si="566"/>
        <v>48</v>
      </c>
      <c r="F1757" s="23">
        <f t="shared" si="567"/>
        <v>2.0833333333333332E-2</v>
      </c>
      <c r="G1757" s="65">
        <f t="shared" si="567"/>
        <v>528</v>
      </c>
      <c r="H1757" s="77">
        <v>1.1363636363636362</v>
      </c>
      <c r="I1757" s="71">
        <f t="shared" si="568"/>
        <v>1.1000000000000001</v>
      </c>
      <c r="J1757" s="23">
        <f t="shared" si="569"/>
        <v>2.0833333333333332E-2</v>
      </c>
      <c r="K1757" s="65">
        <f t="shared" si="570"/>
        <v>528</v>
      </c>
      <c r="L1757" s="21">
        <v>600</v>
      </c>
      <c r="M1757" s="21">
        <v>660</v>
      </c>
    </row>
    <row r="1758" spans="1:13" ht="20.100000000000001" customHeight="1" x14ac:dyDescent="0.2">
      <c r="A1758" s="106" t="s">
        <v>2823</v>
      </c>
      <c r="B1758" s="125" t="s">
        <v>332</v>
      </c>
      <c r="C1758" s="49" t="s">
        <v>1</v>
      </c>
      <c r="D1758" s="50">
        <v>1</v>
      </c>
      <c r="E1758" s="51">
        <f t="shared" si="566"/>
        <v>51.6</v>
      </c>
      <c r="F1758" s="23">
        <f t="shared" si="567"/>
        <v>1.937984496124031E-2</v>
      </c>
      <c r="G1758" s="65">
        <f t="shared" si="567"/>
        <v>567.6</v>
      </c>
      <c r="H1758" s="77">
        <v>1.0570824524312896</v>
      </c>
      <c r="I1758" s="71">
        <f t="shared" si="568"/>
        <v>1.1000000000000001</v>
      </c>
      <c r="J1758" s="23">
        <f t="shared" si="569"/>
        <v>1.937984496124031E-2</v>
      </c>
      <c r="K1758" s="65">
        <f t="shared" si="570"/>
        <v>567.6</v>
      </c>
      <c r="L1758" s="21">
        <v>600</v>
      </c>
      <c r="M1758" s="21">
        <v>660</v>
      </c>
    </row>
    <row r="1759" spans="1:13" ht="20.100000000000001" customHeight="1" x14ac:dyDescent="0.2">
      <c r="A1759" s="106" t="s">
        <v>2824</v>
      </c>
      <c r="B1759" s="125" t="s">
        <v>334</v>
      </c>
      <c r="C1759" s="49" t="s">
        <v>1</v>
      </c>
      <c r="D1759" s="50">
        <v>1</v>
      </c>
      <c r="E1759" s="51">
        <f t="shared" si="566"/>
        <v>221.76000000000002</v>
      </c>
      <c r="F1759" s="23">
        <f t="shared" si="567"/>
        <v>4.5093795093795091E-3</v>
      </c>
      <c r="G1759" s="65">
        <f t="shared" si="567"/>
        <v>2439.36</v>
      </c>
      <c r="H1759" s="77">
        <v>0.24596615505706415</v>
      </c>
      <c r="I1759" s="71">
        <f t="shared" si="568"/>
        <v>1.1000000000000001</v>
      </c>
      <c r="J1759" s="23">
        <f t="shared" si="569"/>
        <v>4.5093795093795091E-3</v>
      </c>
      <c r="K1759" s="65">
        <f t="shared" si="570"/>
        <v>2439.36</v>
      </c>
      <c r="L1759" s="21">
        <v>600</v>
      </c>
      <c r="M1759" s="21">
        <v>660</v>
      </c>
    </row>
    <row r="1760" spans="1:13" ht="20.100000000000001" customHeight="1" x14ac:dyDescent="0.2">
      <c r="A1760" s="106" t="s">
        <v>2825</v>
      </c>
      <c r="B1760" s="125" t="s">
        <v>335</v>
      </c>
      <c r="C1760" s="49" t="s">
        <v>1</v>
      </c>
      <c r="D1760" s="50">
        <v>1</v>
      </c>
      <c r="E1760" s="51">
        <f t="shared" si="566"/>
        <v>171.11999999999998</v>
      </c>
      <c r="F1760" s="23">
        <f t="shared" si="567"/>
        <v>5.8438522674146808E-3</v>
      </c>
      <c r="G1760" s="65">
        <f t="shared" si="567"/>
        <v>1882.3199999999997</v>
      </c>
      <c r="H1760" s="77">
        <v>0.31875557822261891</v>
      </c>
      <c r="I1760" s="71">
        <f t="shared" si="568"/>
        <v>1.1000000000000001</v>
      </c>
      <c r="J1760" s="23">
        <f t="shared" si="569"/>
        <v>5.8438522674146808E-3</v>
      </c>
      <c r="K1760" s="65">
        <f t="shared" si="570"/>
        <v>1882.3199999999997</v>
      </c>
      <c r="L1760" s="21">
        <v>600</v>
      </c>
      <c r="M1760" s="21">
        <v>660</v>
      </c>
    </row>
    <row r="1761" spans="1:13" ht="20.100000000000001" customHeight="1" x14ac:dyDescent="0.2">
      <c r="A1761" s="106" t="s">
        <v>2826</v>
      </c>
      <c r="B1761" s="125" t="s">
        <v>118</v>
      </c>
      <c r="C1761" s="49" t="s">
        <v>1</v>
      </c>
      <c r="D1761" s="50">
        <v>1</v>
      </c>
      <c r="E1761" s="51">
        <f t="shared" si="566"/>
        <v>35.76</v>
      </c>
      <c r="F1761" s="23">
        <f t="shared" si="567"/>
        <v>2.7964205816554812E-2</v>
      </c>
      <c r="G1761" s="65">
        <f t="shared" si="567"/>
        <v>393.35999999999996</v>
      </c>
      <c r="H1761" s="77">
        <v>1.5253203172666261</v>
      </c>
      <c r="I1761" s="71">
        <f t="shared" si="568"/>
        <v>1.1000000000000001</v>
      </c>
      <c r="J1761" s="23">
        <f t="shared" si="569"/>
        <v>2.7964205816554812E-2</v>
      </c>
      <c r="K1761" s="65">
        <f t="shared" si="570"/>
        <v>393.35999999999996</v>
      </c>
      <c r="L1761" s="21">
        <v>600</v>
      </c>
      <c r="M1761" s="21">
        <v>660</v>
      </c>
    </row>
    <row r="1762" spans="1:13" ht="20.100000000000001" customHeight="1" x14ac:dyDescent="0.2">
      <c r="A1762" s="106" t="s">
        <v>2827</v>
      </c>
      <c r="B1762" s="125" t="s">
        <v>55</v>
      </c>
      <c r="C1762" s="49" t="s">
        <v>8</v>
      </c>
      <c r="D1762" s="50">
        <v>1</v>
      </c>
      <c r="E1762" s="51">
        <f t="shared" si="566"/>
        <v>65.57759999999999</v>
      </c>
      <c r="F1762" s="23">
        <f t="shared" si="567"/>
        <v>1.5249109452008004E-2</v>
      </c>
      <c r="G1762" s="65">
        <f t="shared" si="567"/>
        <v>721.35359999999991</v>
      </c>
      <c r="H1762" s="77">
        <v>0.83176960647316378</v>
      </c>
      <c r="I1762" s="71">
        <f t="shared" si="568"/>
        <v>1.1000000000000001</v>
      </c>
      <c r="J1762" s="23">
        <f t="shared" si="569"/>
        <v>1.5249109452008004E-2</v>
      </c>
      <c r="K1762" s="65">
        <f t="shared" si="570"/>
        <v>721.35359999999991</v>
      </c>
      <c r="L1762" s="21">
        <v>600</v>
      </c>
      <c r="M1762" s="21">
        <v>660</v>
      </c>
    </row>
    <row r="1763" spans="1:13" ht="20.100000000000001" customHeight="1" x14ac:dyDescent="0.2">
      <c r="A1763" s="106" t="s">
        <v>2828</v>
      </c>
      <c r="B1763" s="125" t="s">
        <v>11</v>
      </c>
      <c r="C1763" s="49" t="s">
        <v>1</v>
      </c>
      <c r="D1763" s="50">
        <v>1</v>
      </c>
      <c r="E1763" s="51">
        <f t="shared" si="566"/>
        <v>110.7312</v>
      </c>
      <c r="F1763" s="23">
        <f t="shared" si="567"/>
        <v>9.0308783793546892E-3</v>
      </c>
      <c r="G1763" s="65">
        <f t="shared" si="567"/>
        <v>1218.0432000000001</v>
      </c>
      <c r="H1763" s="77">
        <v>0.49259336614661942</v>
      </c>
      <c r="I1763" s="71">
        <f t="shared" si="568"/>
        <v>1.1000000000000001</v>
      </c>
      <c r="J1763" s="23">
        <f t="shared" si="569"/>
        <v>9.0308783793546892E-3</v>
      </c>
      <c r="K1763" s="65">
        <f t="shared" si="570"/>
        <v>1218.0432000000001</v>
      </c>
      <c r="L1763" s="21">
        <v>600</v>
      </c>
      <c r="M1763" s="21">
        <v>660</v>
      </c>
    </row>
    <row r="1764" spans="1:13" ht="20.100000000000001" customHeight="1" x14ac:dyDescent="0.2">
      <c r="A1764" s="106" t="s">
        <v>2829</v>
      </c>
      <c r="B1764" s="125" t="s">
        <v>12</v>
      </c>
      <c r="C1764" s="49" t="s">
        <v>1</v>
      </c>
      <c r="D1764" s="50">
        <v>1</v>
      </c>
      <c r="E1764" s="51">
        <f t="shared" si="566"/>
        <v>88.872</v>
      </c>
      <c r="F1764" s="23">
        <f t="shared" si="567"/>
        <v>1.1252137906202178E-2</v>
      </c>
      <c r="G1764" s="65">
        <f t="shared" si="567"/>
        <v>977.59199999999998</v>
      </c>
      <c r="H1764" s="77">
        <v>0.61375297670193696</v>
      </c>
      <c r="I1764" s="71">
        <f t="shared" si="568"/>
        <v>1.1000000000000001</v>
      </c>
      <c r="J1764" s="23">
        <f t="shared" si="569"/>
        <v>1.1252137906202178E-2</v>
      </c>
      <c r="K1764" s="65">
        <f t="shared" si="570"/>
        <v>977.59199999999998</v>
      </c>
      <c r="L1764" s="21">
        <v>600</v>
      </c>
      <c r="M1764" s="21">
        <v>660</v>
      </c>
    </row>
    <row r="1765" spans="1:13" ht="20.100000000000001" customHeight="1" x14ac:dyDescent="0.2">
      <c r="A1765" s="106" t="s">
        <v>2830</v>
      </c>
      <c r="B1765" s="125" t="s">
        <v>13</v>
      </c>
      <c r="C1765" s="49" t="s">
        <v>1</v>
      </c>
      <c r="D1765" s="50">
        <v>1</v>
      </c>
      <c r="E1765" s="51">
        <f t="shared" si="566"/>
        <v>68.447999999999993</v>
      </c>
      <c r="F1765" s="23">
        <f t="shared" si="567"/>
        <v>1.46096306685367E-2</v>
      </c>
      <c r="G1765" s="65">
        <f t="shared" si="567"/>
        <v>752.928</v>
      </c>
      <c r="H1765" s="77">
        <v>0.79688894555654721</v>
      </c>
      <c r="I1765" s="71">
        <f t="shared" si="568"/>
        <v>1.1000000000000001</v>
      </c>
      <c r="J1765" s="23">
        <f t="shared" si="569"/>
        <v>1.46096306685367E-2</v>
      </c>
      <c r="K1765" s="65">
        <f t="shared" si="570"/>
        <v>752.928</v>
      </c>
      <c r="L1765" s="21">
        <v>600</v>
      </c>
      <c r="M1765" s="21">
        <v>660</v>
      </c>
    </row>
    <row r="1766" spans="1:13" ht="20.100000000000001" customHeight="1" x14ac:dyDescent="0.2">
      <c r="A1766" s="106" t="s">
        <v>2831</v>
      </c>
      <c r="B1766" s="125" t="s">
        <v>26</v>
      </c>
      <c r="C1766" s="49" t="s">
        <v>1</v>
      </c>
      <c r="D1766" s="50">
        <v>1</v>
      </c>
      <c r="E1766" s="51">
        <f t="shared" si="566"/>
        <v>55.420800000000007</v>
      </c>
      <c r="F1766" s="23">
        <f t="shared" si="567"/>
        <v>1.804376696114094E-2</v>
      </c>
      <c r="G1766" s="65">
        <f t="shared" si="567"/>
        <v>609.62880000000007</v>
      </c>
      <c r="H1766" s="77">
        <v>0.9842054706076877</v>
      </c>
      <c r="I1766" s="71">
        <f t="shared" si="568"/>
        <v>1.1000000000000001</v>
      </c>
      <c r="J1766" s="23">
        <f t="shared" si="569"/>
        <v>1.804376696114094E-2</v>
      </c>
      <c r="K1766" s="65">
        <f t="shared" si="570"/>
        <v>609.62880000000007</v>
      </c>
      <c r="L1766" s="21">
        <v>600</v>
      </c>
      <c r="M1766" s="21">
        <v>660</v>
      </c>
    </row>
    <row r="1767" spans="1:13" ht="20.100000000000001" customHeight="1" x14ac:dyDescent="0.2">
      <c r="A1767" s="106" t="s">
        <v>2832</v>
      </c>
      <c r="B1767" s="128" t="s">
        <v>464</v>
      </c>
      <c r="C1767" s="61" t="s">
        <v>19</v>
      </c>
      <c r="D1767" s="50">
        <v>1</v>
      </c>
      <c r="E1767" s="51">
        <f t="shared" si="566"/>
        <v>260.39999999999992</v>
      </c>
      <c r="F1767" s="23">
        <f t="shared" si="567"/>
        <v>3.840245775729648E-3</v>
      </c>
      <c r="G1767" s="65">
        <f t="shared" si="567"/>
        <v>2864.3999999999992</v>
      </c>
      <c r="H1767" s="77">
        <v>0.2094679514034353</v>
      </c>
      <c r="I1767" s="71">
        <f t="shared" si="568"/>
        <v>1.1000000000000001</v>
      </c>
      <c r="J1767" s="23">
        <f t="shared" si="569"/>
        <v>3.840245775729648E-3</v>
      </c>
      <c r="K1767" s="65">
        <f t="shared" si="570"/>
        <v>2864.3999999999992</v>
      </c>
      <c r="L1767" s="21">
        <v>600</v>
      </c>
      <c r="M1767" s="21">
        <v>660</v>
      </c>
    </row>
    <row r="1768" spans="1:13" ht="20.100000000000001" customHeight="1" x14ac:dyDescent="0.2">
      <c r="A1768" s="106" t="s">
        <v>2833</v>
      </c>
      <c r="B1768" s="128" t="s">
        <v>465</v>
      </c>
      <c r="C1768" s="61" t="s">
        <v>19</v>
      </c>
      <c r="D1768" s="50">
        <v>1</v>
      </c>
      <c r="E1768" s="51">
        <f t="shared" si="566"/>
        <v>178.56</v>
      </c>
      <c r="F1768" s="23">
        <f t="shared" si="567"/>
        <v>5.600358422939068E-3</v>
      </c>
      <c r="G1768" s="65">
        <f t="shared" si="567"/>
        <v>1964.16</v>
      </c>
      <c r="H1768" s="77">
        <v>0.30547409579667639</v>
      </c>
      <c r="I1768" s="71">
        <f t="shared" si="568"/>
        <v>1.1000000000000001</v>
      </c>
      <c r="J1768" s="23">
        <f t="shared" si="569"/>
        <v>5.600358422939068E-3</v>
      </c>
      <c r="K1768" s="65">
        <f t="shared" si="570"/>
        <v>1964.16</v>
      </c>
      <c r="L1768" s="21">
        <v>600</v>
      </c>
      <c r="M1768" s="21">
        <v>660</v>
      </c>
    </row>
    <row r="1769" spans="1:13" ht="20.100000000000001" customHeight="1" x14ac:dyDescent="0.2">
      <c r="A1769" s="106" t="s">
        <v>2834</v>
      </c>
      <c r="B1769" s="128" t="s">
        <v>466</v>
      </c>
      <c r="C1769" s="61" t="s">
        <v>19</v>
      </c>
      <c r="D1769" s="50">
        <v>1</v>
      </c>
      <c r="E1769" s="51">
        <f t="shared" si="566"/>
        <v>122.39999999999999</v>
      </c>
      <c r="F1769" s="23">
        <f t="shared" si="567"/>
        <v>8.1699346405228763E-3</v>
      </c>
      <c r="G1769" s="65">
        <f t="shared" si="567"/>
        <v>1346.3999999999999</v>
      </c>
      <c r="H1769" s="77">
        <v>0.44563279857397509</v>
      </c>
      <c r="I1769" s="71">
        <f t="shared" si="568"/>
        <v>1.1000000000000001</v>
      </c>
      <c r="J1769" s="23">
        <f t="shared" si="569"/>
        <v>8.1699346405228763E-3</v>
      </c>
      <c r="K1769" s="65">
        <f t="shared" si="570"/>
        <v>1346.3999999999999</v>
      </c>
      <c r="L1769" s="21">
        <v>600</v>
      </c>
      <c r="M1769" s="21">
        <v>660</v>
      </c>
    </row>
    <row r="1770" spans="1:13" ht="20.100000000000001" customHeight="1" x14ac:dyDescent="0.2">
      <c r="A1770" s="106" t="s">
        <v>2835</v>
      </c>
      <c r="B1770" s="128" t="s">
        <v>467</v>
      </c>
      <c r="C1770" s="61" t="s">
        <v>19</v>
      </c>
      <c r="D1770" s="50">
        <v>1</v>
      </c>
      <c r="E1770" s="51">
        <f t="shared" si="566"/>
        <v>94.199999999999989</v>
      </c>
      <c r="F1770" s="23">
        <f t="shared" si="567"/>
        <v>1.0615711252653929E-2</v>
      </c>
      <c r="G1770" s="65">
        <f t="shared" si="567"/>
        <v>1036.1999999999998</v>
      </c>
      <c r="H1770" s="77">
        <v>0.57903879559930516</v>
      </c>
      <c r="I1770" s="71">
        <f t="shared" si="568"/>
        <v>1.1000000000000001</v>
      </c>
      <c r="J1770" s="23">
        <f t="shared" si="569"/>
        <v>1.0615711252653929E-2</v>
      </c>
      <c r="K1770" s="65">
        <f t="shared" si="570"/>
        <v>1036.1999999999998</v>
      </c>
      <c r="L1770" s="21">
        <v>600</v>
      </c>
      <c r="M1770" s="21">
        <v>660</v>
      </c>
    </row>
    <row r="1771" spans="1:13" ht="20.100000000000001" customHeight="1" x14ac:dyDescent="0.2">
      <c r="A1771" s="106" t="s">
        <v>2836</v>
      </c>
      <c r="B1771" s="128" t="s">
        <v>468</v>
      </c>
      <c r="C1771" s="61" t="s">
        <v>19</v>
      </c>
      <c r="D1771" s="50">
        <v>1</v>
      </c>
      <c r="E1771" s="51">
        <f t="shared" si="566"/>
        <v>65.999999999999986</v>
      </c>
      <c r="F1771" s="23">
        <f t="shared" si="567"/>
        <v>1.5151515151515154E-2</v>
      </c>
      <c r="G1771" s="65">
        <f t="shared" si="567"/>
        <v>725.99999999999989</v>
      </c>
      <c r="H1771" s="77">
        <v>0.82644628099173556</v>
      </c>
      <c r="I1771" s="71">
        <f t="shared" si="568"/>
        <v>1.1000000000000001</v>
      </c>
      <c r="J1771" s="23">
        <f t="shared" si="569"/>
        <v>1.5151515151515154E-2</v>
      </c>
      <c r="K1771" s="65">
        <f t="shared" si="570"/>
        <v>725.99999999999989</v>
      </c>
      <c r="L1771" s="21">
        <v>600</v>
      </c>
      <c r="M1771" s="21">
        <v>660</v>
      </c>
    </row>
    <row r="1772" spans="1:13" ht="20.100000000000001" customHeight="1" x14ac:dyDescent="0.2">
      <c r="A1772" s="106" t="s">
        <v>2837</v>
      </c>
      <c r="B1772" s="128" t="s">
        <v>469</v>
      </c>
      <c r="C1772" s="61" t="s">
        <v>19</v>
      </c>
      <c r="D1772" s="50">
        <v>1</v>
      </c>
      <c r="E1772" s="51">
        <f t="shared" si="566"/>
        <v>52.800000000000004</v>
      </c>
      <c r="F1772" s="23">
        <f t="shared" si="567"/>
        <v>1.8939393939393936E-2</v>
      </c>
      <c r="G1772" s="65">
        <f t="shared" si="567"/>
        <v>580.80000000000007</v>
      </c>
      <c r="H1772" s="77">
        <v>1.0330578512396693</v>
      </c>
      <c r="I1772" s="71">
        <f t="shared" si="568"/>
        <v>1.1000000000000001</v>
      </c>
      <c r="J1772" s="23">
        <f t="shared" si="569"/>
        <v>1.8939393939393936E-2</v>
      </c>
      <c r="K1772" s="65">
        <f t="shared" si="570"/>
        <v>580.80000000000007</v>
      </c>
      <c r="L1772" s="21">
        <v>600</v>
      </c>
      <c r="M1772" s="21">
        <v>660</v>
      </c>
    </row>
    <row r="1773" spans="1:13" ht="20.100000000000001" customHeight="1" x14ac:dyDescent="0.2">
      <c r="A1773" s="106" t="s">
        <v>2838</v>
      </c>
      <c r="B1773" s="128" t="s">
        <v>470</v>
      </c>
      <c r="C1773" s="61" t="s">
        <v>19</v>
      </c>
      <c r="D1773" s="50">
        <v>1</v>
      </c>
      <c r="E1773" s="51">
        <f t="shared" ref="E1773:E1836" si="571">G1773/11</f>
        <v>46.199999999999996</v>
      </c>
      <c r="F1773" s="23">
        <f t="shared" si="567"/>
        <v>2.1645021645021644E-2</v>
      </c>
      <c r="G1773" s="65">
        <f t="shared" si="567"/>
        <v>508.2</v>
      </c>
      <c r="H1773" s="77">
        <v>1.1806375442739079</v>
      </c>
      <c r="I1773" s="71">
        <f t="shared" si="568"/>
        <v>1.1000000000000001</v>
      </c>
      <c r="J1773" s="23">
        <f t="shared" si="569"/>
        <v>2.1645021645021644E-2</v>
      </c>
      <c r="K1773" s="65">
        <f t="shared" si="570"/>
        <v>508.2</v>
      </c>
      <c r="L1773" s="21">
        <v>600</v>
      </c>
      <c r="M1773" s="21">
        <v>660</v>
      </c>
    </row>
    <row r="1774" spans="1:13" ht="20.100000000000001" customHeight="1" x14ac:dyDescent="0.2">
      <c r="A1774" s="106" t="s">
        <v>2839</v>
      </c>
      <c r="B1774" s="125" t="s">
        <v>471</v>
      </c>
      <c r="C1774" s="61" t="s">
        <v>19</v>
      </c>
      <c r="D1774" s="50">
        <v>1</v>
      </c>
      <c r="E1774" s="51">
        <f t="shared" si="571"/>
        <v>414.00000000000006</v>
      </c>
      <c r="F1774" s="23">
        <f t="shared" si="567"/>
        <v>2.4154589371980671E-3</v>
      </c>
      <c r="G1774" s="65">
        <f t="shared" si="567"/>
        <v>4554.0000000000009</v>
      </c>
      <c r="H1774" s="77">
        <v>0.13175230566534912</v>
      </c>
      <c r="I1774" s="71">
        <f t="shared" si="568"/>
        <v>1.1000000000000001</v>
      </c>
      <c r="J1774" s="23">
        <f t="shared" si="569"/>
        <v>2.4154589371980671E-3</v>
      </c>
      <c r="K1774" s="65">
        <f t="shared" si="570"/>
        <v>4554.0000000000009</v>
      </c>
      <c r="L1774" s="21">
        <v>600</v>
      </c>
      <c r="M1774" s="21">
        <v>660</v>
      </c>
    </row>
    <row r="1775" spans="1:13" ht="20.100000000000001" customHeight="1" x14ac:dyDescent="0.2">
      <c r="A1775" s="106" t="s">
        <v>2840</v>
      </c>
      <c r="B1775" s="125" t="s">
        <v>472</v>
      </c>
      <c r="C1775" s="61" t="s">
        <v>19</v>
      </c>
      <c r="D1775" s="50">
        <v>1</v>
      </c>
      <c r="E1775" s="51">
        <f t="shared" si="571"/>
        <v>312</v>
      </c>
      <c r="F1775" s="23">
        <f t="shared" si="567"/>
        <v>3.205128205128205E-3</v>
      </c>
      <c r="G1775" s="65">
        <f t="shared" si="567"/>
        <v>3432</v>
      </c>
      <c r="H1775" s="77">
        <v>0.17482517482517482</v>
      </c>
      <c r="I1775" s="71">
        <f t="shared" si="568"/>
        <v>1.1000000000000001</v>
      </c>
      <c r="J1775" s="23">
        <f t="shared" si="569"/>
        <v>3.205128205128205E-3</v>
      </c>
      <c r="K1775" s="65">
        <f t="shared" si="570"/>
        <v>3432</v>
      </c>
      <c r="L1775" s="21">
        <v>600</v>
      </c>
      <c r="M1775" s="21">
        <v>660</v>
      </c>
    </row>
    <row r="1776" spans="1:13" ht="20.100000000000001" customHeight="1" x14ac:dyDescent="0.2">
      <c r="A1776" s="106" t="s">
        <v>2841</v>
      </c>
      <c r="B1776" s="125" t="s">
        <v>473</v>
      </c>
      <c r="C1776" s="61" t="s">
        <v>19</v>
      </c>
      <c r="D1776" s="50">
        <v>1</v>
      </c>
      <c r="E1776" s="51">
        <f t="shared" si="571"/>
        <v>257.99999999999994</v>
      </c>
      <c r="F1776" s="23">
        <f t="shared" si="567"/>
        <v>3.8759689922480628E-3</v>
      </c>
      <c r="G1776" s="65">
        <f t="shared" si="567"/>
        <v>2837.9999999999995</v>
      </c>
      <c r="H1776" s="77">
        <v>0.21141649048625794</v>
      </c>
      <c r="I1776" s="71">
        <f t="shared" si="568"/>
        <v>1.1000000000000001</v>
      </c>
      <c r="J1776" s="23">
        <f t="shared" si="569"/>
        <v>3.8759689922480628E-3</v>
      </c>
      <c r="K1776" s="65">
        <f t="shared" si="570"/>
        <v>2837.9999999999995</v>
      </c>
      <c r="L1776" s="21">
        <v>600</v>
      </c>
      <c r="M1776" s="21">
        <v>660</v>
      </c>
    </row>
    <row r="1777" spans="1:13" ht="20.100000000000001" customHeight="1" x14ac:dyDescent="0.2">
      <c r="A1777" s="106" t="s">
        <v>2842</v>
      </c>
      <c r="B1777" s="125" t="s">
        <v>474</v>
      </c>
      <c r="C1777" s="61" t="s">
        <v>19</v>
      </c>
      <c r="D1777" s="50">
        <v>1</v>
      </c>
      <c r="E1777" s="51">
        <f t="shared" si="571"/>
        <v>201</v>
      </c>
      <c r="F1777" s="23">
        <f t="shared" si="567"/>
        <v>4.9751243781094526E-3</v>
      </c>
      <c r="G1777" s="65">
        <f t="shared" si="567"/>
        <v>2211</v>
      </c>
      <c r="H1777" s="77">
        <v>0.27137042062415195</v>
      </c>
      <c r="I1777" s="71">
        <f t="shared" si="568"/>
        <v>1.1000000000000001</v>
      </c>
      <c r="J1777" s="23">
        <f t="shared" si="569"/>
        <v>4.9751243781094526E-3</v>
      </c>
      <c r="K1777" s="65">
        <f t="shared" si="570"/>
        <v>2211</v>
      </c>
      <c r="L1777" s="21">
        <v>600</v>
      </c>
      <c r="M1777" s="21">
        <v>660</v>
      </c>
    </row>
    <row r="1778" spans="1:13" ht="20.100000000000001" customHeight="1" x14ac:dyDescent="0.2">
      <c r="A1778" s="106" t="s">
        <v>2843</v>
      </c>
      <c r="B1778" s="125" t="s">
        <v>475</v>
      </c>
      <c r="C1778" s="61" t="s">
        <v>19</v>
      </c>
      <c r="D1778" s="50">
        <v>1</v>
      </c>
      <c r="E1778" s="51">
        <f t="shared" si="571"/>
        <v>177.83999999999997</v>
      </c>
      <c r="F1778" s="23">
        <f t="shared" si="567"/>
        <v>5.6230319388214135E-3</v>
      </c>
      <c r="G1778" s="65">
        <f t="shared" si="567"/>
        <v>1956.2399999999998</v>
      </c>
      <c r="H1778" s="77">
        <v>0.3067108330266225</v>
      </c>
      <c r="I1778" s="71">
        <f t="shared" si="568"/>
        <v>1.1000000000000001</v>
      </c>
      <c r="J1778" s="23">
        <f t="shared" si="569"/>
        <v>5.6230319388214135E-3</v>
      </c>
      <c r="K1778" s="65">
        <f t="shared" si="570"/>
        <v>1956.2399999999998</v>
      </c>
      <c r="L1778" s="21">
        <v>600</v>
      </c>
      <c r="M1778" s="21">
        <v>660</v>
      </c>
    </row>
    <row r="1779" spans="1:13" ht="20.100000000000001" customHeight="1" x14ac:dyDescent="0.2">
      <c r="A1779" s="106" t="s">
        <v>2844</v>
      </c>
      <c r="B1779" s="125" t="s">
        <v>476</v>
      </c>
      <c r="C1779" s="61" t="s">
        <v>19</v>
      </c>
      <c r="D1779" s="50">
        <v>1</v>
      </c>
      <c r="E1779" s="51">
        <f t="shared" si="571"/>
        <v>158.16000000000003</v>
      </c>
      <c r="F1779" s="23">
        <f t="shared" si="567"/>
        <v>6.322711178553363E-3</v>
      </c>
      <c r="G1779" s="65">
        <f t="shared" si="567"/>
        <v>1739.7600000000002</v>
      </c>
      <c r="H1779" s="77">
        <v>0.34487515519381978</v>
      </c>
      <c r="I1779" s="71">
        <f t="shared" si="568"/>
        <v>1.1000000000000001</v>
      </c>
      <c r="J1779" s="23">
        <f t="shared" si="569"/>
        <v>6.322711178553363E-3</v>
      </c>
      <c r="K1779" s="65">
        <f t="shared" si="570"/>
        <v>1739.7600000000002</v>
      </c>
      <c r="L1779" s="21">
        <v>600</v>
      </c>
      <c r="M1779" s="21">
        <v>660</v>
      </c>
    </row>
    <row r="1780" spans="1:13" ht="20.100000000000001" customHeight="1" x14ac:dyDescent="0.2">
      <c r="A1780" s="106" t="s">
        <v>2845</v>
      </c>
      <c r="B1780" s="125" t="s">
        <v>477</v>
      </c>
      <c r="C1780" s="61" t="s">
        <v>19</v>
      </c>
      <c r="D1780" s="50">
        <v>1</v>
      </c>
      <c r="E1780" s="51">
        <f t="shared" si="571"/>
        <v>142.07999999999998</v>
      </c>
      <c r="F1780" s="23">
        <f t="shared" si="567"/>
        <v>7.0382882882882884E-3</v>
      </c>
      <c r="G1780" s="65">
        <f t="shared" si="567"/>
        <v>1562.8799999999999</v>
      </c>
      <c r="H1780" s="77">
        <v>0.38390663390663388</v>
      </c>
      <c r="I1780" s="71">
        <f t="shared" si="568"/>
        <v>1.1000000000000001</v>
      </c>
      <c r="J1780" s="23">
        <f t="shared" si="569"/>
        <v>7.0382882882882884E-3</v>
      </c>
      <c r="K1780" s="65">
        <f t="shared" si="570"/>
        <v>1562.8799999999999</v>
      </c>
      <c r="L1780" s="21">
        <v>600</v>
      </c>
      <c r="M1780" s="21">
        <v>660</v>
      </c>
    </row>
    <row r="1781" spans="1:13" ht="20.100000000000001" customHeight="1" x14ac:dyDescent="0.2">
      <c r="A1781" s="106" t="s">
        <v>2846</v>
      </c>
      <c r="B1781" s="128" t="s">
        <v>657</v>
      </c>
      <c r="C1781" s="61" t="s">
        <v>19</v>
      </c>
      <c r="D1781" s="50">
        <v>1</v>
      </c>
      <c r="E1781" s="51">
        <f t="shared" si="571"/>
        <v>156</v>
      </c>
      <c r="F1781" s="23">
        <f t="shared" si="567"/>
        <v>6.41025641025641E-3</v>
      </c>
      <c r="G1781" s="65">
        <f t="shared" si="567"/>
        <v>1716</v>
      </c>
      <c r="H1781" s="77">
        <v>0.34965034965034963</v>
      </c>
      <c r="I1781" s="71">
        <f t="shared" si="568"/>
        <v>1.1000000000000001</v>
      </c>
      <c r="J1781" s="23">
        <f t="shared" si="569"/>
        <v>6.41025641025641E-3</v>
      </c>
      <c r="K1781" s="65">
        <f t="shared" si="570"/>
        <v>1716</v>
      </c>
      <c r="L1781" s="21">
        <v>600</v>
      </c>
      <c r="M1781" s="21">
        <v>660</v>
      </c>
    </row>
    <row r="1782" spans="1:13" ht="20.100000000000001" customHeight="1" x14ac:dyDescent="0.2">
      <c r="A1782" s="106" t="s">
        <v>2847</v>
      </c>
      <c r="B1782" s="128" t="s">
        <v>658</v>
      </c>
      <c r="C1782" s="61" t="s">
        <v>19</v>
      </c>
      <c r="D1782" s="50">
        <v>1</v>
      </c>
      <c r="E1782" s="51">
        <f t="shared" si="571"/>
        <v>137.99999999999997</v>
      </c>
      <c r="F1782" s="23">
        <f t="shared" si="567"/>
        <v>7.2463768115942039E-3</v>
      </c>
      <c r="G1782" s="65">
        <f t="shared" si="567"/>
        <v>1517.9999999999998</v>
      </c>
      <c r="H1782" s="77">
        <v>0.39525691699604742</v>
      </c>
      <c r="I1782" s="71">
        <f t="shared" si="568"/>
        <v>1.1000000000000001</v>
      </c>
      <c r="J1782" s="23">
        <f t="shared" si="569"/>
        <v>7.2463768115942039E-3</v>
      </c>
      <c r="K1782" s="65">
        <f t="shared" si="570"/>
        <v>1517.9999999999998</v>
      </c>
      <c r="L1782" s="21">
        <v>600</v>
      </c>
      <c r="M1782" s="21">
        <v>660</v>
      </c>
    </row>
    <row r="1783" spans="1:13" ht="20.100000000000001" customHeight="1" x14ac:dyDescent="0.2">
      <c r="A1783" s="106" t="s">
        <v>2848</v>
      </c>
      <c r="B1783" s="128" t="s">
        <v>659</v>
      </c>
      <c r="C1783" s="61" t="s">
        <v>19</v>
      </c>
      <c r="D1783" s="50">
        <v>1</v>
      </c>
      <c r="E1783" s="51">
        <f t="shared" si="571"/>
        <v>129.6</v>
      </c>
      <c r="F1783" s="23">
        <f t="shared" si="567"/>
        <v>7.7160493827160498E-3</v>
      </c>
      <c r="G1783" s="65">
        <f t="shared" si="567"/>
        <v>1425.6</v>
      </c>
      <c r="H1783" s="77">
        <v>0.4208754208754209</v>
      </c>
      <c r="I1783" s="71">
        <f t="shared" si="568"/>
        <v>1.1000000000000001</v>
      </c>
      <c r="J1783" s="23">
        <f t="shared" si="569"/>
        <v>7.7160493827160498E-3</v>
      </c>
      <c r="K1783" s="65">
        <f t="shared" si="570"/>
        <v>1425.6</v>
      </c>
      <c r="L1783" s="21">
        <v>600</v>
      </c>
      <c r="M1783" s="21">
        <v>660</v>
      </c>
    </row>
    <row r="1784" spans="1:13" ht="20.100000000000001" customHeight="1" x14ac:dyDescent="0.2">
      <c r="A1784" s="106" t="s">
        <v>2849</v>
      </c>
      <c r="B1784" s="128" t="s">
        <v>660</v>
      </c>
      <c r="C1784" s="61" t="s">
        <v>19</v>
      </c>
      <c r="D1784" s="50">
        <v>1</v>
      </c>
      <c r="E1784" s="51">
        <f t="shared" si="571"/>
        <v>120</v>
      </c>
      <c r="F1784" s="23">
        <f t="shared" si="567"/>
        <v>8.3333333333333332E-3</v>
      </c>
      <c r="G1784" s="65">
        <f t="shared" si="567"/>
        <v>1320</v>
      </c>
      <c r="H1784" s="77">
        <v>0.45454545454545453</v>
      </c>
      <c r="I1784" s="71">
        <f t="shared" si="568"/>
        <v>1.1000000000000001</v>
      </c>
      <c r="J1784" s="23">
        <f t="shared" si="569"/>
        <v>8.3333333333333332E-3</v>
      </c>
      <c r="K1784" s="65">
        <f t="shared" si="570"/>
        <v>1320</v>
      </c>
      <c r="L1784" s="21">
        <v>600</v>
      </c>
      <c r="M1784" s="21">
        <v>660</v>
      </c>
    </row>
    <row r="1785" spans="1:13" ht="20.100000000000001" customHeight="1" x14ac:dyDescent="0.2">
      <c r="A1785" s="106" t="s">
        <v>2850</v>
      </c>
      <c r="B1785" s="128" t="s">
        <v>661</v>
      </c>
      <c r="C1785" s="61" t="s">
        <v>19</v>
      </c>
      <c r="D1785" s="50">
        <v>1</v>
      </c>
      <c r="E1785" s="51">
        <f t="shared" si="571"/>
        <v>108.00000000000001</v>
      </c>
      <c r="F1785" s="23">
        <f t="shared" si="567"/>
        <v>9.259259259259257E-3</v>
      </c>
      <c r="G1785" s="65">
        <f t="shared" si="567"/>
        <v>1188.0000000000002</v>
      </c>
      <c r="H1785" s="77">
        <v>0.50505050505050497</v>
      </c>
      <c r="I1785" s="71">
        <f t="shared" si="568"/>
        <v>1.1000000000000001</v>
      </c>
      <c r="J1785" s="23">
        <f t="shared" si="569"/>
        <v>9.259259259259257E-3</v>
      </c>
      <c r="K1785" s="65">
        <f t="shared" si="570"/>
        <v>1188.0000000000002</v>
      </c>
      <c r="L1785" s="21">
        <v>600</v>
      </c>
      <c r="M1785" s="21">
        <v>660</v>
      </c>
    </row>
    <row r="1786" spans="1:13" ht="20.100000000000001" customHeight="1" x14ac:dyDescent="0.2">
      <c r="A1786" s="106" t="s">
        <v>2851</v>
      </c>
      <c r="B1786" s="128" t="s">
        <v>662</v>
      </c>
      <c r="C1786" s="61" t="s">
        <v>19</v>
      </c>
      <c r="D1786" s="50">
        <v>1</v>
      </c>
      <c r="E1786" s="51">
        <f t="shared" si="571"/>
        <v>92.399999999999991</v>
      </c>
      <c r="F1786" s="23">
        <f t="shared" si="567"/>
        <v>1.0822510822510822E-2</v>
      </c>
      <c r="G1786" s="65">
        <f t="shared" si="567"/>
        <v>1016.4</v>
      </c>
      <c r="H1786" s="77">
        <v>0.59031877213695394</v>
      </c>
      <c r="I1786" s="71">
        <f t="shared" si="568"/>
        <v>1.1000000000000001</v>
      </c>
      <c r="J1786" s="23">
        <f t="shared" si="569"/>
        <v>1.0822510822510822E-2</v>
      </c>
      <c r="K1786" s="65">
        <f t="shared" si="570"/>
        <v>1016.4</v>
      </c>
      <c r="L1786" s="21">
        <v>600</v>
      </c>
      <c r="M1786" s="21">
        <v>660</v>
      </c>
    </row>
    <row r="1787" spans="1:13" ht="20.100000000000001" customHeight="1" x14ac:dyDescent="0.2">
      <c r="A1787" s="106" t="s">
        <v>2852</v>
      </c>
      <c r="B1787" s="128" t="s">
        <v>663</v>
      </c>
      <c r="C1787" s="61" t="s">
        <v>19</v>
      </c>
      <c r="D1787" s="50">
        <v>1</v>
      </c>
      <c r="E1787" s="51">
        <f t="shared" si="571"/>
        <v>78</v>
      </c>
      <c r="F1787" s="23">
        <f t="shared" si="567"/>
        <v>1.282051282051282E-2</v>
      </c>
      <c r="G1787" s="65">
        <f t="shared" si="567"/>
        <v>858</v>
      </c>
      <c r="H1787" s="77">
        <v>0.69930069930069927</v>
      </c>
      <c r="I1787" s="71">
        <f t="shared" si="568"/>
        <v>1.1000000000000001</v>
      </c>
      <c r="J1787" s="23">
        <f t="shared" si="569"/>
        <v>1.282051282051282E-2</v>
      </c>
      <c r="K1787" s="65">
        <f t="shared" si="570"/>
        <v>858</v>
      </c>
      <c r="L1787" s="21">
        <v>600</v>
      </c>
      <c r="M1787" s="21">
        <v>660</v>
      </c>
    </row>
    <row r="1788" spans="1:13" ht="20.100000000000001" customHeight="1" x14ac:dyDescent="0.2">
      <c r="A1788" s="106" t="s">
        <v>2853</v>
      </c>
      <c r="B1788" s="128" t="s">
        <v>664</v>
      </c>
      <c r="C1788" s="61" t="s">
        <v>19</v>
      </c>
      <c r="D1788" s="50">
        <v>1</v>
      </c>
      <c r="E1788" s="51">
        <f t="shared" si="571"/>
        <v>159.60000000000002</v>
      </c>
      <c r="F1788" s="23">
        <f t="shared" si="567"/>
        <v>6.2656641604010022E-3</v>
      </c>
      <c r="G1788" s="65">
        <f t="shared" si="567"/>
        <v>1755.6000000000001</v>
      </c>
      <c r="H1788" s="77">
        <v>0.34176349965823644</v>
      </c>
      <c r="I1788" s="71">
        <f t="shared" si="568"/>
        <v>1.1000000000000001</v>
      </c>
      <c r="J1788" s="23">
        <f t="shared" si="569"/>
        <v>6.2656641604010022E-3</v>
      </c>
      <c r="K1788" s="65">
        <f t="shared" si="570"/>
        <v>1755.6000000000001</v>
      </c>
      <c r="L1788" s="21">
        <v>600</v>
      </c>
      <c r="M1788" s="21">
        <v>660</v>
      </c>
    </row>
    <row r="1789" spans="1:13" ht="20.100000000000001" customHeight="1" x14ac:dyDescent="0.2">
      <c r="A1789" s="106" t="s">
        <v>2854</v>
      </c>
      <c r="B1789" s="128" t="s">
        <v>665</v>
      </c>
      <c r="C1789" s="61" t="s">
        <v>19</v>
      </c>
      <c r="D1789" s="50">
        <v>1</v>
      </c>
      <c r="E1789" s="51">
        <f t="shared" si="571"/>
        <v>126</v>
      </c>
      <c r="F1789" s="23">
        <f t="shared" si="567"/>
        <v>7.9365079365079361E-3</v>
      </c>
      <c r="G1789" s="65">
        <f t="shared" si="567"/>
        <v>1386</v>
      </c>
      <c r="H1789" s="77">
        <v>0.4329004329004329</v>
      </c>
      <c r="I1789" s="71">
        <f t="shared" si="568"/>
        <v>1.1000000000000001</v>
      </c>
      <c r="J1789" s="23">
        <f t="shared" si="569"/>
        <v>7.9365079365079361E-3</v>
      </c>
      <c r="K1789" s="65">
        <f t="shared" si="570"/>
        <v>1386</v>
      </c>
      <c r="L1789" s="21">
        <v>600</v>
      </c>
      <c r="M1789" s="21">
        <v>660</v>
      </c>
    </row>
    <row r="1790" spans="1:13" ht="20.100000000000001" customHeight="1" x14ac:dyDescent="0.2">
      <c r="A1790" s="106" t="s">
        <v>2855</v>
      </c>
      <c r="B1790" s="128" t="s">
        <v>666</v>
      </c>
      <c r="C1790" s="61" t="s">
        <v>19</v>
      </c>
      <c r="D1790" s="50">
        <v>1</v>
      </c>
      <c r="E1790" s="51">
        <f t="shared" si="571"/>
        <v>106.8</v>
      </c>
      <c r="F1790" s="23">
        <f t="shared" si="567"/>
        <v>9.3632958801498131E-3</v>
      </c>
      <c r="G1790" s="65">
        <f t="shared" si="567"/>
        <v>1174.8</v>
      </c>
      <c r="H1790" s="77">
        <v>0.51072522982635338</v>
      </c>
      <c r="I1790" s="71">
        <f t="shared" si="568"/>
        <v>1.1000000000000001</v>
      </c>
      <c r="J1790" s="23">
        <f t="shared" si="569"/>
        <v>9.3632958801498131E-3</v>
      </c>
      <c r="K1790" s="65">
        <f t="shared" si="570"/>
        <v>1174.8</v>
      </c>
      <c r="L1790" s="21">
        <v>600</v>
      </c>
      <c r="M1790" s="21">
        <v>660</v>
      </c>
    </row>
    <row r="1791" spans="1:13" ht="20.100000000000001" customHeight="1" x14ac:dyDescent="0.2">
      <c r="A1791" s="106" t="s">
        <v>2856</v>
      </c>
      <c r="B1791" s="128" t="s">
        <v>667</v>
      </c>
      <c r="C1791" s="61" t="s">
        <v>19</v>
      </c>
      <c r="D1791" s="50">
        <v>1</v>
      </c>
      <c r="E1791" s="51">
        <f t="shared" si="571"/>
        <v>74.399999999999991</v>
      </c>
      <c r="F1791" s="23">
        <f t="shared" si="567"/>
        <v>1.3440860215053764E-2</v>
      </c>
      <c r="G1791" s="65">
        <f t="shared" si="567"/>
        <v>818.4</v>
      </c>
      <c r="H1791" s="77">
        <v>0.73313782991202348</v>
      </c>
      <c r="I1791" s="71">
        <f t="shared" si="568"/>
        <v>1.1000000000000001</v>
      </c>
      <c r="J1791" s="23">
        <f t="shared" si="569"/>
        <v>1.3440860215053764E-2</v>
      </c>
      <c r="K1791" s="65">
        <f t="shared" si="570"/>
        <v>818.4</v>
      </c>
      <c r="L1791" s="21">
        <v>600</v>
      </c>
      <c r="M1791" s="21">
        <v>660</v>
      </c>
    </row>
    <row r="1792" spans="1:13" ht="20.100000000000001" customHeight="1" x14ac:dyDescent="0.2">
      <c r="A1792" s="106" t="s">
        <v>2857</v>
      </c>
      <c r="B1792" s="128" t="s">
        <v>668</v>
      </c>
      <c r="C1792" s="61" t="s">
        <v>19</v>
      </c>
      <c r="D1792" s="50">
        <v>1</v>
      </c>
      <c r="E1792" s="51">
        <f t="shared" si="571"/>
        <v>61.199999999999996</v>
      </c>
      <c r="F1792" s="23">
        <f t="shared" si="567"/>
        <v>1.6339869281045753E-2</v>
      </c>
      <c r="G1792" s="65">
        <f t="shared" si="567"/>
        <v>673.19999999999993</v>
      </c>
      <c r="H1792" s="77">
        <v>0.89126559714795017</v>
      </c>
      <c r="I1792" s="71">
        <f t="shared" si="568"/>
        <v>1.1000000000000001</v>
      </c>
      <c r="J1792" s="23">
        <f t="shared" si="569"/>
        <v>1.6339869281045753E-2</v>
      </c>
      <c r="K1792" s="65">
        <f t="shared" si="570"/>
        <v>673.19999999999993</v>
      </c>
      <c r="L1792" s="21">
        <v>600</v>
      </c>
      <c r="M1792" s="21">
        <v>660</v>
      </c>
    </row>
    <row r="1793" spans="1:13" ht="20.100000000000001" customHeight="1" x14ac:dyDescent="0.2">
      <c r="A1793" s="106" t="s">
        <v>2858</v>
      </c>
      <c r="B1793" s="128" t="s">
        <v>669</v>
      </c>
      <c r="C1793" s="61" t="s">
        <v>19</v>
      </c>
      <c r="D1793" s="50">
        <v>1</v>
      </c>
      <c r="E1793" s="51">
        <f t="shared" si="571"/>
        <v>55.2</v>
      </c>
      <c r="F1793" s="23">
        <f t="shared" si="567"/>
        <v>1.8115942028985504E-2</v>
      </c>
      <c r="G1793" s="65">
        <f t="shared" si="567"/>
        <v>607.20000000000005</v>
      </c>
      <c r="H1793" s="77">
        <v>0.98814229249011842</v>
      </c>
      <c r="I1793" s="71">
        <f t="shared" si="568"/>
        <v>1.1000000000000001</v>
      </c>
      <c r="J1793" s="23">
        <f t="shared" si="569"/>
        <v>1.8115942028985504E-2</v>
      </c>
      <c r="K1793" s="65">
        <f t="shared" si="570"/>
        <v>607.20000000000005</v>
      </c>
      <c r="L1793" s="21">
        <v>600</v>
      </c>
      <c r="M1793" s="21">
        <v>660</v>
      </c>
    </row>
    <row r="1794" spans="1:13" ht="20.100000000000001" customHeight="1" x14ac:dyDescent="0.2">
      <c r="A1794" s="106" t="s">
        <v>2859</v>
      </c>
      <c r="B1794" s="128" t="s">
        <v>670</v>
      </c>
      <c r="C1794" s="61" t="s">
        <v>19</v>
      </c>
      <c r="D1794" s="50">
        <v>1</v>
      </c>
      <c r="E1794" s="51">
        <f t="shared" si="571"/>
        <v>50.400000000000006</v>
      </c>
      <c r="F1794" s="23">
        <f t="shared" si="567"/>
        <v>1.9841269841269837E-2</v>
      </c>
      <c r="G1794" s="65">
        <f t="shared" si="567"/>
        <v>554.40000000000009</v>
      </c>
      <c r="H1794" s="77">
        <v>1.082251082251082</v>
      </c>
      <c r="I1794" s="71">
        <f t="shared" si="568"/>
        <v>1.1000000000000001</v>
      </c>
      <c r="J1794" s="23">
        <f t="shared" si="569"/>
        <v>1.9841269841269837E-2</v>
      </c>
      <c r="K1794" s="65">
        <f t="shared" si="570"/>
        <v>554.40000000000009</v>
      </c>
      <c r="L1794" s="21">
        <v>600</v>
      </c>
      <c r="M1794" s="21">
        <v>660</v>
      </c>
    </row>
    <row r="1795" spans="1:13" ht="20.100000000000001" customHeight="1" x14ac:dyDescent="0.2">
      <c r="A1795" s="106" t="s">
        <v>2860</v>
      </c>
      <c r="B1795" s="125" t="s">
        <v>123</v>
      </c>
      <c r="C1795" s="21" t="s">
        <v>1</v>
      </c>
      <c r="D1795" s="50">
        <v>1</v>
      </c>
      <c r="E1795" s="51">
        <f t="shared" si="571"/>
        <v>0.71999999999999986</v>
      </c>
      <c r="F1795" s="23">
        <f t="shared" si="567"/>
        <v>1.3888888888888891</v>
      </c>
      <c r="G1795" s="65">
        <f t="shared" si="567"/>
        <v>7.919999999999999</v>
      </c>
      <c r="H1795" s="77">
        <v>75.757575757575765</v>
      </c>
      <c r="I1795" s="71">
        <f t="shared" si="568"/>
        <v>1.1000000000000001</v>
      </c>
      <c r="J1795" s="23">
        <f t="shared" si="569"/>
        <v>1.3888888888888891</v>
      </c>
      <c r="K1795" s="65">
        <f t="shared" si="570"/>
        <v>7.919999999999999</v>
      </c>
      <c r="L1795" s="21">
        <v>600</v>
      </c>
      <c r="M1795" s="21">
        <v>660</v>
      </c>
    </row>
    <row r="1796" spans="1:13" ht="20.100000000000001" customHeight="1" x14ac:dyDescent="0.2">
      <c r="A1796" s="106" t="s">
        <v>2861</v>
      </c>
      <c r="B1796" s="126" t="s">
        <v>532</v>
      </c>
      <c r="C1796" s="21" t="s">
        <v>1</v>
      </c>
      <c r="D1796" s="50">
        <v>1</v>
      </c>
      <c r="E1796" s="51">
        <f t="shared" si="571"/>
        <v>43.636363636363633</v>
      </c>
      <c r="F1796" s="23">
        <f t="shared" si="567"/>
        <v>2.2916666666666665E-2</v>
      </c>
      <c r="G1796" s="65">
        <f t="shared" si="567"/>
        <v>480</v>
      </c>
      <c r="H1796" s="77">
        <v>1.25</v>
      </c>
      <c r="I1796" s="71">
        <f t="shared" si="568"/>
        <v>1.1000000000000001</v>
      </c>
      <c r="J1796" s="23">
        <f t="shared" si="569"/>
        <v>2.2916666666666665E-2</v>
      </c>
      <c r="K1796" s="65">
        <f t="shared" si="570"/>
        <v>480</v>
      </c>
      <c r="L1796" s="21">
        <v>600</v>
      </c>
      <c r="M1796" s="21">
        <v>660</v>
      </c>
    </row>
    <row r="1797" spans="1:13" ht="20.100000000000001" customHeight="1" x14ac:dyDescent="0.2">
      <c r="A1797" s="106" t="s">
        <v>2862</v>
      </c>
      <c r="B1797" s="126" t="s">
        <v>533</v>
      </c>
      <c r="C1797" s="21" t="s">
        <v>1</v>
      </c>
      <c r="D1797" s="50">
        <v>1</v>
      </c>
      <c r="E1797" s="51">
        <f t="shared" si="571"/>
        <v>38.18181818181818</v>
      </c>
      <c r="F1797" s="23">
        <f t="shared" si="567"/>
        <v>2.6190476190476195E-2</v>
      </c>
      <c r="G1797" s="65">
        <f t="shared" si="567"/>
        <v>419.99999999999994</v>
      </c>
      <c r="H1797" s="77">
        <v>1.4285714285714286</v>
      </c>
      <c r="I1797" s="71">
        <f t="shared" si="568"/>
        <v>1.1000000000000001</v>
      </c>
      <c r="J1797" s="23">
        <f t="shared" si="569"/>
        <v>2.6190476190476195E-2</v>
      </c>
      <c r="K1797" s="65">
        <f t="shared" si="570"/>
        <v>419.99999999999994</v>
      </c>
      <c r="L1797" s="21">
        <v>600</v>
      </c>
      <c r="M1797" s="21">
        <v>660</v>
      </c>
    </row>
    <row r="1798" spans="1:13" ht="20.100000000000001" customHeight="1" x14ac:dyDescent="0.2">
      <c r="A1798" s="106" t="s">
        <v>2863</v>
      </c>
      <c r="B1798" s="126" t="s">
        <v>534</v>
      </c>
      <c r="C1798" s="21" t="s">
        <v>1</v>
      </c>
      <c r="D1798" s="50">
        <v>1</v>
      </c>
      <c r="E1798" s="51">
        <f t="shared" si="571"/>
        <v>32.72727272727272</v>
      </c>
      <c r="F1798" s="23">
        <f t="shared" si="567"/>
        <v>3.0555555555555561E-2</v>
      </c>
      <c r="G1798" s="65">
        <f t="shared" si="567"/>
        <v>359.99999999999994</v>
      </c>
      <c r="H1798" s="77">
        <v>1.6666666666666667</v>
      </c>
      <c r="I1798" s="71">
        <f t="shared" si="568"/>
        <v>1.1000000000000001</v>
      </c>
      <c r="J1798" s="23">
        <f t="shared" si="569"/>
        <v>3.0555555555555561E-2</v>
      </c>
      <c r="K1798" s="65">
        <f t="shared" si="570"/>
        <v>359.99999999999994</v>
      </c>
      <c r="L1798" s="21">
        <v>600</v>
      </c>
      <c r="M1798" s="21">
        <v>660</v>
      </c>
    </row>
    <row r="1799" spans="1:13" ht="20.100000000000001" customHeight="1" x14ac:dyDescent="0.2">
      <c r="A1799" s="106" t="s">
        <v>2864</v>
      </c>
      <c r="B1799" s="126" t="s">
        <v>507</v>
      </c>
      <c r="C1799" s="21" t="s">
        <v>1</v>
      </c>
      <c r="D1799" s="50">
        <v>1</v>
      </c>
      <c r="E1799" s="51">
        <f t="shared" si="571"/>
        <v>360</v>
      </c>
      <c r="F1799" s="23">
        <f t="shared" si="567"/>
        <v>2.7777777777777779E-3</v>
      </c>
      <c r="G1799" s="65">
        <f t="shared" si="567"/>
        <v>3960</v>
      </c>
      <c r="H1799" s="77">
        <v>0.15151515151515149</v>
      </c>
      <c r="I1799" s="71">
        <f t="shared" si="568"/>
        <v>1.1000000000000001</v>
      </c>
      <c r="J1799" s="23">
        <f t="shared" si="569"/>
        <v>2.7777777777777779E-3</v>
      </c>
      <c r="K1799" s="65">
        <f t="shared" si="570"/>
        <v>3960</v>
      </c>
      <c r="L1799" s="21">
        <v>600</v>
      </c>
      <c r="M1799" s="21">
        <v>660</v>
      </c>
    </row>
    <row r="1800" spans="1:13" ht="20.100000000000001" customHeight="1" x14ac:dyDescent="0.2">
      <c r="A1800" s="106" t="s">
        <v>2865</v>
      </c>
      <c r="B1800" s="125" t="s">
        <v>319</v>
      </c>
      <c r="C1800" s="21" t="s">
        <v>1</v>
      </c>
      <c r="D1800" s="50">
        <v>1</v>
      </c>
      <c r="E1800" s="51">
        <f t="shared" si="571"/>
        <v>196.36363636363637</v>
      </c>
      <c r="F1800" s="23">
        <f t="shared" si="567"/>
        <v>5.092592592592593E-3</v>
      </c>
      <c r="G1800" s="65">
        <f t="shared" si="567"/>
        <v>2160</v>
      </c>
      <c r="H1800" s="77">
        <v>0.27777777777777779</v>
      </c>
      <c r="I1800" s="71">
        <f t="shared" si="568"/>
        <v>1.1000000000000001</v>
      </c>
      <c r="J1800" s="23">
        <f t="shared" si="569"/>
        <v>5.092592592592593E-3</v>
      </c>
      <c r="K1800" s="65">
        <f t="shared" si="570"/>
        <v>2160</v>
      </c>
      <c r="L1800" s="21">
        <v>600</v>
      </c>
      <c r="M1800" s="21">
        <v>660</v>
      </c>
    </row>
    <row r="1801" spans="1:13" ht="20.100000000000001" customHeight="1" x14ac:dyDescent="0.2">
      <c r="A1801" s="106" t="s">
        <v>2866</v>
      </c>
      <c r="B1801" s="125" t="s">
        <v>521</v>
      </c>
      <c r="C1801" s="21" t="s">
        <v>1</v>
      </c>
      <c r="D1801" s="50">
        <v>1</v>
      </c>
      <c r="E1801" s="51">
        <f t="shared" si="571"/>
        <v>250.90909090909091</v>
      </c>
      <c r="F1801" s="23">
        <f t="shared" si="567"/>
        <v>3.9855072463768114E-3</v>
      </c>
      <c r="G1801" s="65">
        <f t="shared" si="567"/>
        <v>2760</v>
      </c>
      <c r="H1801" s="77">
        <v>0.21739130434782608</v>
      </c>
      <c r="I1801" s="71">
        <f t="shared" si="568"/>
        <v>1.1000000000000001</v>
      </c>
      <c r="J1801" s="23">
        <f t="shared" si="569"/>
        <v>3.9855072463768114E-3</v>
      </c>
      <c r="K1801" s="65">
        <f t="shared" si="570"/>
        <v>2760</v>
      </c>
      <c r="L1801" s="21">
        <v>600</v>
      </c>
      <c r="M1801" s="21">
        <v>660</v>
      </c>
    </row>
    <row r="1802" spans="1:13" ht="20.100000000000001" customHeight="1" x14ac:dyDescent="0.2">
      <c r="A1802" s="106" t="s">
        <v>2867</v>
      </c>
      <c r="B1802" s="125" t="s">
        <v>320</v>
      </c>
      <c r="C1802" s="21" t="s">
        <v>1</v>
      </c>
      <c r="D1802" s="50">
        <v>1</v>
      </c>
      <c r="E1802" s="51">
        <f t="shared" si="571"/>
        <v>136.36363636363635</v>
      </c>
      <c r="F1802" s="23">
        <f t="shared" si="567"/>
        <v>7.3333333333333341E-3</v>
      </c>
      <c r="G1802" s="65">
        <f t="shared" si="567"/>
        <v>1499.9999999999998</v>
      </c>
      <c r="H1802" s="77">
        <v>0.4</v>
      </c>
      <c r="I1802" s="71">
        <f t="shared" si="568"/>
        <v>1.1000000000000001</v>
      </c>
      <c r="J1802" s="23">
        <f t="shared" si="569"/>
        <v>7.3333333333333341E-3</v>
      </c>
      <c r="K1802" s="65">
        <f t="shared" si="570"/>
        <v>1499.9999999999998</v>
      </c>
      <c r="L1802" s="21">
        <v>600</v>
      </c>
      <c r="M1802" s="21">
        <v>660</v>
      </c>
    </row>
    <row r="1803" spans="1:13" ht="20.100000000000001" customHeight="1" x14ac:dyDescent="0.2">
      <c r="A1803" s="106" t="s">
        <v>2868</v>
      </c>
      <c r="B1803" s="125" t="s">
        <v>321</v>
      </c>
      <c r="C1803" s="21" t="s">
        <v>1</v>
      </c>
      <c r="D1803" s="50">
        <v>1</v>
      </c>
      <c r="E1803" s="51">
        <f t="shared" si="571"/>
        <v>147.27272727272725</v>
      </c>
      <c r="F1803" s="23">
        <f t="shared" si="567"/>
        <v>6.7901234567901243E-3</v>
      </c>
      <c r="G1803" s="65">
        <f t="shared" si="567"/>
        <v>1619.9999999999998</v>
      </c>
      <c r="H1803" s="77">
        <v>0.37037037037037035</v>
      </c>
      <c r="I1803" s="71">
        <f t="shared" si="568"/>
        <v>1.1000000000000001</v>
      </c>
      <c r="J1803" s="23">
        <f t="shared" si="569"/>
        <v>6.7901234567901243E-3</v>
      </c>
      <c r="K1803" s="65">
        <f t="shared" si="570"/>
        <v>1619.9999999999998</v>
      </c>
      <c r="L1803" s="21">
        <v>600</v>
      </c>
      <c r="M1803" s="21">
        <v>660</v>
      </c>
    </row>
    <row r="1804" spans="1:13" ht="20.100000000000001" customHeight="1" x14ac:dyDescent="0.2">
      <c r="A1804" s="106" t="s">
        <v>2869</v>
      </c>
      <c r="B1804" s="126" t="s">
        <v>512</v>
      </c>
      <c r="C1804" s="49" t="s">
        <v>8</v>
      </c>
      <c r="D1804" s="50">
        <v>1</v>
      </c>
      <c r="E1804" s="51">
        <f t="shared" si="571"/>
        <v>1.6725979636363635</v>
      </c>
      <c r="F1804" s="23">
        <f t="shared" si="567"/>
        <v>0.59787230508514966</v>
      </c>
      <c r="G1804" s="65">
        <f t="shared" si="567"/>
        <v>18.398577599999999</v>
      </c>
      <c r="H1804" s="77">
        <v>32.611216641008156</v>
      </c>
      <c r="I1804" s="71">
        <f t="shared" si="568"/>
        <v>1.1000000000000001</v>
      </c>
      <c r="J1804" s="23">
        <f t="shared" si="569"/>
        <v>0.59787230508514966</v>
      </c>
      <c r="K1804" s="65">
        <f t="shared" si="570"/>
        <v>18.398577599999999</v>
      </c>
      <c r="L1804" s="21">
        <v>600</v>
      </c>
      <c r="M1804" s="21">
        <v>660</v>
      </c>
    </row>
    <row r="1805" spans="1:13" ht="20.100000000000001" customHeight="1" x14ac:dyDescent="0.2">
      <c r="A1805" s="106" t="s">
        <v>2870</v>
      </c>
      <c r="B1805" s="126" t="s">
        <v>513</v>
      </c>
      <c r="C1805" s="49" t="s">
        <v>8</v>
      </c>
      <c r="D1805" s="50">
        <v>1</v>
      </c>
      <c r="E1805" s="51">
        <f t="shared" si="571"/>
        <v>1.4152752000000002</v>
      </c>
      <c r="F1805" s="23">
        <f t="shared" si="567"/>
        <v>0.70657636055517681</v>
      </c>
      <c r="G1805" s="65">
        <f t="shared" si="567"/>
        <v>15.568027200000001</v>
      </c>
      <c r="H1805" s="77">
        <v>38.540528757555094</v>
      </c>
      <c r="I1805" s="71">
        <f t="shared" si="568"/>
        <v>1.1000000000000001</v>
      </c>
      <c r="J1805" s="23">
        <f t="shared" si="569"/>
        <v>0.70657636055517681</v>
      </c>
      <c r="K1805" s="65">
        <f t="shared" si="570"/>
        <v>15.568027200000001</v>
      </c>
      <c r="L1805" s="21">
        <v>600</v>
      </c>
      <c r="M1805" s="21">
        <v>660</v>
      </c>
    </row>
    <row r="1806" spans="1:13" ht="20.100000000000001" customHeight="1" x14ac:dyDescent="0.2">
      <c r="A1806" s="106" t="s">
        <v>2871</v>
      </c>
      <c r="B1806" s="126" t="s">
        <v>514</v>
      </c>
      <c r="C1806" s="49" t="s">
        <v>8</v>
      </c>
      <c r="D1806" s="50">
        <v>1</v>
      </c>
      <c r="E1806" s="51">
        <f t="shared" si="571"/>
        <v>1.1579524363636364</v>
      </c>
      <c r="F1806" s="23">
        <f t="shared" si="567"/>
        <v>0.86359332956743828</v>
      </c>
      <c r="G1806" s="65">
        <f t="shared" si="567"/>
        <v>12.737476800000001</v>
      </c>
      <c r="H1806" s="77">
        <v>47.105090703678449</v>
      </c>
      <c r="I1806" s="71">
        <f t="shared" si="568"/>
        <v>1.1000000000000001</v>
      </c>
      <c r="J1806" s="23">
        <f t="shared" si="569"/>
        <v>0.86359332956743828</v>
      </c>
      <c r="K1806" s="65">
        <f t="shared" si="570"/>
        <v>12.737476800000001</v>
      </c>
      <c r="L1806" s="21">
        <v>600</v>
      </c>
      <c r="M1806" s="21">
        <v>660</v>
      </c>
    </row>
    <row r="1807" spans="1:13" ht="20.100000000000001" customHeight="1" x14ac:dyDescent="0.2">
      <c r="A1807" s="106" t="s">
        <v>2872</v>
      </c>
      <c r="B1807" s="126" t="s">
        <v>515</v>
      </c>
      <c r="C1807" s="49" t="s">
        <v>8</v>
      </c>
      <c r="D1807" s="50">
        <v>1</v>
      </c>
      <c r="E1807" s="51">
        <f t="shared" si="571"/>
        <v>0.90062967272727257</v>
      </c>
      <c r="F1807" s="23">
        <f t="shared" si="567"/>
        <v>1.110334280872421</v>
      </c>
      <c r="G1807" s="65">
        <f t="shared" si="567"/>
        <v>9.9069263999999979</v>
      </c>
      <c r="H1807" s="77">
        <v>60.563688047586588</v>
      </c>
      <c r="I1807" s="71">
        <f t="shared" si="568"/>
        <v>1.1000000000000001</v>
      </c>
      <c r="J1807" s="23">
        <f t="shared" si="569"/>
        <v>1.110334280872421</v>
      </c>
      <c r="K1807" s="65">
        <f t="shared" si="570"/>
        <v>9.9069263999999979</v>
      </c>
      <c r="L1807" s="21">
        <v>600</v>
      </c>
      <c r="M1807" s="21">
        <v>660</v>
      </c>
    </row>
    <row r="1808" spans="1:13" ht="20.100000000000001" customHeight="1" x14ac:dyDescent="0.2">
      <c r="A1808" s="106" t="s">
        <v>2873</v>
      </c>
      <c r="B1808" s="126" t="s">
        <v>516</v>
      </c>
      <c r="C1808" s="49" t="s">
        <v>8</v>
      </c>
      <c r="D1808" s="50">
        <v>1</v>
      </c>
      <c r="E1808" s="51">
        <f t="shared" si="571"/>
        <v>0.64330690909090904</v>
      </c>
      <c r="F1808" s="23">
        <f t="shared" si="567"/>
        <v>1.5544679932213892</v>
      </c>
      <c r="G1808" s="65">
        <f t="shared" si="567"/>
        <v>7.0763759999999998</v>
      </c>
      <c r="H1808" s="77">
        <v>84.789163266621216</v>
      </c>
      <c r="I1808" s="71">
        <f t="shared" si="568"/>
        <v>1.1000000000000001</v>
      </c>
      <c r="J1808" s="23">
        <f t="shared" si="569"/>
        <v>1.5544679932213892</v>
      </c>
      <c r="K1808" s="65">
        <f t="shared" si="570"/>
        <v>7.0763759999999998</v>
      </c>
      <c r="L1808" s="21">
        <v>600</v>
      </c>
      <c r="M1808" s="21">
        <v>660</v>
      </c>
    </row>
    <row r="1809" spans="1:13" ht="20.100000000000001" customHeight="1" x14ac:dyDescent="0.2">
      <c r="A1809" s="106" t="s">
        <v>2874</v>
      </c>
      <c r="B1809" s="125" t="s">
        <v>326</v>
      </c>
      <c r="C1809" s="49" t="s">
        <v>8</v>
      </c>
      <c r="D1809" s="50">
        <v>1</v>
      </c>
      <c r="E1809" s="51">
        <f t="shared" si="571"/>
        <v>57.340799999999994</v>
      </c>
      <c r="F1809" s="23">
        <f t="shared" si="567"/>
        <v>1.7439589262793685E-2</v>
      </c>
      <c r="G1809" s="65">
        <f t="shared" si="567"/>
        <v>630.74879999999996</v>
      </c>
      <c r="H1809" s="77">
        <v>0.95125032342510984</v>
      </c>
      <c r="I1809" s="71">
        <f t="shared" si="568"/>
        <v>1.1000000000000001</v>
      </c>
      <c r="J1809" s="23">
        <f t="shared" si="569"/>
        <v>1.7439589262793685E-2</v>
      </c>
      <c r="K1809" s="65">
        <f t="shared" si="570"/>
        <v>630.74879999999996</v>
      </c>
      <c r="L1809" s="21">
        <v>600</v>
      </c>
      <c r="M1809" s="21">
        <v>660</v>
      </c>
    </row>
    <row r="1810" spans="1:13" ht="20.100000000000001" customHeight="1" x14ac:dyDescent="0.2">
      <c r="A1810" s="106" t="s">
        <v>2875</v>
      </c>
      <c r="B1810" s="128" t="s">
        <v>453</v>
      </c>
      <c r="C1810" s="61" t="s">
        <v>19</v>
      </c>
      <c r="D1810" s="50">
        <v>1</v>
      </c>
      <c r="E1810" s="51">
        <f t="shared" si="571"/>
        <v>396.00000000000006</v>
      </c>
      <c r="F1810" s="23">
        <f t="shared" si="567"/>
        <v>2.5252525252525246E-3</v>
      </c>
      <c r="G1810" s="65">
        <f t="shared" si="567"/>
        <v>4356.0000000000009</v>
      </c>
      <c r="H1810" s="77">
        <v>0.1377410468319559</v>
      </c>
      <c r="I1810" s="71">
        <f t="shared" si="568"/>
        <v>1.1000000000000001</v>
      </c>
      <c r="J1810" s="23">
        <f t="shared" si="569"/>
        <v>2.5252525252525246E-3</v>
      </c>
      <c r="K1810" s="65">
        <f t="shared" si="570"/>
        <v>4356.0000000000009</v>
      </c>
      <c r="L1810" s="21">
        <v>600</v>
      </c>
      <c r="M1810" s="21">
        <v>660</v>
      </c>
    </row>
    <row r="1811" spans="1:13" ht="20.100000000000001" customHeight="1" x14ac:dyDescent="0.2">
      <c r="A1811" s="106" t="s">
        <v>2876</v>
      </c>
      <c r="B1811" s="128" t="s">
        <v>436</v>
      </c>
      <c r="C1811" s="61" t="s">
        <v>19</v>
      </c>
      <c r="D1811" s="50">
        <v>1</v>
      </c>
      <c r="E1811" s="51">
        <f t="shared" si="571"/>
        <v>283.79999999999995</v>
      </c>
      <c r="F1811" s="23">
        <f t="shared" si="567"/>
        <v>3.5236081747709665E-3</v>
      </c>
      <c r="G1811" s="65">
        <f t="shared" si="567"/>
        <v>3121.7999999999993</v>
      </c>
      <c r="H1811" s="77">
        <v>0.19219680953296178</v>
      </c>
      <c r="I1811" s="71">
        <f t="shared" si="568"/>
        <v>1.1000000000000001</v>
      </c>
      <c r="J1811" s="23">
        <f t="shared" si="569"/>
        <v>3.5236081747709665E-3</v>
      </c>
      <c r="K1811" s="65">
        <f t="shared" si="570"/>
        <v>3121.7999999999993</v>
      </c>
      <c r="L1811" s="21">
        <v>600</v>
      </c>
      <c r="M1811" s="21">
        <v>660</v>
      </c>
    </row>
    <row r="1812" spans="1:13" ht="20.100000000000001" customHeight="1" x14ac:dyDescent="0.2">
      <c r="A1812" s="106" t="s">
        <v>2877</v>
      </c>
      <c r="B1812" s="128" t="s">
        <v>437</v>
      </c>
      <c r="C1812" s="61" t="s">
        <v>19</v>
      </c>
      <c r="D1812" s="50">
        <v>1</v>
      </c>
      <c r="E1812" s="51">
        <f t="shared" si="571"/>
        <v>184.80000000000004</v>
      </c>
      <c r="F1812" s="23">
        <f t="shared" si="567"/>
        <v>5.4112554112554102E-3</v>
      </c>
      <c r="G1812" s="65">
        <f t="shared" si="567"/>
        <v>2032.8000000000004</v>
      </c>
      <c r="H1812" s="77">
        <v>0.29515938606847691</v>
      </c>
      <c r="I1812" s="71">
        <f t="shared" si="568"/>
        <v>1.1000000000000001</v>
      </c>
      <c r="J1812" s="23">
        <f t="shared" si="569"/>
        <v>5.4112554112554102E-3</v>
      </c>
      <c r="K1812" s="65">
        <f t="shared" si="570"/>
        <v>2032.8000000000004</v>
      </c>
      <c r="L1812" s="21">
        <v>600</v>
      </c>
      <c r="M1812" s="21">
        <v>660</v>
      </c>
    </row>
    <row r="1813" spans="1:13" ht="20.100000000000001" customHeight="1" x14ac:dyDescent="0.2">
      <c r="A1813" s="106" t="s">
        <v>2878</v>
      </c>
      <c r="B1813" s="128" t="s">
        <v>438</v>
      </c>
      <c r="C1813" s="61" t="s">
        <v>19</v>
      </c>
      <c r="D1813" s="50">
        <v>1</v>
      </c>
      <c r="E1813" s="51">
        <f t="shared" si="571"/>
        <v>138.6</v>
      </c>
      <c r="F1813" s="23">
        <f t="shared" si="567"/>
        <v>7.2150072150072159E-3</v>
      </c>
      <c r="G1813" s="65">
        <f t="shared" si="567"/>
        <v>1524.6</v>
      </c>
      <c r="H1813" s="77">
        <v>0.39354584809130266</v>
      </c>
      <c r="I1813" s="71">
        <f t="shared" si="568"/>
        <v>1.1000000000000001</v>
      </c>
      <c r="J1813" s="23">
        <f t="shared" si="569"/>
        <v>7.2150072150072159E-3</v>
      </c>
      <c r="K1813" s="65">
        <f t="shared" si="570"/>
        <v>1524.6</v>
      </c>
      <c r="L1813" s="21">
        <v>600</v>
      </c>
      <c r="M1813" s="21">
        <v>660</v>
      </c>
    </row>
    <row r="1814" spans="1:13" ht="20.100000000000001" customHeight="1" x14ac:dyDescent="0.2">
      <c r="A1814" s="106" t="s">
        <v>2879</v>
      </c>
      <c r="B1814" s="128" t="s">
        <v>439</v>
      </c>
      <c r="C1814" s="61" t="s">
        <v>19</v>
      </c>
      <c r="D1814" s="50">
        <v>1</v>
      </c>
      <c r="E1814" s="51">
        <f t="shared" si="571"/>
        <v>97.680000000000021</v>
      </c>
      <c r="F1814" s="23">
        <f t="shared" si="567"/>
        <v>1.0237510237510235E-2</v>
      </c>
      <c r="G1814" s="65">
        <f t="shared" si="567"/>
        <v>1074.4800000000002</v>
      </c>
      <c r="H1814" s="77">
        <v>0.55840964931874004</v>
      </c>
      <c r="I1814" s="71">
        <f t="shared" si="568"/>
        <v>1.1000000000000001</v>
      </c>
      <c r="J1814" s="23">
        <f t="shared" si="569"/>
        <v>1.0237510237510235E-2</v>
      </c>
      <c r="K1814" s="65">
        <f t="shared" si="570"/>
        <v>1074.4800000000002</v>
      </c>
      <c r="L1814" s="21">
        <v>600</v>
      </c>
      <c r="M1814" s="21">
        <v>660</v>
      </c>
    </row>
    <row r="1815" spans="1:13" ht="20.100000000000001" customHeight="1" x14ac:dyDescent="0.2">
      <c r="A1815" s="106" t="s">
        <v>2880</v>
      </c>
      <c r="B1815" s="128" t="s">
        <v>440</v>
      </c>
      <c r="C1815" s="61" t="s">
        <v>19</v>
      </c>
      <c r="D1815" s="50">
        <v>1</v>
      </c>
      <c r="E1815" s="51">
        <f t="shared" si="571"/>
        <v>77.88</v>
      </c>
      <c r="F1815" s="23">
        <f t="shared" ref="F1815:G1857" si="572">J1815</f>
        <v>1.2840267077555215E-2</v>
      </c>
      <c r="G1815" s="65">
        <f t="shared" si="572"/>
        <v>856.68</v>
      </c>
      <c r="H1815" s="77">
        <v>0.7003782042302843</v>
      </c>
      <c r="I1815" s="71">
        <f t="shared" ref="I1815:I1874" si="573">M1815/L1815</f>
        <v>1.1000000000000001</v>
      </c>
      <c r="J1815" s="23">
        <f t="shared" ref="J1815:J1874" si="574">11/K1815</f>
        <v>1.2840267077555215E-2</v>
      </c>
      <c r="K1815" s="65">
        <f t="shared" ref="K1815:K1874" si="575">M1815/(H1815*I1815)</f>
        <v>856.68</v>
      </c>
      <c r="L1815" s="21">
        <v>600</v>
      </c>
      <c r="M1815" s="21">
        <v>660</v>
      </c>
    </row>
    <row r="1816" spans="1:13" ht="20.100000000000001" customHeight="1" x14ac:dyDescent="0.2">
      <c r="A1816" s="106" t="s">
        <v>2881</v>
      </c>
      <c r="B1816" s="128" t="s">
        <v>441</v>
      </c>
      <c r="C1816" s="61" t="s">
        <v>19</v>
      </c>
      <c r="D1816" s="50">
        <v>1</v>
      </c>
      <c r="E1816" s="51">
        <f t="shared" si="571"/>
        <v>67.319999999999993</v>
      </c>
      <c r="F1816" s="23">
        <f t="shared" si="572"/>
        <v>1.4854426619132503E-2</v>
      </c>
      <c r="G1816" s="65">
        <f t="shared" si="572"/>
        <v>740.52</v>
      </c>
      <c r="H1816" s="77">
        <v>0.81024145195268182</v>
      </c>
      <c r="I1816" s="71">
        <f t="shared" si="573"/>
        <v>1.1000000000000001</v>
      </c>
      <c r="J1816" s="23">
        <f t="shared" si="574"/>
        <v>1.4854426619132503E-2</v>
      </c>
      <c r="K1816" s="65">
        <f t="shared" si="575"/>
        <v>740.52</v>
      </c>
      <c r="L1816" s="21">
        <v>600</v>
      </c>
      <c r="M1816" s="21">
        <v>660</v>
      </c>
    </row>
    <row r="1817" spans="1:13" ht="20.100000000000001" customHeight="1" x14ac:dyDescent="0.2">
      <c r="A1817" s="106" t="s">
        <v>2882</v>
      </c>
      <c r="B1817" s="128" t="s">
        <v>442</v>
      </c>
      <c r="C1817" s="61" t="s">
        <v>19</v>
      </c>
      <c r="D1817" s="50">
        <v>1</v>
      </c>
      <c r="E1817" s="51">
        <f t="shared" si="571"/>
        <v>60.720000000000006</v>
      </c>
      <c r="F1817" s="23">
        <f t="shared" si="572"/>
        <v>1.646903820816864E-2</v>
      </c>
      <c r="G1817" s="65">
        <f t="shared" si="572"/>
        <v>667.92000000000007</v>
      </c>
      <c r="H1817" s="77">
        <v>0.89831117499101665</v>
      </c>
      <c r="I1817" s="71">
        <f t="shared" si="573"/>
        <v>1.1000000000000001</v>
      </c>
      <c r="J1817" s="23">
        <f t="shared" si="574"/>
        <v>1.646903820816864E-2</v>
      </c>
      <c r="K1817" s="65">
        <f t="shared" si="575"/>
        <v>667.92000000000007</v>
      </c>
      <c r="L1817" s="21">
        <v>600</v>
      </c>
      <c r="M1817" s="21">
        <v>660</v>
      </c>
    </row>
    <row r="1818" spans="1:13" ht="20.100000000000001" customHeight="1" x14ac:dyDescent="0.2">
      <c r="A1818" s="106" t="s">
        <v>2883</v>
      </c>
      <c r="B1818" s="128" t="s">
        <v>443</v>
      </c>
      <c r="C1818" s="61" t="s">
        <v>19</v>
      </c>
      <c r="D1818" s="50">
        <v>1</v>
      </c>
      <c r="E1818" s="51">
        <f t="shared" si="571"/>
        <v>52.800000000000018</v>
      </c>
      <c r="F1818" s="23">
        <f t="shared" si="572"/>
        <v>1.8939393939393933E-2</v>
      </c>
      <c r="G1818" s="65">
        <f t="shared" si="572"/>
        <v>580.80000000000018</v>
      </c>
      <c r="H1818" s="77">
        <v>1.0330578512396691</v>
      </c>
      <c r="I1818" s="71">
        <f t="shared" si="573"/>
        <v>1.1000000000000001</v>
      </c>
      <c r="J1818" s="23">
        <f t="shared" si="574"/>
        <v>1.8939393939393933E-2</v>
      </c>
      <c r="K1818" s="65">
        <f t="shared" si="575"/>
        <v>580.80000000000018</v>
      </c>
      <c r="L1818" s="21">
        <v>600</v>
      </c>
      <c r="M1818" s="21">
        <v>660</v>
      </c>
    </row>
    <row r="1819" spans="1:13" ht="20.100000000000001" customHeight="1" x14ac:dyDescent="0.2">
      <c r="A1819" s="106" t="s">
        <v>2884</v>
      </c>
      <c r="B1819" s="125" t="s">
        <v>452</v>
      </c>
      <c r="C1819" s="61" t="s">
        <v>19</v>
      </c>
      <c r="D1819" s="50">
        <v>1</v>
      </c>
      <c r="E1819" s="51">
        <f t="shared" si="571"/>
        <v>455.4</v>
      </c>
      <c r="F1819" s="23">
        <f t="shared" si="572"/>
        <v>2.1958717610891525E-3</v>
      </c>
      <c r="G1819" s="65">
        <f t="shared" si="572"/>
        <v>5009.3999999999996</v>
      </c>
      <c r="H1819" s="77">
        <v>0.11977482333213557</v>
      </c>
      <c r="I1819" s="71">
        <f t="shared" si="573"/>
        <v>1.1000000000000001</v>
      </c>
      <c r="J1819" s="23">
        <f t="shared" si="574"/>
        <v>2.1958717610891525E-3</v>
      </c>
      <c r="K1819" s="65">
        <f t="shared" si="575"/>
        <v>5009.3999999999996</v>
      </c>
      <c r="L1819" s="21">
        <v>600</v>
      </c>
      <c r="M1819" s="21">
        <v>660</v>
      </c>
    </row>
    <row r="1820" spans="1:13" ht="20.100000000000001" customHeight="1" x14ac:dyDescent="0.2">
      <c r="A1820" s="106" t="s">
        <v>2885</v>
      </c>
      <c r="B1820" s="125" t="s">
        <v>444</v>
      </c>
      <c r="C1820" s="61" t="s">
        <v>19</v>
      </c>
      <c r="D1820" s="50">
        <v>1</v>
      </c>
      <c r="E1820" s="51">
        <f t="shared" si="571"/>
        <v>377.52000000000021</v>
      </c>
      <c r="F1820" s="23">
        <f t="shared" si="572"/>
        <v>2.6488662852299201E-3</v>
      </c>
      <c r="G1820" s="65">
        <f t="shared" si="572"/>
        <v>4152.7200000000021</v>
      </c>
      <c r="H1820" s="77">
        <v>0.14448361555799566</v>
      </c>
      <c r="I1820" s="71">
        <f t="shared" si="573"/>
        <v>1.1000000000000001</v>
      </c>
      <c r="J1820" s="23">
        <f t="shared" si="574"/>
        <v>2.6488662852299201E-3</v>
      </c>
      <c r="K1820" s="65">
        <f t="shared" si="575"/>
        <v>4152.7200000000021</v>
      </c>
      <c r="L1820" s="21">
        <v>600</v>
      </c>
      <c r="M1820" s="21">
        <v>660</v>
      </c>
    </row>
    <row r="1821" spans="1:13" ht="20.100000000000001" customHeight="1" x14ac:dyDescent="0.2">
      <c r="A1821" s="106" t="s">
        <v>2886</v>
      </c>
      <c r="B1821" s="125" t="s">
        <v>445</v>
      </c>
      <c r="C1821" s="61" t="s">
        <v>19</v>
      </c>
      <c r="D1821" s="50">
        <v>1</v>
      </c>
      <c r="E1821" s="51">
        <f t="shared" si="571"/>
        <v>326.04000000000002</v>
      </c>
      <c r="F1821" s="23">
        <f t="shared" si="572"/>
        <v>3.0671083302662248E-3</v>
      </c>
      <c r="G1821" s="65">
        <f t="shared" si="572"/>
        <v>3586.44</v>
      </c>
      <c r="H1821" s="77">
        <v>0.16729681801452134</v>
      </c>
      <c r="I1821" s="71">
        <f t="shared" si="573"/>
        <v>1.1000000000000001</v>
      </c>
      <c r="J1821" s="23">
        <f t="shared" si="574"/>
        <v>3.0671083302662248E-3</v>
      </c>
      <c r="K1821" s="65">
        <f t="shared" si="575"/>
        <v>3586.44</v>
      </c>
      <c r="L1821" s="21">
        <v>600</v>
      </c>
      <c r="M1821" s="21">
        <v>660</v>
      </c>
    </row>
    <row r="1822" spans="1:13" ht="20.100000000000001" customHeight="1" x14ac:dyDescent="0.2">
      <c r="A1822" s="106" t="s">
        <v>2887</v>
      </c>
      <c r="B1822" s="125" t="s">
        <v>446</v>
      </c>
      <c r="C1822" s="61" t="s">
        <v>19</v>
      </c>
      <c r="D1822" s="50">
        <v>1</v>
      </c>
      <c r="E1822" s="51">
        <f t="shared" si="571"/>
        <v>265.32</v>
      </c>
      <c r="F1822" s="23">
        <f t="shared" si="572"/>
        <v>3.7690336197798886E-3</v>
      </c>
      <c r="G1822" s="65">
        <f t="shared" si="572"/>
        <v>2918.52</v>
      </c>
      <c r="H1822" s="77">
        <v>0.20558365198799389</v>
      </c>
      <c r="I1822" s="71">
        <f t="shared" si="573"/>
        <v>1.1000000000000001</v>
      </c>
      <c r="J1822" s="23">
        <f t="shared" si="574"/>
        <v>3.7690336197798886E-3</v>
      </c>
      <c r="K1822" s="65">
        <f t="shared" si="575"/>
        <v>2918.52</v>
      </c>
      <c r="L1822" s="21">
        <v>600</v>
      </c>
      <c r="M1822" s="21">
        <v>660</v>
      </c>
    </row>
    <row r="1823" spans="1:13" ht="20.100000000000001" customHeight="1" x14ac:dyDescent="0.2">
      <c r="A1823" s="106" t="s">
        <v>2888</v>
      </c>
      <c r="B1823" s="125" t="s">
        <v>447</v>
      </c>
      <c r="C1823" s="61" t="s">
        <v>19</v>
      </c>
      <c r="D1823" s="50">
        <v>1</v>
      </c>
      <c r="E1823" s="51">
        <f t="shared" si="571"/>
        <v>244.20000000000007</v>
      </c>
      <c r="F1823" s="23">
        <f t="shared" si="572"/>
        <v>4.0950040950040942E-3</v>
      </c>
      <c r="G1823" s="65">
        <f t="shared" si="572"/>
        <v>2686.2000000000007</v>
      </c>
      <c r="H1823" s="77">
        <v>0.22336385972749603</v>
      </c>
      <c r="I1823" s="71">
        <f t="shared" si="573"/>
        <v>1.1000000000000001</v>
      </c>
      <c r="J1823" s="23">
        <f t="shared" si="574"/>
        <v>4.0950040950040942E-3</v>
      </c>
      <c r="K1823" s="65">
        <f t="shared" si="575"/>
        <v>2686.2000000000007</v>
      </c>
      <c r="L1823" s="21">
        <v>600</v>
      </c>
      <c r="M1823" s="21">
        <v>660</v>
      </c>
    </row>
    <row r="1824" spans="1:13" ht="20.100000000000001" customHeight="1" x14ac:dyDescent="0.2">
      <c r="A1824" s="106" t="s">
        <v>2889</v>
      </c>
      <c r="B1824" s="125" t="s">
        <v>448</v>
      </c>
      <c r="C1824" s="61" t="s">
        <v>19</v>
      </c>
      <c r="D1824" s="50">
        <v>1</v>
      </c>
      <c r="E1824" s="51">
        <f t="shared" si="571"/>
        <v>225.72</v>
      </c>
      <c r="F1824" s="23">
        <f t="shared" si="572"/>
        <v>4.4302675881623252E-3</v>
      </c>
      <c r="G1824" s="65">
        <f t="shared" si="572"/>
        <v>2482.92</v>
      </c>
      <c r="H1824" s="77">
        <v>0.24165095935430861</v>
      </c>
      <c r="I1824" s="71">
        <f t="shared" si="573"/>
        <v>1.1000000000000001</v>
      </c>
      <c r="J1824" s="23">
        <f t="shared" si="574"/>
        <v>4.4302675881623252E-3</v>
      </c>
      <c r="K1824" s="65">
        <f t="shared" si="575"/>
        <v>2482.92</v>
      </c>
      <c r="L1824" s="21">
        <v>600</v>
      </c>
      <c r="M1824" s="21">
        <v>660</v>
      </c>
    </row>
    <row r="1825" spans="1:13" ht="20.100000000000001" customHeight="1" x14ac:dyDescent="0.2">
      <c r="A1825" s="106" t="s">
        <v>2890</v>
      </c>
      <c r="B1825" s="125" t="s">
        <v>449</v>
      </c>
      <c r="C1825" s="61" t="s">
        <v>19</v>
      </c>
      <c r="D1825" s="50">
        <v>1</v>
      </c>
      <c r="E1825" s="51">
        <f t="shared" si="571"/>
        <v>211.20000000000007</v>
      </c>
      <c r="F1825" s="23">
        <f t="shared" si="572"/>
        <v>4.7348484848484832E-3</v>
      </c>
      <c r="G1825" s="65">
        <f t="shared" si="572"/>
        <v>2323.2000000000007</v>
      </c>
      <c r="H1825" s="77">
        <v>0.25826446280991727</v>
      </c>
      <c r="I1825" s="71">
        <f t="shared" si="573"/>
        <v>1.1000000000000001</v>
      </c>
      <c r="J1825" s="23">
        <f t="shared" si="574"/>
        <v>4.7348484848484832E-3</v>
      </c>
      <c r="K1825" s="65">
        <f t="shared" si="575"/>
        <v>2323.2000000000007</v>
      </c>
      <c r="L1825" s="21">
        <v>600</v>
      </c>
      <c r="M1825" s="21">
        <v>660</v>
      </c>
    </row>
    <row r="1826" spans="1:13" ht="20.100000000000001" customHeight="1" x14ac:dyDescent="0.2">
      <c r="A1826" s="106" t="s">
        <v>2891</v>
      </c>
      <c r="B1826" s="125" t="s">
        <v>450</v>
      </c>
      <c r="C1826" s="61" t="s">
        <v>19</v>
      </c>
      <c r="D1826" s="50">
        <v>1</v>
      </c>
      <c r="E1826" s="51">
        <f t="shared" si="571"/>
        <v>203.28</v>
      </c>
      <c r="F1826" s="23">
        <f t="shared" si="572"/>
        <v>4.9193231011412835E-3</v>
      </c>
      <c r="G1826" s="65">
        <f t="shared" si="572"/>
        <v>2236.08</v>
      </c>
      <c r="H1826" s="77">
        <v>0.2683267146077063</v>
      </c>
      <c r="I1826" s="71">
        <f t="shared" si="573"/>
        <v>1.1000000000000001</v>
      </c>
      <c r="J1826" s="23">
        <f t="shared" si="574"/>
        <v>4.9193231011412835E-3</v>
      </c>
      <c r="K1826" s="65">
        <f t="shared" si="575"/>
        <v>2236.08</v>
      </c>
      <c r="L1826" s="21">
        <v>600</v>
      </c>
      <c r="M1826" s="21">
        <v>660</v>
      </c>
    </row>
    <row r="1827" spans="1:13" ht="20.100000000000001" customHeight="1" x14ac:dyDescent="0.2">
      <c r="A1827" s="106" t="s">
        <v>2892</v>
      </c>
      <c r="B1827" s="125" t="s">
        <v>451</v>
      </c>
      <c r="C1827" s="61" t="s">
        <v>19</v>
      </c>
      <c r="D1827" s="50">
        <v>1</v>
      </c>
      <c r="E1827" s="51">
        <f t="shared" si="571"/>
        <v>188.76000000000002</v>
      </c>
      <c r="F1827" s="23">
        <f t="shared" si="572"/>
        <v>5.2977325704598429E-3</v>
      </c>
      <c r="G1827" s="65">
        <f t="shared" si="572"/>
        <v>2076.36</v>
      </c>
      <c r="H1827" s="77">
        <v>0.28896723111599137</v>
      </c>
      <c r="I1827" s="71">
        <f t="shared" si="573"/>
        <v>1.1000000000000001</v>
      </c>
      <c r="J1827" s="23">
        <f t="shared" si="574"/>
        <v>5.2977325704598429E-3</v>
      </c>
      <c r="K1827" s="65">
        <f t="shared" si="575"/>
        <v>2076.36</v>
      </c>
      <c r="L1827" s="21">
        <v>600</v>
      </c>
      <c r="M1827" s="21">
        <v>660</v>
      </c>
    </row>
    <row r="1828" spans="1:13" ht="20.100000000000001" customHeight="1" x14ac:dyDescent="0.2">
      <c r="A1828" s="106" t="s">
        <v>2893</v>
      </c>
      <c r="B1828" s="128" t="s">
        <v>280</v>
      </c>
      <c r="C1828" s="49" t="s">
        <v>132</v>
      </c>
      <c r="D1828" s="50">
        <v>1</v>
      </c>
      <c r="E1828" s="51">
        <f t="shared" si="571"/>
        <v>135.96</v>
      </c>
      <c r="F1828" s="23">
        <f t="shared" si="572"/>
        <v>7.3551044424830826E-3</v>
      </c>
      <c r="G1828" s="65">
        <f t="shared" si="572"/>
        <v>1495.5600000000002</v>
      </c>
      <c r="H1828" s="77">
        <v>0.40118751504453176</v>
      </c>
      <c r="I1828" s="71">
        <f t="shared" si="573"/>
        <v>1.1000000000000001</v>
      </c>
      <c r="J1828" s="23">
        <f t="shared" si="574"/>
        <v>7.3551044424830826E-3</v>
      </c>
      <c r="K1828" s="65">
        <f t="shared" si="575"/>
        <v>1495.5600000000002</v>
      </c>
      <c r="L1828" s="21">
        <v>600</v>
      </c>
      <c r="M1828" s="21">
        <v>660</v>
      </c>
    </row>
    <row r="1829" spans="1:13" ht="20.100000000000001" customHeight="1" x14ac:dyDescent="0.2">
      <c r="A1829" s="106" t="s">
        <v>2894</v>
      </c>
      <c r="B1829" s="128" t="s">
        <v>281</v>
      </c>
      <c r="C1829" s="49" t="s">
        <v>132</v>
      </c>
      <c r="D1829" s="50">
        <v>1</v>
      </c>
      <c r="E1829" s="51">
        <f t="shared" si="571"/>
        <v>68.039999999999978</v>
      </c>
      <c r="F1829" s="23">
        <f t="shared" si="572"/>
        <v>1.4697236919459145E-2</v>
      </c>
      <c r="G1829" s="65">
        <f t="shared" si="572"/>
        <v>748.43999999999983</v>
      </c>
      <c r="H1829" s="77">
        <v>0.80166746833413505</v>
      </c>
      <c r="I1829" s="71">
        <f t="shared" si="573"/>
        <v>1.1000000000000001</v>
      </c>
      <c r="J1829" s="23">
        <f t="shared" si="574"/>
        <v>1.4697236919459145E-2</v>
      </c>
      <c r="K1829" s="65">
        <f t="shared" si="575"/>
        <v>748.43999999999983</v>
      </c>
      <c r="L1829" s="21">
        <v>600</v>
      </c>
      <c r="M1829" s="21">
        <v>660</v>
      </c>
    </row>
    <row r="1830" spans="1:13" ht="20.100000000000001" customHeight="1" x14ac:dyDescent="0.2">
      <c r="A1830" s="106" t="s">
        <v>2895</v>
      </c>
      <c r="B1830" s="128" t="s">
        <v>282</v>
      </c>
      <c r="C1830" s="49" t="s">
        <v>132</v>
      </c>
      <c r="D1830" s="50">
        <v>1</v>
      </c>
      <c r="E1830" s="51">
        <f t="shared" si="571"/>
        <v>54.48</v>
      </c>
      <c r="F1830" s="23">
        <f t="shared" si="572"/>
        <v>1.8355359765051395E-2</v>
      </c>
      <c r="G1830" s="65">
        <f t="shared" si="572"/>
        <v>599.28</v>
      </c>
      <c r="H1830" s="77">
        <v>1.0012014417300761</v>
      </c>
      <c r="I1830" s="71">
        <f t="shared" si="573"/>
        <v>1.1000000000000001</v>
      </c>
      <c r="J1830" s="23">
        <f t="shared" si="574"/>
        <v>1.8355359765051395E-2</v>
      </c>
      <c r="K1830" s="65">
        <f t="shared" si="575"/>
        <v>599.28</v>
      </c>
      <c r="L1830" s="21">
        <v>600</v>
      </c>
      <c r="M1830" s="21">
        <v>660</v>
      </c>
    </row>
    <row r="1831" spans="1:13" ht="18.75" x14ac:dyDescent="0.2">
      <c r="A1831" s="106" t="s">
        <v>2896</v>
      </c>
      <c r="B1831" s="128" t="s">
        <v>283</v>
      </c>
      <c r="C1831" s="49" t="s">
        <v>132</v>
      </c>
      <c r="D1831" s="50">
        <v>1</v>
      </c>
      <c r="E1831" s="51">
        <f t="shared" si="571"/>
        <v>41.519999999999996</v>
      </c>
      <c r="F1831" s="23">
        <f t="shared" si="572"/>
        <v>2.4084778420038536E-2</v>
      </c>
      <c r="G1831" s="65">
        <f t="shared" si="572"/>
        <v>456.71999999999997</v>
      </c>
      <c r="H1831" s="77">
        <v>1.3137151865475565</v>
      </c>
      <c r="I1831" s="71">
        <f t="shared" si="573"/>
        <v>1.1000000000000001</v>
      </c>
      <c r="J1831" s="23">
        <f t="shared" si="574"/>
        <v>2.4084778420038536E-2</v>
      </c>
      <c r="K1831" s="65">
        <f t="shared" si="575"/>
        <v>456.71999999999997</v>
      </c>
      <c r="L1831" s="21">
        <v>600</v>
      </c>
      <c r="M1831" s="21">
        <v>660</v>
      </c>
    </row>
    <row r="1832" spans="1:13" ht="18.75" x14ac:dyDescent="0.2">
      <c r="A1832" s="106" t="s">
        <v>2897</v>
      </c>
      <c r="B1832" s="128" t="s">
        <v>284</v>
      </c>
      <c r="C1832" s="49" t="s">
        <v>132</v>
      </c>
      <c r="D1832" s="50">
        <v>1</v>
      </c>
      <c r="E1832" s="51">
        <f t="shared" si="571"/>
        <v>29.159999999999993</v>
      </c>
      <c r="F1832" s="23">
        <f t="shared" si="572"/>
        <v>3.4293552812071339E-2</v>
      </c>
      <c r="G1832" s="65">
        <f t="shared" si="572"/>
        <v>320.75999999999993</v>
      </c>
      <c r="H1832" s="77">
        <v>1.8705574261129818</v>
      </c>
      <c r="I1832" s="71">
        <f t="shared" si="573"/>
        <v>1.1000000000000001</v>
      </c>
      <c r="J1832" s="23">
        <f t="shared" si="574"/>
        <v>3.4293552812071339E-2</v>
      </c>
      <c r="K1832" s="65">
        <f t="shared" si="575"/>
        <v>320.75999999999993</v>
      </c>
      <c r="L1832" s="21">
        <v>600</v>
      </c>
      <c r="M1832" s="21">
        <v>660</v>
      </c>
    </row>
    <row r="1833" spans="1:13" ht="18.75" x14ac:dyDescent="0.2">
      <c r="A1833" s="106" t="s">
        <v>2898</v>
      </c>
      <c r="B1833" s="128" t="s">
        <v>285</v>
      </c>
      <c r="C1833" s="49" t="s">
        <v>132</v>
      </c>
      <c r="D1833" s="50">
        <v>1</v>
      </c>
      <c r="E1833" s="51">
        <f t="shared" si="571"/>
        <v>28.319999999999997</v>
      </c>
      <c r="F1833" s="23">
        <f t="shared" si="572"/>
        <v>3.5310734463276837E-2</v>
      </c>
      <c r="G1833" s="65">
        <f t="shared" si="572"/>
        <v>311.52</v>
      </c>
      <c r="H1833" s="77">
        <v>1.9260400616332818</v>
      </c>
      <c r="I1833" s="71">
        <f t="shared" si="573"/>
        <v>1.1000000000000001</v>
      </c>
      <c r="J1833" s="23">
        <f t="shared" si="574"/>
        <v>3.5310734463276837E-2</v>
      </c>
      <c r="K1833" s="65">
        <f t="shared" si="575"/>
        <v>311.52</v>
      </c>
      <c r="L1833" s="21">
        <v>600</v>
      </c>
      <c r="M1833" s="21">
        <v>660</v>
      </c>
    </row>
    <row r="1834" spans="1:13" ht="18.75" x14ac:dyDescent="0.2">
      <c r="A1834" s="106" t="s">
        <v>2899</v>
      </c>
      <c r="B1834" s="128" t="s">
        <v>286</v>
      </c>
      <c r="C1834" s="49" t="s">
        <v>132</v>
      </c>
      <c r="D1834" s="50">
        <v>1</v>
      </c>
      <c r="E1834" s="51">
        <f t="shared" si="571"/>
        <v>18.84</v>
      </c>
      <c r="F1834" s="23">
        <f t="shared" si="572"/>
        <v>5.3078556263269641E-2</v>
      </c>
      <c r="G1834" s="65">
        <f t="shared" si="572"/>
        <v>207.23999999999998</v>
      </c>
      <c r="H1834" s="77">
        <v>2.8951939779965259</v>
      </c>
      <c r="I1834" s="71">
        <f t="shared" si="573"/>
        <v>1.1000000000000001</v>
      </c>
      <c r="J1834" s="23">
        <f t="shared" si="574"/>
        <v>5.3078556263269641E-2</v>
      </c>
      <c r="K1834" s="65">
        <f t="shared" si="575"/>
        <v>207.23999999999998</v>
      </c>
      <c r="L1834" s="21">
        <v>600</v>
      </c>
      <c r="M1834" s="21">
        <v>660</v>
      </c>
    </row>
    <row r="1835" spans="1:13" ht="18.75" x14ac:dyDescent="0.2">
      <c r="A1835" s="106" t="s">
        <v>2900</v>
      </c>
      <c r="B1835" s="113" t="s">
        <v>296</v>
      </c>
      <c r="C1835" s="21" t="s">
        <v>1</v>
      </c>
      <c r="D1835" s="50">
        <v>1</v>
      </c>
      <c r="E1835" s="51">
        <f t="shared" si="571"/>
        <v>30.36</v>
      </c>
      <c r="F1835" s="23">
        <f t="shared" si="572"/>
        <v>3.2938076416337288E-2</v>
      </c>
      <c r="G1835" s="65">
        <f t="shared" si="572"/>
        <v>333.96</v>
      </c>
      <c r="H1835" s="77">
        <v>1.7966223499820337</v>
      </c>
      <c r="I1835" s="71">
        <f t="shared" si="573"/>
        <v>1.1000000000000001</v>
      </c>
      <c r="J1835" s="23">
        <f t="shared" si="574"/>
        <v>3.2938076416337288E-2</v>
      </c>
      <c r="K1835" s="65">
        <f t="shared" si="575"/>
        <v>333.96</v>
      </c>
      <c r="L1835" s="21">
        <v>600</v>
      </c>
      <c r="M1835" s="21">
        <v>660</v>
      </c>
    </row>
    <row r="1836" spans="1:13" ht="18.75" x14ac:dyDescent="0.2">
      <c r="A1836" s="106" t="s">
        <v>2901</v>
      </c>
      <c r="B1836" s="113" t="s">
        <v>302</v>
      </c>
      <c r="C1836" s="21" t="s">
        <v>1</v>
      </c>
      <c r="D1836" s="50">
        <v>1</v>
      </c>
      <c r="E1836" s="51">
        <f t="shared" si="571"/>
        <v>21.599999999999998</v>
      </c>
      <c r="F1836" s="23">
        <f t="shared" si="572"/>
        <v>4.6296296296296301E-2</v>
      </c>
      <c r="G1836" s="65">
        <f t="shared" si="572"/>
        <v>237.6</v>
      </c>
      <c r="H1836" s="77">
        <v>2.5252525252525251</v>
      </c>
      <c r="I1836" s="71">
        <f t="shared" si="573"/>
        <v>1.1000000000000001</v>
      </c>
      <c r="J1836" s="23">
        <f t="shared" si="574"/>
        <v>4.6296296296296301E-2</v>
      </c>
      <c r="K1836" s="65">
        <f t="shared" si="575"/>
        <v>237.6</v>
      </c>
      <c r="L1836" s="21">
        <v>600</v>
      </c>
      <c r="M1836" s="21">
        <v>660</v>
      </c>
    </row>
    <row r="1837" spans="1:13" ht="18.75" x14ac:dyDescent="0.2">
      <c r="A1837" s="106" t="s">
        <v>2902</v>
      </c>
      <c r="B1837" s="113" t="s">
        <v>297</v>
      </c>
      <c r="C1837" s="21" t="s">
        <v>1</v>
      </c>
      <c r="D1837" s="50">
        <v>1</v>
      </c>
      <c r="E1837" s="51">
        <f t="shared" ref="E1837:E1874" si="576">G1837/11</f>
        <v>35.04</v>
      </c>
      <c r="F1837" s="23">
        <f t="shared" si="572"/>
        <v>2.853881278538813E-2</v>
      </c>
      <c r="G1837" s="65">
        <f t="shared" si="572"/>
        <v>385.44</v>
      </c>
      <c r="H1837" s="77">
        <v>1.5566625155666249</v>
      </c>
      <c r="I1837" s="71">
        <f t="shared" si="573"/>
        <v>1.1000000000000001</v>
      </c>
      <c r="J1837" s="23">
        <f t="shared" si="574"/>
        <v>2.853881278538813E-2</v>
      </c>
      <c r="K1837" s="65">
        <f t="shared" si="575"/>
        <v>385.44</v>
      </c>
      <c r="L1837" s="21">
        <v>600</v>
      </c>
      <c r="M1837" s="21">
        <v>660</v>
      </c>
    </row>
    <row r="1838" spans="1:13" ht="18.75" x14ac:dyDescent="0.2">
      <c r="A1838" s="106" t="s">
        <v>2903</v>
      </c>
      <c r="B1838" s="113" t="s">
        <v>303</v>
      </c>
      <c r="C1838" s="21" t="s">
        <v>1</v>
      </c>
      <c r="D1838" s="50">
        <v>1</v>
      </c>
      <c r="E1838" s="51">
        <f t="shared" si="576"/>
        <v>24.96</v>
      </c>
      <c r="F1838" s="23">
        <f t="shared" si="572"/>
        <v>4.0064102564102561E-2</v>
      </c>
      <c r="G1838" s="65">
        <f t="shared" si="572"/>
        <v>274.56</v>
      </c>
      <c r="H1838" s="77">
        <v>2.185314685314685</v>
      </c>
      <c r="I1838" s="71">
        <f t="shared" si="573"/>
        <v>1.1000000000000001</v>
      </c>
      <c r="J1838" s="23">
        <f t="shared" si="574"/>
        <v>4.0064102564102561E-2</v>
      </c>
      <c r="K1838" s="65">
        <f t="shared" si="575"/>
        <v>274.56</v>
      </c>
      <c r="L1838" s="21">
        <v>600</v>
      </c>
      <c r="M1838" s="21">
        <v>660</v>
      </c>
    </row>
    <row r="1839" spans="1:13" ht="18.75" x14ac:dyDescent="0.2">
      <c r="A1839" s="106" t="s">
        <v>2904</v>
      </c>
      <c r="B1839" s="113" t="s">
        <v>298</v>
      </c>
      <c r="C1839" s="21" t="s">
        <v>1</v>
      </c>
      <c r="D1839" s="50">
        <v>1</v>
      </c>
      <c r="E1839" s="51">
        <f t="shared" si="576"/>
        <v>36.599999999999994</v>
      </c>
      <c r="F1839" s="23">
        <f t="shared" si="572"/>
        <v>2.7322404371584702E-2</v>
      </c>
      <c r="G1839" s="65">
        <f t="shared" si="572"/>
        <v>402.59999999999997</v>
      </c>
      <c r="H1839" s="77">
        <v>1.4903129657228018</v>
      </c>
      <c r="I1839" s="71">
        <f t="shared" si="573"/>
        <v>1.1000000000000001</v>
      </c>
      <c r="J1839" s="23">
        <f t="shared" si="574"/>
        <v>2.7322404371584702E-2</v>
      </c>
      <c r="K1839" s="65">
        <f t="shared" si="575"/>
        <v>402.59999999999997</v>
      </c>
      <c r="L1839" s="21">
        <v>600</v>
      </c>
      <c r="M1839" s="21">
        <v>660</v>
      </c>
    </row>
    <row r="1840" spans="1:13" ht="18.75" x14ac:dyDescent="0.2">
      <c r="A1840" s="106" t="s">
        <v>2905</v>
      </c>
      <c r="B1840" s="113" t="s">
        <v>304</v>
      </c>
      <c r="C1840" s="21" t="s">
        <v>1</v>
      </c>
      <c r="D1840" s="50">
        <v>1</v>
      </c>
      <c r="E1840" s="51">
        <f t="shared" si="576"/>
        <v>25.56</v>
      </c>
      <c r="F1840" s="23">
        <f t="shared" si="572"/>
        <v>3.912363067292645E-2</v>
      </c>
      <c r="G1840" s="65">
        <f t="shared" si="572"/>
        <v>281.15999999999997</v>
      </c>
      <c r="H1840" s="77">
        <v>2.1340162185232607</v>
      </c>
      <c r="I1840" s="71">
        <f t="shared" si="573"/>
        <v>1.1000000000000001</v>
      </c>
      <c r="J1840" s="23">
        <f t="shared" si="574"/>
        <v>3.912363067292645E-2</v>
      </c>
      <c r="K1840" s="65">
        <f t="shared" si="575"/>
        <v>281.15999999999997</v>
      </c>
      <c r="L1840" s="21">
        <v>600</v>
      </c>
      <c r="M1840" s="21">
        <v>660</v>
      </c>
    </row>
    <row r="1841" spans="1:13" ht="18.75" x14ac:dyDescent="0.2">
      <c r="A1841" s="106" t="s">
        <v>2906</v>
      </c>
      <c r="B1841" s="113" t="s">
        <v>299</v>
      </c>
      <c r="C1841" s="21" t="s">
        <v>1</v>
      </c>
      <c r="D1841" s="50">
        <v>1</v>
      </c>
      <c r="E1841" s="51">
        <f t="shared" si="576"/>
        <v>39.840000000000003</v>
      </c>
      <c r="F1841" s="23">
        <f t="shared" si="572"/>
        <v>2.5100401606425699E-2</v>
      </c>
      <c r="G1841" s="65">
        <f t="shared" si="572"/>
        <v>438.24000000000007</v>
      </c>
      <c r="H1841" s="77">
        <v>1.3691128148959473</v>
      </c>
      <c r="I1841" s="71">
        <f t="shared" si="573"/>
        <v>1.1000000000000001</v>
      </c>
      <c r="J1841" s="23">
        <f t="shared" si="574"/>
        <v>2.5100401606425699E-2</v>
      </c>
      <c r="K1841" s="65">
        <f t="shared" si="575"/>
        <v>438.24000000000007</v>
      </c>
      <c r="L1841" s="21">
        <v>600</v>
      </c>
      <c r="M1841" s="21">
        <v>660</v>
      </c>
    </row>
    <row r="1842" spans="1:13" ht="18.75" x14ac:dyDescent="0.2">
      <c r="A1842" s="106" t="s">
        <v>2907</v>
      </c>
      <c r="B1842" s="113" t="s">
        <v>305</v>
      </c>
      <c r="C1842" s="21" t="s">
        <v>1</v>
      </c>
      <c r="D1842" s="50">
        <v>1</v>
      </c>
      <c r="E1842" s="51">
        <f t="shared" si="576"/>
        <v>28.680000000000003</v>
      </c>
      <c r="F1842" s="23">
        <f t="shared" si="572"/>
        <v>3.4867503486750349E-2</v>
      </c>
      <c r="G1842" s="65">
        <f t="shared" si="572"/>
        <v>315.48</v>
      </c>
      <c r="H1842" s="77">
        <v>1.9018638265500187</v>
      </c>
      <c r="I1842" s="71">
        <f t="shared" si="573"/>
        <v>1.1000000000000001</v>
      </c>
      <c r="J1842" s="23">
        <f t="shared" si="574"/>
        <v>3.4867503486750349E-2</v>
      </c>
      <c r="K1842" s="65">
        <f t="shared" si="575"/>
        <v>315.48</v>
      </c>
      <c r="L1842" s="21">
        <v>600</v>
      </c>
      <c r="M1842" s="21">
        <v>660</v>
      </c>
    </row>
    <row r="1843" spans="1:13" ht="18.75" x14ac:dyDescent="0.2">
      <c r="A1843" s="106" t="s">
        <v>2908</v>
      </c>
      <c r="B1843" s="113" t="s">
        <v>300</v>
      </c>
      <c r="C1843" s="21" t="s">
        <v>1</v>
      </c>
      <c r="D1843" s="50">
        <v>1</v>
      </c>
      <c r="E1843" s="51">
        <f t="shared" si="576"/>
        <v>50.400000000000006</v>
      </c>
      <c r="F1843" s="23">
        <f t="shared" si="572"/>
        <v>1.9841269841269837E-2</v>
      </c>
      <c r="G1843" s="65">
        <f t="shared" si="572"/>
        <v>554.40000000000009</v>
      </c>
      <c r="H1843" s="77">
        <v>1.082251082251082</v>
      </c>
      <c r="I1843" s="71">
        <f t="shared" si="573"/>
        <v>1.1000000000000001</v>
      </c>
      <c r="J1843" s="23">
        <f t="shared" si="574"/>
        <v>1.9841269841269837E-2</v>
      </c>
      <c r="K1843" s="65">
        <f t="shared" si="575"/>
        <v>554.40000000000009</v>
      </c>
      <c r="L1843" s="21">
        <v>600</v>
      </c>
      <c r="M1843" s="21">
        <v>660</v>
      </c>
    </row>
    <row r="1844" spans="1:13" ht="18.75" x14ac:dyDescent="0.2">
      <c r="A1844" s="106" t="s">
        <v>2909</v>
      </c>
      <c r="B1844" s="113" t="s">
        <v>306</v>
      </c>
      <c r="C1844" s="21" t="s">
        <v>1</v>
      </c>
      <c r="D1844" s="50">
        <v>1</v>
      </c>
      <c r="E1844" s="51">
        <f t="shared" si="576"/>
        <v>36</v>
      </c>
      <c r="F1844" s="23">
        <f t="shared" si="572"/>
        <v>2.7777777777777776E-2</v>
      </c>
      <c r="G1844" s="65">
        <f t="shared" si="572"/>
        <v>396</v>
      </c>
      <c r="H1844" s="77">
        <v>1.5151515151515151</v>
      </c>
      <c r="I1844" s="71">
        <f t="shared" si="573"/>
        <v>1.1000000000000001</v>
      </c>
      <c r="J1844" s="23">
        <f t="shared" si="574"/>
        <v>2.7777777777777776E-2</v>
      </c>
      <c r="K1844" s="65">
        <f t="shared" si="575"/>
        <v>396</v>
      </c>
      <c r="L1844" s="21">
        <v>600</v>
      </c>
      <c r="M1844" s="21">
        <v>660</v>
      </c>
    </row>
    <row r="1845" spans="1:13" ht="18.75" x14ac:dyDescent="0.2">
      <c r="A1845" s="106" t="s">
        <v>2910</v>
      </c>
      <c r="B1845" s="113" t="s">
        <v>301</v>
      </c>
      <c r="C1845" s="21" t="s">
        <v>1</v>
      </c>
      <c r="D1845" s="50">
        <v>1</v>
      </c>
      <c r="E1845" s="51">
        <f t="shared" si="576"/>
        <v>56.76</v>
      </c>
      <c r="F1845" s="23">
        <f t="shared" si="572"/>
        <v>1.7618040873854827E-2</v>
      </c>
      <c r="G1845" s="65">
        <f t="shared" si="572"/>
        <v>624.36</v>
      </c>
      <c r="H1845" s="77">
        <v>0.96098404766480872</v>
      </c>
      <c r="I1845" s="71">
        <f t="shared" si="573"/>
        <v>1.1000000000000001</v>
      </c>
      <c r="J1845" s="23">
        <f t="shared" si="574"/>
        <v>1.7618040873854827E-2</v>
      </c>
      <c r="K1845" s="65">
        <f t="shared" si="575"/>
        <v>624.36</v>
      </c>
      <c r="L1845" s="21">
        <v>600</v>
      </c>
      <c r="M1845" s="21">
        <v>660</v>
      </c>
    </row>
    <row r="1846" spans="1:13" ht="18.75" x14ac:dyDescent="0.2">
      <c r="A1846" s="106" t="s">
        <v>2911</v>
      </c>
      <c r="B1846" s="113" t="s">
        <v>307</v>
      </c>
      <c r="C1846" s="21" t="s">
        <v>1</v>
      </c>
      <c r="D1846" s="50">
        <v>1</v>
      </c>
      <c r="E1846" s="51">
        <f t="shared" si="576"/>
        <v>40.559999999999995</v>
      </c>
      <c r="F1846" s="23">
        <f t="shared" si="572"/>
        <v>2.4654832347140044E-2</v>
      </c>
      <c r="G1846" s="65">
        <f t="shared" si="572"/>
        <v>446.15999999999991</v>
      </c>
      <c r="H1846" s="77">
        <v>1.3448090371167296</v>
      </c>
      <c r="I1846" s="71">
        <f t="shared" si="573"/>
        <v>1.1000000000000001</v>
      </c>
      <c r="J1846" s="23">
        <f t="shared" si="574"/>
        <v>2.4654832347140044E-2</v>
      </c>
      <c r="K1846" s="65">
        <f t="shared" si="575"/>
        <v>446.15999999999991</v>
      </c>
      <c r="L1846" s="21">
        <v>600</v>
      </c>
      <c r="M1846" s="21">
        <v>660</v>
      </c>
    </row>
    <row r="1847" spans="1:13" ht="18.75" x14ac:dyDescent="0.2">
      <c r="A1847" s="106" t="s">
        <v>2912</v>
      </c>
      <c r="B1847" s="125" t="s">
        <v>508</v>
      </c>
      <c r="C1847" s="21" t="s">
        <v>1</v>
      </c>
      <c r="D1847" s="50">
        <v>1</v>
      </c>
      <c r="E1847" s="51">
        <f t="shared" si="576"/>
        <v>48.840000000000011</v>
      </c>
      <c r="F1847" s="23">
        <f t="shared" si="572"/>
        <v>2.0475020475020471E-2</v>
      </c>
      <c r="G1847" s="65">
        <f t="shared" si="572"/>
        <v>537.24000000000012</v>
      </c>
      <c r="H1847" s="77">
        <v>1.1168192986374801</v>
      </c>
      <c r="I1847" s="71">
        <f t="shared" si="573"/>
        <v>1.1000000000000001</v>
      </c>
      <c r="J1847" s="23">
        <f t="shared" si="574"/>
        <v>2.0475020475020471E-2</v>
      </c>
      <c r="K1847" s="65">
        <f t="shared" si="575"/>
        <v>537.24000000000012</v>
      </c>
      <c r="L1847" s="21">
        <v>600</v>
      </c>
      <c r="M1847" s="21">
        <v>660</v>
      </c>
    </row>
    <row r="1848" spans="1:13" ht="18.75" x14ac:dyDescent="0.2">
      <c r="A1848" s="106" t="s">
        <v>2913</v>
      </c>
      <c r="B1848" s="143" t="s">
        <v>854</v>
      </c>
      <c r="C1848" s="49" t="s">
        <v>220</v>
      </c>
      <c r="D1848" s="50">
        <v>1</v>
      </c>
      <c r="E1848" s="51">
        <f t="shared" si="576"/>
        <v>40.800000000000004</v>
      </c>
      <c r="F1848" s="23">
        <f t="shared" si="572"/>
        <v>2.4509803921568627E-2</v>
      </c>
      <c r="G1848" s="65">
        <f t="shared" si="572"/>
        <v>448.8</v>
      </c>
      <c r="H1848" s="77">
        <v>1.3368983957219249</v>
      </c>
      <c r="I1848" s="71">
        <f t="shared" si="573"/>
        <v>1.1000000000000001</v>
      </c>
      <c r="J1848" s="23">
        <f t="shared" si="574"/>
        <v>2.4509803921568627E-2</v>
      </c>
      <c r="K1848" s="65">
        <f t="shared" si="575"/>
        <v>448.8</v>
      </c>
      <c r="L1848" s="21">
        <v>600</v>
      </c>
      <c r="M1848" s="21">
        <v>660</v>
      </c>
    </row>
    <row r="1849" spans="1:13" ht="18.75" x14ac:dyDescent="0.2">
      <c r="A1849" s="106" t="s">
        <v>2914</v>
      </c>
      <c r="B1849" s="143" t="s">
        <v>855</v>
      </c>
      <c r="C1849" s="49" t="s">
        <v>220</v>
      </c>
      <c r="D1849" s="50">
        <v>1</v>
      </c>
      <c r="E1849" s="51">
        <f t="shared" si="576"/>
        <v>32.4</v>
      </c>
      <c r="F1849" s="23">
        <f t="shared" si="572"/>
        <v>3.0864197530864199E-2</v>
      </c>
      <c r="G1849" s="65">
        <f t="shared" si="572"/>
        <v>356.4</v>
      </c>
      <c r="H1849" s="77">
        <v>1.6835016835016836</v>
      </c>
      <c r="I1849" s="71">
        <f t="shared" si="573"/>
        <v>1.1000000000000001</v>
      </c>
      <c r="J1849" s="23">
        <f t="shared" si="574"/>
        <v>3.0864197530864199E-2</v>
      </c>
      <c r="K1849" s="65">
        <f t="shared" si="575"/>
        <v>356.4</v>
      </c>
      <c r="L1849" s="21">
        <v>600</v>
      </c>
      <c r="M1849" s="21">
        <v>660</v>
      </c>
    </row>
    <row r="1850" spans="1:13" ht="18.75" x14ac:dyDescent="0.2">
      <c r="A1850" s="106" t="s">
        <v>2915</v>
      </c>
      <c r="B1850" s="143" t="s">
        <v>856</v>
      </c>
      <c r="C1850" s="49" t="s">
        <v>220</v>
      </c>
      <c r="D1850" s="50">
        <v>1</v>
      </c>
      <c r="E1850" s="51">
        <f t="shared" si="576"/>
        <v>31.199999999999992</v>
      </c>
      <c r="F1850" s="23">
        <f t="shared" si="572"/>
        <v>3.2051282051282055E-2</v>
      </c>
      <c r="G1850" s="65">
        <f t="shared" si="572"/>
        <v>343.19999999999993</v>
      </c>
      <c r="H1850" s="77">
        <v>1.7482517482517483</v>
      </c>
      <c r="I1850" s="71">
        <f t="shared" si="573"/>
        <v>1.1000000000000001</v>
      </c>
      <c r="J1850" s="23">
        <f t="shared" si="574"/>
        <v>3.2051282051282055E-2</v>
      </c>
      <c r="K1850" s="65">
        <f t="shared" si="575"/>
        <v>343.19999999999993</v>
      </c>
      <c r="L1850" s="21">
        <v>600</v>
      </c>
      <c r="M1850" s="21">
        <v>660</v>
      </c>
    </row>
    <row r="1851" spans="1:13" ht="18.75" x14ac:dyDescent="0.2">
      <c r="A1851" s="106" t="s">
        <v>2916</v>
      </c>
      <c r="B1851" s="143" t="s">
        <v>857</v>
      </c>
      <c r="C1851" s="49" t="s">
        <v>220</v>
      </c>
      <c r="D1851" s="50">
        <v>1</v>
      </c>
      <c r="E1851" s="51">
        <f t="shared" si="576"/>
        <v>21.599999999999998</v>
      </c>
      <c r="F1851" s="23">
        <f t="shared" si="572"/>
        <v>4.6296296296296301E-2</v>
      </c>
      <c r="G1851" s="65">
        <f t="shared" si="572"/>
        <v>237.6</v>
      </c>
      <c r="H1851" s="77">
        <v>2.5252525252525251</v>
      </c>
      <c r="I1851" s="71">
        <f t="shared" si="573"/>
        <v>1.1000000000000001</v>
      </c>
      <c r="J1851" s="23">
        <f t="shared" si="574"/>
        <v>4.6296296296296301E-2</v>
      </c>
      <c r="K1851" s="65">
        <f t="shared" si="575"/>
        <v>237.6</v>
      </c>
      <c r="L1851" s="21">
        <v>600</v>
      </c>
      <c r="M1851" s="21">
        <v>660</v>
      </c>
    </row>
    <row r="1852" spans="1:13" ht="18.75" x14ac:dyDescent="0.2">
      <c r="A1852" s="106" t="s">
        <v>2917</v>
      </c>
      <c r="B1852" s="143" t="s">
        <v>712</v>
      </c>
      <c r="C1852" s="49" t="s">
        <v>132</v>
      </c>
      <c r="D1852" s="50">
        <v>1</v>
      </c>
      <c r="E1852" s="51">
        <f t="shared" si="576"/>
        <v>11.519999999999998</v>
      </c>
      <c r="F1852" s="23">
        <f t="shared" si="572"/>
        <v>8.6805555555555566E-2</v>
      </c>
      <c r="G1852" s="65">
        <f t="shared" si="572"/>
        <v>126.71999999999998</v>
      </c>
      <c r="H1852" s="77">
        <v>4.7348484848484853</v>
      </c>
      <c r="I1852" s="71">
        <f t="shared" si="573"/>
        <v>1.1000000000000001</v>
      </c>
      <c r="J1852" s="23">
        <f t="shared" si="574"/>
        <v>8.6805555555555566E-2</v>
      </c>
      <c r="K1852" s="65">
        <f t="shared" si="575"/>
        <v>126.71999999999998</v>
      </c>
      <c r="L1852" s="21">
        <v>600</v>
      </c>
      <c r="M1852" s="21">
        <v>660</v>
      </c>
    </row>
    <row r="1853" spans="1:13" ht="18.75" x14ac:dyDescent="0.2">
      <c r="A1853" s="106" t="s">
        <v>2918</v>
      </c>
      <c r="B1853" s="143" t="s">
        <v>713</v>
      </c>
      <c r="C1853" s="49" t="s">
        <v>132</v>
      </c>
      <c r="D1853" s="50">
        <v>1</v>
      </c>
      <c r="E1853" s="51">
        <f t="shared" si="576"/>
        <v>11.28</v>
      </c>
      <c r="F1853" s="23">
        <f t="shared" si="572"/>
        <v>8.8652482269503563E-2</v>
      </c>
      <c r="G1853" s="65">
        <f t="shared" si="572"/>
        <v>124.07999999999998</v>
      </c>
      <c r="H1853" s="77">
        <v>4.8355899419729207</v>
      </c>
      <c r="I1853" s="71">
        <f t="shared" si="573"/>
        <v>1.1000000000000001</v>
      </c>
      <c r="J1853" s="23">
        <f t="shared" si="574"/>
        <v>8.8652482269503563E-2</v>
      </c>
      <c r="K1853" s="65">
        <f t="shared" si="575"/>
        <v>124.07999999999998</v>
      </c>
      <c r="L1853" s="21">
        <v>600</v>
      </c>
      <c r="M1853" s="21">
        <v>660</v>
      </c>
    </row>
    <row r="1854" spans="1:13" ht="18.75" x14ac:dyDescent="0.2">
      <c r="A1854" s="106" t="s">
        <v>2919</v>
      </c>
      <c r="B1854" s="143" t="s">
        <v>714</v>
      </c>
      <c r="C1854" s="49" t="s">
        <v>132</v>
      </c>
      <c r="D1854" s="50">
        <v>1</v>
      </c>
      <c r="E1854" s="51">
        <f t="shared" si="576"/>
        <v>10.32</v>
      </c>
      <c r="F1854" s="23">
        <f t="shared" si="572"/>
        <v>9.6899224806201542E-2</v>
      </c>
      <c r="G1854" s="65">
        <f t="shared" si="572"/>
        <v>113.52000000000001</v>
      </c>
      <c r="H1854" s="77">
        <v>5.2854122621564477</v>
      </c>
      <c r="I1854" s="71">
        <f t="shared" si="573"/>
        <v>1.1000000000000001</v>
      </c>
      <c r="J1854" s="23">
        <f t="shared" si="574"/>
        <v>9.6899224806201542E-2</v>
      </c>
      <c r="K1854" s="65">
        <f t="shared" si="575"/>
        <v>113.52000000000001</v>
      </c>
      <c r="L1854" s="21">
        <v>600</v>
      </c>
      <c r="M1854" s="21">
        <v>660</v>
      </c>
    </row>
    <row r="1855" spans="1:13" ht="18.75" x14ac:dyDescent="0.2">
      <c r="A1855" s="106" t="s">
        <v>2920</v>
      </c>
      <c r="B1855" s="143" t="s">
        <v>317</v>
      </c>
      <c r="C1855" s="49" t="s">
        <v>132</v>
      </c>
      <c r="D1855" s="50">
        <v>1</v>
      </c>
      <c r="E1855" s="51">
        <f t="shared" si="576"/>
        <v>9.24</v>
      </c>
      <c r="F1855" s="23">
        <f t="shared" si="572"/>
        <v>0.10822510822510822</v>
      </c>
      <c r="G1855" s="65">
        <f t="shared" si="572"/>
        <v>101.64</v>
      </c>
      <c r="H1855" s="77">
        <v>5.9031877213695392</v>
      </c>
      <c r="I1855" s="71">
        <f t="shared" si="573"/>
        <v>1.1000000000000001</v>
      </c>
      <c r="J1855" s="23">
        <f t="shared" si="574"/>
        <v>0.10822510822510822</v>
      </c>
      <c r="K1855" s="65">
        <f t="shared" si="575"/>
        <v>101.64</v>
      </c>
      <c r="L1855" s="21">
        <v>600</v>
      </c>
      <c r="M1855" s="21">
        <v>660</v>
      </c>
    </row>
    <row r="1856" spans="1:13" ht="18.75" x14ac:dyDescent="0.2">
      <c r="A1856" s="106" t="s">
        <v>2921</v>
      </c>
      <c r="B1856" s="143" t="s">
        <v>715</v>
      </c>
      <c r="C1856" s="49" t="s">
        <v>132</v>
      </c>
      <c r="D1856" s="50">
        <v>1</v>
      </c>
      <c r="E1856" s="51">
        <f t="shared" si="576"/>
        <v>8.6399999999999988</v>
      </c>
      <c r="F1856" s="23">
        <f t="shared" si="572"/>
        <v>0.11574074074074076</v>
      </c>
      <c r="G1856" s="65">
        <f t="shared" si="572"/>
        <v>95.039999999999992</v>
      </c>
      <c r="H1856" s="77">
        <v>6.3131313131313131</v>
      </c>
      <c r="I1856" s="71">
        <f t="shared" si="573"/>
        <v>1.1000000000000001</v>
      </c>
      <c r="J1856" s="23">
        <f t="shared" si="574"/>
        <v>0.11574074074074076</v>
      </c>
      <c r="K1856" s="65">
        <f t="shared" si="575"/>
        <v>95.039999999999992</v>
      </c>
      <c r="L1856" s="21">
        <v>600</v>
      </c>
      <c r="M1856" s="21">
        <v>660</v>
      </c>
    </row>
    <row r="1857" spans="1:13" ht="18.75" x14ac:dyDescent="0.2">
      <c r="A1857" s="106" t="s">
        <v>2922</v>
      </c>
      <c r="B1857" s="143" t="s">
        <v>716</v>
      </c>
      <c r="C1857" s="49" t="s">
        <v>295</v>
      </c>
      <c r="D1857" s="50">
        <v>1</v>
      </c>
      <c r="E1857" s="51">
        <f t="shared" si="576"/>
        <v>230.39999999999992</v>
      </c>
      <c r="F1857" s="23">
        <f t="shared" si="572"/>
        <v>4.3402777777777788E-3</v>
      </c>
      <c r="G1857" s="65">
        <f t="shared" si="572"/>
        <v>2534.3999999999992</v>
      </c>
      <c r="H1857" s="77">
        <v>0.23674242424242428</v>
      </c>
      <c r="I1857" s="71">
        <f t="shared" si="573"/>
        <v>1.1000000000000001</v>
      </c>
      <c r="J1857" s="23">
        <f t="shared" si="574"/>
        <v>4.3402777777777788E-3</v>
      </c>
      <c r="K1857" s="65">
        <f t="shared" si="575"/>
        <v>2534.3999999999992</v>
      </c>
      <c r="L1857" s="21">
        <v>600</v>
      </c>
      <c r="M1857" s="21">
        <v>660</v>
      </c>
    </row>
    <row r="1858" spans="1:13" ht="18.75" x14ac:dyDescent="0.2">
      <c r="A1858" s="19" t="s">
        <v>342</v>
      </c>
      <c r="B1858" s="45" t="s">
        <v>313</v>
      </c>
      <c r="C1858" s="21" t="s">
        <v>1</v>
      </c>
      <c r="D1858" s="50">
        <v>1</v>
      </c>
      <c r="E1858" s="51">
        <f t="shared" si="576"/>
        <v>55.800000000000004</v>
      </c>
      <c r="F1858" s="23">
        <f t="shared" ref="F1858:G1873" si="577">J1858</f>
        <v>1.7921146953405017E-2</v>
      </c>
      <c r="G1858" s="65">
        <f t="shared" si="577"/>
        <v>613.80000000000007</v>
      </c>
      <c r="H1858" s="77">
        <v>0.95307917888563043</v>
      </c>
      <c r="I1858" s="71">
        <f t="shared" si="573"/>
        <v>1.1282051282051282</v>
      </c>
      <c r="J1858" s="23">
        <f t="shared" si="574"/>
        <v>1.7921146953405017E-2</v>
      </c>
      <c r="K1858" s="65">
        <f t="shared" si="575"/>
        <v>613.80000000000007</v>
      </c>
      <c r="L1858" s="21">
        <v>585</v>
      </c>
      <c r="M1858" s="21">
        <v>660</v>
      </c>
    </row>
    <row r="1859" spans="1:13" ht="18.75" x14ac:dyDescent="0.2">
      <c r="A1859" s="19" t="s">
        <v>343</v>
      </c>
      <c r="B1859" s="45" t="s">
        <v>314</v>
      </c>
      <c r="C1859" s="21" t="s">
        <v>1</v>
      </c>
      <c r="D1859" s="22">
        <v>1</v>
      </c>
      <c r="E1859" s="51">
        <f t="shared" si="576"/>
        <v>47.88</v>
      </c>
      <c r="F1859" s="23">
        <f t="shared" si="577"/>
        <v>2.0885547201336674E-2</v>
      </c>
      <c r="G1859" s="65">
        <f t="shared" si="577"/>
        <v>526.68000000000006</v>
      </c>
      <c r="H1859" s="77">
        <v>1.1107313738892686</v>
      </c>
      <c r="I1859" s="71">
        <f t="shared" si="573"/>
        <v>1.1282051282051282</v>
      </c>
      <c r="J1859" s="23">
        <f t="shared" si="574"/>
        <v>2.0885547201336674E-2</v>
      </c>
      <c r="K1859" s="65">
        <f t="shared" si="575"/>
        <v>526.68000000000006</v>
      </c>
      <c r="L1859" s="21">
        <v>585</v>
      </c>
      <c r="M1859" s="21">
        <v>660</v>
      </c>
    </row>
    <row r="1860" spans="1:13" ht="18.75" x14ac:dyDescent="0.2">
      <c r="A1860" s="19" t="s">
        <v>344</v>
      </c>
      <c r="B1860" s="45" t="s">
        <v>315</v>
      </c>
      <c r="C1860" s="21" t="s">
        <v>1</v>
      </c>
      <c r="D1860" s="50">
        <v>1</v>
      </c>
      <c r="E1860" s="51">
        <f t="shared" si="576"/>
        <v>38.28</v>
      </c>
      <c r="F1860" s="23">
        <f t="shared" si="577"/>
        <v>2.6123301985370953E-2</v>
      </c>
      <c r="G1860" s="65">
        <f t="shared" si="577"/>
        <v>421.08</v>
      </c>
      <c r="H1860" s="77">
        <v>1.3892846964947279</v>
      </c>
      <c r="I1860" s="71">
        <f t="shared" si="573"/>
        <v>1.1282051282051282</v>
      </c>
      <c r="J1860" s="23">
        <f t="shared" si="574"/>
        <v>2.6123301985370953E-2</v>
      </c>
      <c r="K1860" s="65">
        <f t="shared" si="575"/>
        <v>421.08</v>
      </c>
      <c r="L1860" s="21">
        <v>585</v>
      </c>
      <c r="M1860" s="21">
        <v>660</v>
      </c>
    </row>
    <row r="1861" spans="1:13" ht="18.75" x14ac:dyDescent="0.2">
      <c r="A1861" s="19" t="s">
        <v>345</v>
      </c>
      <c r="B1861" s="45" t="s">
        <v>316</v>
      </c>
      <c r="C1861" s="21" t="s">
        <v>1</v>
      </c>
      <c r="D1861" s="22">
        <v>1</v>
      </c>
      <c r="E1861" s="51">
        <f t="shared" si="576"/>
        <v>27.839999999999996</v>
      </c>
      <c r="F1861" s="23">
        <f t="shared" si="577"/>
        <v>3.5919540229885062E-2</v>
      </c>
      <c r="G1861" s="65">
        <f t="shared" si="577"/>
        <v>306.23999999999995</v>
      </c>
      <c r="H1861" s="77">
        <v>1.9102664576802508</v>
      </c>
      <c r="I1861" s="71">
        <f t="shared" si="573"/>
        <v>1.1282051282051282</v>
      </c>
      <c r="J1861" s="23">
        <f t="shared" si="574"/>
        <v>3.5919540229885062E-2</v>
      </c>
      <c r="K1861" s="65">
        <f t="shared" si="575"/>
        <v>306.23999999999995</v>
      </c>
      <c r="L1861" s="21">
        <v>585</v>
      </c>
      <c r="M1861" s="21">
        <v>660</v>
      </c>
    </row>
    <row r="1862" spans="1:13" ht="18.75" x14ac:dyDescent="0.2">
      <c r="A1862" s="24" t="s">
        <v>758</v>
      </c>
      <c r="B1862" s="46" t="s">
        <v>301</v>
      </c>
      <c r="C1862" s="21" t="s">
        <v>1</v>
      </c>
      <c r="D1862" s="50">
        <v>1</v>
      </c>
      <c r="E1862" s="51">
        <f t="shared" si="576"/>
        <v>56.76</v>
      </c>
      <c r="F1862" s="23">
        <f t="shared" si="577"/>
        <v>1.7618040873854827E-2</v>
      </c>
      <c r="G1862" s="65">
        <f t="shared" si="577"/>
        <v>624.36</v>
      </c>
      <c r="H1862" s="77">
        <v>0.96098404766480872</v>
      </c>
      <c r="I1862" s="71">
        <f t="shared" si="573"/>
        <v>1.1000000000000001</v>
      </c>
      <c r="J1862" s="23">
        <f t="shared" si="574"/>
        <v>1.7618040873854827E-2</v>
      </c>
      <c r="K1862" s="65">
        <f t="shared" si="575"/>
        <v>624.36</v>
      </c>
      <c r="L1862" s="21">
        <v>600</v>
      </c>
      <c r="M1862" s="21">
        <v>660</v>
      </c>
    </row>
    <row r="1863" spans="1:13" ht="18.75" x14ac:dyDescent="0.2">
      <c r="A1863" s="24" t="s">
        <v>759</v>
      </c>
      <c r="B1863" s="46" t="s">
        <v>307</v>
      </c>
      <c r="C1863" s="21" t="s">
        <v>1</v>
      </c>
      <c r="D1863" s="50">
        <v>1</v>
      </c>
      <c r="E1863" s="51">
        <f t="shared" si="576"/>
        <v>40.559999999999995</v>
      </c>
      <c r="F1863" s="23">
        <f t="shared" si="577"/>
        <v>2.4654832347140044E-2</v>
      </c>
      <c r="G1863" s="65">
        <f t="shared" si="577"/>
        <v>446.15999999999991</v>
      </c>
      <c r="H1863" s="77">
        <v>1.3448090371167296</v>
      </c>
      <c r="I1863" s="71">
        <f t="shared" si="573"/>
        <v>1.1000000000000001</v>
      </c>
      <c r="J1863" s="23">
        <f t="shared" si="574"/>
        <v>2.4654832347140044E-2</v>
      </c>
      <c r="K1863" s="65">
        <f t="shared" si="575"/>
        <v>446.15999999999991</v>
      </c>
      <c r="L1863" s="21">
        <v>600</v>
      </c>
      <c r="M1863" s="21">
        <v>660</v>
      </c>
    </row>
    <row r="1864" spans="1:13" ht="18.75" x14ac:dyDescent="0.2">
      <c r="A1864" s="24" t="s">
        <v>793</v>
      </c>
      <c r="B1864" s="56" t="s">
        <v>508</v>
      </c>
      <c r="C1864" s="21" t="s">
        <v>1</v>
      </c>
      <c r="D1864" s="50">
        <v>1</v>
      </c>
      <c r="E1864" s="51">
        <f t="shared" si="576"/>
        <v>48.840000000000011</v>
      </c>
      <c r="F1864" s="23">
        <f t="shared" si="577"/>
        <v>2.0475020475020471E-2</v>
      </c>
      <c r="G1864" s="65">
        <f t="shared" si="577"/>
        <v>537.24000000000012</v>
      </c>
      <c r="H1864" s="77">
        <v>1.1168192986374801</v>
      </c>
      <c r="I1864" s="71">
        <f t="shared" si="573"/>
        <v>1.1000000000000001</v>
      </c>
      <c r="J1864" s="23">
        <f t="shared" si="574"/>
        <v>2.0475020475020471E-2</v>
      </c>
      <c r="K1864" s="65">
        <f t="shared" si="575"/>
        <v>537.24000000000012</v>
      </c>
      <c r="L1864" s="21">
        <v>600</v>
      </c>
      <c r="M1864" s="21">
        <v>660</v>
      </c>
    </row>
    <row r="1865" spans="1:13" ht="18.75" x14ac:dyDescent="0.2">
      <c r="A1865" s="24" t="s">
        <v>858</v>
      </c>
      <c r="B1865" s="48" t="s">
        <v>854</v>
      </c>
      <c r="C1865" s="49" t="s">
        <v>220</v>
      </c>
      <c r="D1865" s="50">
        <v>1</v>
      </c>
      <c r="E1865" s="51">
        <f t="shared" si="576"/>
        <v>40.800000000000004</v>
      </c>
      <c r="F1865" s="23">
        <f t="shared" si="577"/>
        <v>2.4509803921568627E-2</v>
      </c>
      <c r="G1865" s="65">
        <f t="shared" si="577"/>
        <v>448.8</v>
      </c>
      <c r="H1865" s="77">
        <v>1.3368983957219249</v>
      </c>
      <c r="I1865" s="71">
        <f t="shared" si="573"/>
        <v>1.1000000000000001</v>
      </c>
      <c r="J1865" s="23">
        <f t="shared" si="574"/>
        <v>2.4509803921568627E-2</v>
      </c>
      <c r="K1865" s="65">
        <f t="shared" si="575"/>
        <v>448.8</v>
      </c>
      <c r="L1865" s="21">
        <v>600</v>
      </c>
      <c r="M1865" s="21">
        <v>660</v>
      </c>
    </row>
    <row r="1866" spans="1:13" ht="18.75" x14ac:dyDescent="0.2">
      <c r="A1866" s="24" t="s">
        <v>859</v>
      </c>
      <c r="B1866" s="48" t="s">
        <v>855</v>
      </c>
      <c r="C1866" s="49" t="s">
        <v>220</v>
      </c>
      <c r="D1866" s="50">
        <v>1</v>
      </c>
      <c r="E1866" s="51">
        <f t="shared" si="576"/>
        <v>32.4</v>
      </c>
      <c r="F1866" s="23">
        <f t="shared" si="577"/>
        <v>3.0864197530864199E-2</v>
      </c>
      <c r="G1866" s="65">
        <f t="shared" si="577"/>
        <v>356.4</v>
      </c>
      <c r="H1866" s="77">
        <v>1.6835016835016836</v>
      </c>
      <c r="I1866" s="71">
        <f t="shared" si="573"/>
        <v>1.1000000000000001</v>
      </c>
      <c r="J1866" s="23">
        <f t="shared" si="574"/>
        <v>3.0864197530864199E-2</v>
      </c>
      <c r="K1866" s="65">
        <f t="shared" si="575"/>
        <v>356.4</v>
      </c>
      <c r="L1866" s="21">
        <v>600</v>
      </c>
      <c r="M1866" s="21">
        <v>660</v>
      </c>
    </row>
    <row r="1867" spans="1:13" ht="18.75" x14ac:dyDescent="0.2">
      <c r="A1867" s="24" t="s">
        <v>860</v>
      </c>
      <c r="B1867" s="48" t="s">
        <v>856</v>
      </c>
      <c r="C1867" s="49" t="s">
        <v>220</v>
      </c>
      <c r="D1867" s="50">
        <v>1</v>
      </c>
      <c r="E1867" s="51">
        <f t="shared" si="576"/>
        <v>31.199999999999992</v>
      </c>
      <c r="F1867" s="23">
        <f t="shared" si="577"/>
        <v>3.2051282051282055E-2</v>
      </c>
      <c r="G1867" s="65">
        <f t="shared" si="577"/>
        <v>343.19999999999993</v>
      </c>
      <c r="H1867" s="77">
        <v>1.7482517482517483</v>
      </c>
      <c r="I1867" s="71">
        <f t="shared" si="573"/>
        <v>1.1000000000000001</v>
      </c>
      <c r="J1867" s="23">
        <f t="shared" si="574"/>
        <v>3.2051282051282055E-2</v>
      </c>
      <c r="K1867" s="65">
        <f t="shared" si="575"/>
        <v>343.19999999999993</v>
      </c>
      <c r="L1867" s="21">
        <v>600</v>
      </c>
      <c r="M1867" s="21">
        <v>660</v>
      </c>
    </row>
    <row r="1868" spans="1:13" ht="18.75" x14ac:dyDescent="0.2">
      <c r="A1868" s="24" t="s">
        <v>861</v>
      </c>
      <c r="B1868" s="48" t="s">
        <v>857</v>
      </c>
      <c r="C1868" s="49" t="s">
        <v>220</v>
      </c>
      <c r="D1868" s="50">
        <v>1</v>
      </c>
      <c r="E1868" s="51">
        <f t="shared" si="576"/>
        <v>21.599999999999998</v>
      </c>
      <c r="F1868" s="23">
        <f t="shared" si="577"/>
        <v>4.6296296296296301E-2</v>
      </c>
      <c r="G1868" s="65">
        <f t="shared" si="577"/>
        <v>237.6</v>
      </c>
      <c r="H1868" s="77">
        <v>2.5252525252525251</v>
      </c>
      <c r="I1868" s="71">
        <f t="shared" si="573"/>
        <v>1.1000000000000001</v>
      </c>
      <c r="J1868" s="23">
        <f t="shared" si="574"/>
        <v>4.6296296296296301E-2</v>
      </c>
      <c r="K1868" s="65">
        <f t="shared" si="575"/>
        <v>237.6</v>
      </c>
      <c r="L1868" s="21">
        <v>600</v>
      </c>
      <c r="M1868" s="21">
        <v>660</v>
      </c>
    </row>
    <row r="1869" spans="1:13" ht="18.75" x14ac:dyDescent="0.2">
      <c r="A1869" s="24" t="s">
        <v>862</v>
      </c>
      <c r="B1869" s="48" t="s">
        <v>712</v>
      </c>
      <c r="C1869" s="49" t="s">
        <v>132</v>
      </c>
      <c r="D1869" s="50">
        <v>1</v>
      </c>
      <c r="E1869" s="51">
        <f t="shared" si="576"/>
        <v>11.519999999999998</v>
      </c>
      <c r="F1869" s="23">
        <f t="shared" si="577"/>
        <v>8.6805555555555566E-2</v>
      </c>
      <c r="G1869" s="65">
        <f t="shared" si="577"/>
        <v>126.71999999999998</v>
      </c>
      <c r="H1869" s="77">
        <v>4.7348484848484853</v>
      </c>
      <c r="I1869" s="71">
        <f t="shared" si="573"/>
        <v>1.1000000000000001</v>
      </c>
      <c r="J1869" s="23">
        <f t="shared" si="574"/>
        <v>8.6805555555555566E-2</v>
      </c>
      <c r="K1869" s="65">
        <f t="shared" si="575"/>
        <v>126.71999999999998</v>
      </c>
      <c r="L1869" s="21">
        <v>600</v>
      </c>
      <c r="M1869" s="21">
        <v>660</v>
      </c>
    </row>
    <row r="1870" spans="1:13" ht="18.75" x14ac:dyDescent="0.2">
      <c r="A1870" s="24" t="s">
        <v>863</v>
      </c>
      <c r="B1870" s="48" t="s">
        <v>713</v>
      </c>
      <c r="C1870" s="49" t="s">
        <v>132</v>
      </c>
      <c r="D1870" s="50">
        <v>1</v>
      </c>
      <c r="E1870" s="51">
        <f t="shared" si="576"/>
        <v>11.28</v>
      </c>
      <c r="F1870" s="23">
        <f t="shared" si="577"/>
        <v>8.8652482269503563E-2</v>
      </c>
      <c r="G1870" s="65">
        <f t="shared" si="577"/>
        <v>124.07999999999998</v>
      </c>
      <c r="H1870" s="77">
        <v>4.8355899419729207</v>
      </c>
      <c r="I1870" s="71">
        <f t="shared" si="573"/>
        <v>1.1000000000000001</v>
      </c>
      <c r="J1870" s="23">
        <f t="shared" si="574"/>
        <v>8.8652482269503563E-2</v>
      </c>
      <c r="K1870" s="65">
        <f t="shared" si="575"/>
        <v>124.07999999999998</v>
      </c>
      <c r="L1870" s="21">
        <v>600</v>
      </c>
      <c r="M1870" s="21">
        <v>660</v>
      </c>
    </row>
    <row r="1871" spans="1:13" ht="18.75" x14ac:dyDescent="0.2">
      <c r="A1871" s="24" t="s">
        <v>864</v>
      </c>
      <c r="B1871" s="48" t="s">
        <v>714</v>
      </c>
      <c r="C1871" s="49" t="s">
        <v>132</v>
      </c>
      <c r="D1871" s="50">
        <v>1</v>
      </c>
      <c r="E1871" s="51">
        <f t="shared" si="576"/>
        <v>10.32</v>
      </c>
      <c r="F1871" s="23">
        <f t="shared" si="577"/>
        <v>9.6899224806201542E-2</v>
      </c>
      <c r="G1871" s="65">
        <f t="shared" si="577"/>
        <v>113.52000000000001</v>
      </c>
      <c r="H1871" s="77">
        <v>5.2854122621564477</v>
      </c>
      <c r="I1871" s="71">
        <f t="shared" si="573"/>
        <v>1.1000000000000001</v>
      </c>
      <c r="J1871" s="23">
        <f t="shared" si="574"/>
        <v>9.6899224806201542E-2</v>
      </c>
      <c r="K1871" s="65">
        <f t="shared" si="575"/>
        <v>113.52000000000001</v>
      </c>
      <c r="L1871" s="21">
        <v>600</v>
      </c>
      <c r="M1871" s="21">
        <v>660</v>
      </c>
    </row>
    <row r="1872" spans="1:13" ht="18.75" x14ac:dyDescent="0.2">
      <c r="A1872" s="24" t="s">
        <v>865</v>
      </c>
      <c r="B1872" s="48" t="s">
        <v>317</v>
      </c>
      <c r="C1872" s="49" t="s">
        <v>132</v>
      </c>
      <c r="D1872" s="50">
        <v>1</v>
      </c>
      <c r="E1872" s="51">
        <f t="shared" si="576"/>
        <v>9.24</v>
      </c>
      <c r="F1872" s="23">
        <f t="shared" si="577"/>
        <v>0.10822510822510822</v>
      </c>
      <c r="G1872" s="65">
        <f t="shared" si="577"/>
        <v>101.64</v>
      </c>
      <c r="H1872" s="77">
        <v>5.9031877213695392</v>
      </c>
      <c r="I1872" s="71">
        <f t="shared" si="573"/>
        <v>1.1000000000000001</v>
      </c>
      <c r="J1872" s="23">
        <f t="shared" si="574"/>
        <v>0.10822510822510822</v>
      </c>
      <c r="K1872" s="65">
        <f t="shared" si="575"/>
        <v>101.64</v>
      </c>
      <c r="L1872" s="21">
        <v>600</v>
      </c>
      <c r="M1872" s="21">
        <v>660</v>
      </c>
    </row>
    <row r="1873" spans="1:13" ht="18.75" x14ac:dyDescent="0.2">
      <c r="A1873" s="24" t="s">
        <v>866</v>
      </c>
      <c r="B1873" s="48" t="s">
        <v>715</v>
      </c>
      <c r="C1873" s="49" t="s">
        <v>132</v>
      </c>
      <c r="D1873" s="50">
        <v>1</v>
      </c>
      <c r="E1873" s="51">
        <f t="shared" si="576"/>
        <v>8.6399999999999988</v>
      </c>
      <c r="F1873" s="23">
        <f t="shared" si="577"/>
        <v>0.11574074074074076</v>
      </c>
      <c r="G1873" s="65">
        <f t="shared" si="577"/>
        <v>95.039999999999992</v>
      </c>
      <c r="H1873" s="77">
        <v>6.3131313131313131</v>
      </c>
      <c r="I1873" s="71">
        <f t="shared" si="573"/>
        <v>1.1000000000000001</v>
      </c>
      <c r="J1873" s="23">
        <f t="shared" si="574"/>
        <v>0.11574074074074076</v>
      </c>
      <c r="K1873" s="65">
        <f t="shared" si="575"/>
        <v>95.039999999999992</v>
      </c>
      <c r="L1873" s="21">
        <v>600</v>
      </c>
      <c r="M1873" s="21">
        <v>660</v>
      </c>
    </row>
    <row r="1874" spans="1:13" ht="18.75" x14ac:dyDescent="0.2">
      <c r="A1874" s="24" t="s">
        <v>867</v>
      </c>
      <c r="B1874" s="48" t="s">
        <v>716</v>
      </c>
      <c r="C1874" s="49" t="s">
        <v>295</v>
      </c>
      <c r="D1874" s="50">
        <v>1</v>
      </c>
      <c r="E1874" s="51">
        <f t="shared" si="576"/>
        <v>230.39999999999992</v>
      </c>
      <c r="F1874" s="23">
        <f t="shared" ref="F1874:G1874" si="578">J1874</f>
        <v>4.3402777777777788E-3</v>
      </c>
      <c r="G1874" s="65">
        <f t="shared" si="578"/>
        <v>2534.3999999999992</v>
      </c>
      <c r="H1874" s="77">
        <v>0.23674242424242428</v>
      </c>
      <c r="I1874" s="71">
        <f t="shared" si="573"/>
        <v>1.1000000000000001</v>
      </c>
      <c r="J1874" s="23">
        <f t="shared" si="574"/>
        <v>4.3402777777777788E-3</v>
      </c>
      <c r="K1874" s="65">
        <f t="shared" si="575"/>
        <v>2534.3999999999992</v>
      </c>
      <c r="L1874" s="21">
        <v>600</v>
      </c>
      <c r="M1874" s="21">
        <v>660</v>
      </c>
    </row>
    <row r="1875" spans="1:13" ht="18.75" x14ac:dyDescent="0.2">
      <c r="A1875" s="64"/>
      <c r="B1875" s="47" t="s">
        <v>350</v>
      </c>
      <c r="C1875" s="38"/>
      <c r="D1875" s="38"/>
      <c r="E1875" s="38"/>
      <c r="F1875" s="38"/>
      <c r="G1875" s="38"/>
      <c r="H1875" s="38"/>
      <c r="I1875" s="63"/>
      <c r="J1875" s="63"/>
      <c r="K1875" s="63"/>
      <c r="L1875" s="63"/>
      <c r="M1875" s="63"/>
    </row>
    <row r="1876" spans="1:13" ht="18.75" x14ac:dyDescent="0.2">
      <c r="A1876" s="19" t="s">
        <v>337</v>
      </c>
      <c r="B1876" s="45" t="s">
        <v>308</v>
      </c>
      <c r="C1876" s="21" t="s">
        <v>1</v>
      </c>
      <c r="D1876" s="22">
        <v>1</v>
      </c>
      <c r="E1876" s="51">
        <f t="shared" ref="E1876:E1884" si="579">G1876/11</f>
        <v>103.68</v>
      </c>
      <c r="F1876" s="23">
        <f t="shared" ref="F1876:G1884" si="580">J1876</f>
        <v>9.6450617283950612E-3</v>
      </c>
      <c r="G1876" s="65">
        <f t="shared" si="580"/>
        <v>1140.48</v>
      </c>
      <c r="H1876" s="77">
        <v>0.51294191919191923</v>
      </c>
      <c r="I1876" s="71">
        <f t="shared" ref="I1876:I1884" si="581">M1876/L1876</f>
        <v>1.1282051282051282</v>
      </c>
      <c r="J1876" s="23">
        <f t="shared" ref="J1876:J1884" si="582">11/K1876</f>
        <v>9.6450617283950612E-3</v>
      </c>
      <c r="K1876" s="65">
        <f t="shared" ref="K1876:K1884" si="583">M1876/(H1876*I1876)</f>
        <v>1140.48</v>
      </c>
      <c r="L1876" s="21">
        <v>585</v>
      </c>
      <c r="M1876" s="21">
        <v>660</v>
      </c>
    </row>
    <row r="1877" spans="1:13" ht="18.75" x14ac:dyDescent="0.2">
      <c r="A1877" s="19" t="s">
        <v>338</v>
      </c>
      <c r="B1877" s="45" t="s">
        <v>309</v>
      </c>
      <c r="C1877" s="21" t="s">
        <v>1</v>
      </c>
      <c r="D1877" s="50">
        <v>1</v>
      </c>
      <c r="E1877" s="51">
        <f t="shared" si="579"/>
        <v>111.60000000000001</v>
      </c>
      <c r="F1877" s="23">
        <f t="shared" si="580"/>
        <v>8.9605734767025085E-3</v>
      </c>
      <c r="G1877" s="65">
        <f t="shared" si="580"/>
        <v>1227.6000000000001</v>
      </c>
      <c r="H1877" s="77">
        <v>0.47653958944281521</v>
      </c>
      <c r="I1877" s="71">
        <f t="shared" si="581"/>
        <v>1.1282051282051282</v>
      </c>
      <c r="J1877" s="23">
        <f t="shared" si="582"/>
        <v>8.9605734767025085E-3</v>
      </c>
      <c r="K1877" s="65">
        <f t="shared" si="583"/>
        <v>1227.6000000000001</v>
      </c>
      <c r="L1877" s="21">
        <v>585</v>
      </c>
      <c r="M1877" s="21">
        <v>660</v>
      </c>
    </row>
    <row r="1878" spans="1:13" ht="18.75" x14ac:dyDescent="0.2">
      <c r="A1878" s="19" t="s">
        <v>339</v>
      </c>
      <c r="B1878" s="45" t="s">
        <v>310</v>
      </c>
      <c r="C1878" s="21" t="s">
        <v>1</v>
      </c>
      <c r="D1878" s="22">
        <v>1</v>
      </c>
      <c r="E1878" s="51">
        <f t="shared" si="579"/>
        <v>106.80000000000001</v>
      </c>
      <c r="F1878" s="23">
        <f t="shared" si="580"/>
        <v>9.3632958801498113E-3</v>
      </c>
      <c r="G1878" s="65">
        <f t="shared" si="580"/>
        <v>1174.8000000000002</v>
      </c>
      <c r="H1878" s="77">
        <v>0.49795709908069458</v>
      </c>
      <c r="I1878" s="71">
        <f t="shared" si="581"/>
        <v>1.1282051282051282</v>
      </c>
      <c r="J1878" s="23">
        <f t="shared" si="582"/>
        <v>9.3632958801498113E-3</v>
      </c>
      <c r="K1878" s="65">
        <f t="shared" si="583"/>
        <v>1174.8000000000002</v>
      </c>
      <c r="L1878" s="21">
        <v>585</v>
      </c>
      <c r="M1878" s="21">
        <v>660</v>
      </c>
    </row>
    <row r="1879" spans="1:13" ht="18.75" x14ac:dyDescent="0.2">
      <c r="A1879" s="19" t="s">
        <v>340</v>
      </c>
      <c r="B1879" s="45" t="s">
        <v>311</v>
      </c>
      <c r="C1879" s="21" t="s">
        <v>1</v>
      </c>
      <c r="D1879" s="50">
        <v>1</v>
      </c>
      <c r="E1879" s="51">
        <f t="shared" si="579"/>
        <v>84.48</v>
      </c>
      <c r="F1879" s="23">
        <f t="shared" si="580"/>
        <v>1.1837121212121212E-2</v>
      </c>
      <c r="G1879" s="65">
        <f t="shared" si="580"/>
        <v>929.28</v>
      </c>
      <c r="H1879" s="77">
        <v>0.6295196280991735</v>
      </c>
      <c r="I1879" s="71">
        <f t="shared" si="581"/>
        <v>1.1282051282051282</v>
      </c>
      <c r="J1879" s="23">
        <f t="shared" si="582"/>
        <v>1.1837121212121212E-2</v>
      </c>
      <c r="K1879" s="65">
        <f t="shared" si="583"/>
        <v>929.28</v>
      </c>
      <c r="L1879" s="21">
        <v>585</v>
      </c>
      <c r="M1879" s="21">
        <v>660</v>
      </c>
    </row>
    <row r="1880" spans="1:13" ht="18.75" x14ac:dyDescent="0.2">
      <c r="A1880" s="19" t="s">
        <v>341</v>
      </c>
      <c r="B1880" s="45" t="s">
        <v>312</v>
      </c>
      <c r="C1880" s="21" t="s">
        <v>1</v>
      </c>
      <c r="D1880" s="22">
        <v>1</v>
      </c>
      <c r="E1880" s="51">
        <f t="shared" si="579"/>
        <v>66.960000000000008</v>
      </c>
      <c r="F1880" s="23">
        <f t="shared" si="580"/>
        <v>1.4934289127837513E-2</v>
      </c>
      <c r="G1880" s="65">
        <f t="shared" si="580"/>
        <v>736.56000000000006</v>
      </c>
      <c r="H1880" s="77">
        <v>0.79423264907135871</v>
      </c>
      <c r="I1880" s="71">
        <f t="shared" si="581"/>
        <v>1.1282051282051282</v>
      </c>
      <c r="J1880" s="23">
        <f t="shared" si="582"/>
        <v>1.4934289127837513E-2</v>
      </c>
      <c r="K1880" s="65">
        <f t="shared" si="583"/>
        <v>736.56000000000006</v>
      </c>
      <c r="L1880" s="21">
        <v>585</v>
      </c>
      <c r="M1880" s="21">
        <v>660</v>
      </c>
    </row>
    <row r="1881" spans="1:13" ht="18.75" x14ac:dyDescent="0.2">
      <c r="A1881" s="19" t="s">
        <v>342</v>
      </c>
      <c r="B1881" s="45" t="s">
        <v>313</v>
      </c>
      <c r="C1881" s="21" t="s">
        <v>1</v>
      </c>
      <c r="D1881" s="50">
        <v>1</v>
      </c>
      <c r="E1881" s="51">
        <f t="shared" si="579"/>
        <v>55.800000000000004</v>
      </c>
      <c r="F1881" s="23">
        <f t="shared" si="580"/>
        <v>1.7921146953405017E-2</v>
      </c>
      <c r="G1881" s="65">
        <f t="shared" si="580"/>
        <v>613.80000000000007</v>
      </c>
      <c r="H1881" s="77">
        <v>0.95307917888563043</v>
      </c>
      <c r="I1881" s="71">
        <f t="shared" si="581"/>
        <v>1.1282051282051282</v>
      </c>
      <c r="J1881" s="23">
        <f t="shared" si="582"/>
        <v>1.7921146953405017E-2</v>
      </c>
      <c r="K1881" s="65">
        <f t="shared" si="583"/>
        <v>613.80000000000007</v>
      </c>
      <c r="L1881" s="21">
        <v>585</v>
      </c>
      <c r="M1881" s="21">
        <v>660</v>
      </c>
    </row>
    <row r="1882" spans="1:13" ht="18.75" x14ac:dyDescent="0.2">
      <c r="A1882" s="19" t="s">
        <v>343</v>
      </c>
      <c r="B1882" s="45" t="s">
        <v>314</v>
      </c>
      <c r="C1882" s="21" t="s">
        <v>1</v>
      </c>
      <c r="D1882" s="22">
        <v>1</v>
      </c>
      <c r="E1882" s="51">
        <f t="shared" si="579"/>
        <v>47.88</v>
      </c>
      <c r="F1882" s="23">
        <f t="shared" si="580"/>
        <v>2.0885547201336674E-2</v>
      </c>
      <c r="G1882" s="65">
        <f t="shared" si="580"/>
        <v>526.68000000000006</v>
      </c>
      <c r="H1882" s="77">
        <v>1.1107313738892686</v>
      </c>
      <c r="I1882" s="71">
        <f t="shared" si="581"/>
        <v>1.1282051282051282</v>
      </c>
      <c r="J1882" s="23">
        <f t="shared" si="582"/>
        <v>2.0885547201336674E-2</v>
      </c>
      <c r="K1882" s="65">
        <f t="shared" si="583"/>
        <v>526.68000000000006</v>
      </c>
      <c r="L1882" s="21">
        <v>585</v>
      </c>
      <c r="M1882" s="21">
        <v>660</v>
      </c>
    </row>
    <row r="1883" spans="1:13" ht="18.75" x14ac:dyDescent="0.2">
      <c r="A1883" s="19" t="s">
        <v>344</v>
      </c>
      <c r="B1883" s="45" t="s">
        <v>315</v>
      </c>
      <c r="C1883" s="21" t="s">
        <v>1</v>
      </c>
      <c r="D1883" s="50">
        <v>1</v>
      </c>
      <c r="E1883" s="51">
        <f t="shared" si="579"/>
        <v>38.28</v>
      </c>
      <c r="F1883" s="23">
        <f t="shared" si="580"/>
        <v>2.6123301985370953E-2</v>
      </c>
      <c r="G1883" s="65">
        <f t="shared" si="580"/>
        <v>421.08</v>
      </c>
      <c r="H1883" s="77">
        <v>1.3892846964947279</v>
      </c>
      <c r="I1883" s="71">
        <f t="shared" si="581"/>
        <v>1.1282051282051282</v>
      </c>
      <c r="J1883" s="23">
        <f t="shared" si="582"/>
        <v>2.6123301985370953E-2</v>
      </c>
      <c r="K1883" s="65">
        <f t="shared" si="583"/>
        <v>421.08</v>
      </c>
      <c r="L1883" s="21">
        <v>585</v>
      </c>
      <c r="M1883" s="21">
        <v>660</v>
      </c>
    </row>
    <row r="1884" spans="1:13" ht="18.75" x14ac:dyDescent="0.2">
      <c r="A1884" s="19" t="s">
        <v>345</v>
      </c>
      <c r="B1884" s="45" t="s">
        <v>316</v>
      </c>
      <c r="C1884" s="21" t="s">
        <v>1</v>
      </c>
      <c r="D1884" s="22">
        <v>1</v>
      </c>
      <c r="E1884" s="51">
        <f t="shared" si="579"/>
        <v>27.839999999999996</v>
      </c>
      <c r="F1884" s="23">
        <f t="shared" si="580"/>
        <v>3.5919540229885062E-2</v>
      </c>
      <c r="G1884" s="65">
        <f t="shared" si="580"/>
        <v>306.23999999999995</v>
      </c>
      <c r="H1884" s="77">
        <v>1.9102664576802508</v>
      </c>
      <c r="I1884" s="71">
        <f t="shared" si="581"/>
        <v>1.1282051282051282</v>
      </c>
      <c r="J1884" s="23">
        <f t="shared" si="582"/>
        <v>3.5919540229885062E-2</v>
      </c>
      <c r="K1884" s="65">
        <f t="shared" si="583"/>
        <v>306.23999999999995</v>
      </c>
      <c r="L1884" s="21">
        <v>585</v>
      </c>
      <c r="M1884" s="21">
        <v>660</v>
      </c>
    </row>
    <row r="1885" spans="1:13" ht="22.5" x14ac:dyDescent="0.2">
      <c r="A1885" s="106"/>
      <c r="B1885" s="112" t="s">
        <v>503</v>
      </c>
      <c r="C1885" s="34"/>
      <c r="D1885" s="34"/>
      <c r="E1885" s="34"/>
      <c r="F1885" s="34"/>
      <c r="G1885" s="34"/>
      <c r="H1885" s="223"/>
      <c r="I1885" s="64"/>
      <c r="J1885" s="64"/>
      <c r="K1885" s="64"/>
      <c r="L1885" s="64"/>
      <c r="M1885" s="64"/>
    </row>
    <row r="1886" spans="1:13" ht="18.75" x14ac:dyDescent="0.2">
      <c r="A1886" s="106" t="s">
        <v>2321</v>
      </c>
      <c r="B1886" s="143" t="s">
        <v>347</v>
      </c>
      <c r="C1886" s="49" t="s">
        <v>1</v>
      </c>
      <c r="D1886" s="50">
        <v>1</v>
      </c>
      <c r="E1886" s="51">
        <f t="shared" ref="E1886:E1893" si="584">G1886/11</f>
        <v>1.38</v>
      </c>
      <c r="F1886" s="23">
        <f t="shared" ref="F1886:F1893" si="585">J1886</f>
        <v>0.72463768115942029</v>
      </c>
      <c r="G1886" s="65">
        <f t="shared" ref="G1886:G1893" si="586">K1886</f>
        <v>15.18</v>
      </c>
      <c r="H1886" s="77">
        <v>39.525691699604742</v>
      </c>
      <c r="I1886" s="71">
        <f t="shared" ref="I1886:I1893" si="587">M1886/L1886</f>
        <v>1.1000000000000001</v>
      </c>
      <c r="J1886" s="23">
        <f t="shared" ref="J1886:J1893" si="588">11/K1886</f>
        <v>0.72463768115942029</v>
      </c>
      <c r="K1886" s="65">
        <f t="shared" ref="K1886:K1893" si="589">M1886/(H1886*I1886)</f>
        <v>15.18</v>
      </c>
      <c r="L1886" s="21">
        <v>600</v>
      </c>
      <c r="M1886" s="21">
        <v>660</v>
      </c>
    </row>
    <row r="1887" spans="1:13" ht="18.75" x14ac:dyDescent="0.2">
      <c r="A1887" s="106" t="s">
        <v>2322</v>
      </c>
      <c r="B1887" s="143" t="s">
        <v>480</v>
      </c>
      <c r="C1887" s="49" t="s">
        <v>1</v>
      </c>
      <c r="D1887" s="50">
        <v>1</v>
      </c>
      <c r="E1887" s="51">
        <f t="shared" si="584"/>
        <v>1.1399999999999999</v>
      </c>
      <c r="F1887" s="23">
        <f t="shared" si="585"/>
        <v>0.87719298245614041</v>
      </c>
      <c r="G1887" s="65">
        <f t="shared" si="586"/>
        <v>12.54</v>
      </c>
      <c r="H1887" s="77">
        <v>47.846889952153113</v>
      </c>
      <c r="I1887" s="71">
        <f t="shared" si="587"/>
        <v>1.1000000000000001</v>
      </c>
      <c r="J1887" s="23">
        <f t="shared" si="588"/>
        <v>0.87719298245614041</v>
      </c>
      <c r="K1887" s="65">
        <f t="shared" si="589"/>
        <v>12.54</v>
      </c>
      <c r="L1887" s="21">
        <v>600</v>
      </c>
      <c r="M1887" s="21">
        <v>660</v>
      </c>
    </row>
    <row r="1888" spans="1:13" ht="18.75" x14ac:dyDescent="0.2">
      <c r="A1888" s="106" t="s">
        <v>2323</v>
      </c>
      <c r="B1888" s="143" t="s">
        <v>481</v>
      </c>
      <c r="C1888" s="49" t="s">
        <v>1</v>
      </c>
      <c r="D1888" s="50">
        <v>1</v>
      </c>
      <c r="E1888" s="51">
        <f t="shared" si="584"/>
        <v>0.84</v>
      </c>
      <c r="F1888" s="23">
        <f t="shared" si="585"/>
        <v>1.1904761904761905</v>
      </c>
      <c r="G1888" s="65">
        <f t="shared" si="586"/>
        <v>9.24</v>
      </c>
      <c r="H1888" s="77">
        <v>64.935064935064929</v>
      </c>
      <c r="I1888" s="71">
        <f t="shared" si="587"/>
        <v>1.1000000000000001</v>
      </c>
      <c r="J1888" s="23">
        <f t="shared" si="588"/>
        <v>1.1904761904761905</v>
      </c>
      <c r="K1888" s="65">
        <f t="shared" si="589"/>
        <v>9.24</v>
      </c>
      <c r="L1888" s="21">
        <v>600</v>
      </c>
      <c r="M1888" s="21">
        <v>660</v>
      </c>
    </row>
    <row r="1889" spans="1:13" ht="18.75" x14ac:dyDescent="0.2">
      <c r="A1889" s="106" t="s">
        <v>2324</v>
      </c>
      <c r="B1889" s="143" t="s">
        <v>479</v>
      </c>
      <c r="C1889" s="49" t="s">
        <v>1</v>
      </c>
      <c r="D1889" s="50">
        <v>1</v>
      </c>
      <c r="E1889" s="51">
        <f t="shared" si="584"/>
        <v>0.66</v>
      </c>
      <c r="F1889" s="23">
        <f t="shared" si="585"/>
        <v>1.5151515151515151</v>
      </c>
      <c r="G1889" s="65">
        <f t="shared" si="586"/>
        <v>7.26</v>
      </c>
      <c r="H1889" s="77">
        <v>82.644628099173545</v>
      </c>
      <c r="I1889" s="71">
        <f t="shared" si="587"/>
        <v>1.1000000000000001</v>
      </c>
      <c r="J1889" s="23">
        <f t="shared" si="588"/>
        <v>1.5151515151515151</v>
      </c>
      <c r="K1889" s="65">
        <f t="shared" si="589"/>
        <v>7.26</v>
      </c>
      <c r="L1889" s="21">
        <v>600</v>
      </c>
      <c r="M1889" s="21">
        <v>660</v>
      </c>
    </row>
    <row r="1890" spans="1:13" ht="18.75" x14ac:dyDescent="0.2">
      <c r="A1890" s="106" t="s">
        <v>2325</v>
      </c>
      <c r="B1890" s="143" t="s">
        <v>483</v>
      </c>
      <c r="C1890" s="49" t="s">
        <v>1</v>
      </c>
      <c r="D1890" s="50">
        <v>1</v>
      </c>
      <c r="E1890" s="51">
        <f t="shared" si="584"/>
        <v>0.66</v>
      </c>
      <c r="F1890" s="23">
        <f t="shared" si="585"/>
        <v>1.5151515151515151</v>
      </c>
      <c r="G1890" s="65">
        <f t="shared" si="586"/>
        <v>7.26</v>
      </c>
      <c r="H1890" s="77">
        <v>82.644628099173545</v>
      </c>
      <c r="I1890" s="71">
        <f t="shared" si="587"/>
        <v>1.1000000000000001</v>
      </c>
      <c r="J1890" s="23">
        <f t="shared" si="588"/>
        <v>1.5151515151515151</v>
      </c>
      <c r="K1890" s="65">
        <f t="shared" si="589"/>
        <v>7.26</v>
      </c>
      <c r="L1890" s="21">
        <v>600</v>
      </c>
      <c r="M1890" s="21">
        <v>660</v>
      </c>
    </row>
    <row r="1891" spans="1:13" ht="18.75" x14ac:dyDescent="0.2">
      <c r="A1891" s="106" t="s">
        <v>2326</v>
      </c>
      <c r="B1891" s="143" t="s">
        <v>482</v>
      </c>
      <c r="C1891" s="49" t="s">
        <v>1</v>
      </c>
      <c r="D1891" s="50">
        <v>1</v>
      </c>
      <c r="E1891" s="51">
        <f t="shared" si="584"/>
        <v>0.53999999999999992</v>
      </c>
      <c r="F1891" s="23">
        <f t="shared" si="585"/>
        <v>1.8518518518518521</v>
      </c>
      <c r="G1891" s="65">
        <f t="shared" si="586"/>
        <v>5.9399999999999995</v>
      </c>
      <c r="H1891" s="77">
        <v>101.01010101010101</v>
      </c>
      <c r="I1891" s="71">
        <f t="shared" si="587"/>
        <v>1.1000000000000001</v>
      </c>
      <c r="J1891" s="23">
        <f t="shared" si="588"/>
        <v>1.8518518518518521</v>
      </c>
      <c r="K1891" s="65">
        <f t="shared" si="589"/>
        <v>5.9399999999999995</v>
      </c>
      <c r="L1891" s="21">
        <v>600</v>
      </c>
      <c r="M1891" s="21">
        <v>660</v>
      </c>
    </row>
    <row r="1892" spans="1:13" ht="18.75" x14ac:dyDescent="0.2">
      <c r="A1892" s="106" t="s">
        <v>2327</v>
      </c>
      <c r="B1892" s="143" t="s">
        <v>484</v>
      </c>
      <c r="C1892" s="49" t="s">
        <v>1</v>
      </c>
      <c r="D1892" s="50">
        <v>1</v>
      </c>
      <c r="E1892" s="51">
        <f t="shared" si="584"/>
        <v>0.71999999999999986</v>
      </c>
      <c r="F1892" s="23">
        <f t="shared" si="585"/>
        <v>1.3888888888888891</v>
      </c>
      <c r="G1892" s="65">
        <f t="shared" si="586"/>
        <v>7.919999999999999</v>
      </c>
      <c r="H1892" s="77">
        <v>75.757575757575765</v>
      </c>
      <c r="I1892" s="71">
        <f t="shared" si="587"/>
        <v>1.1000000000000001</v>
      </c>
      <c r="J1892" s="23">
        <f t="shared" si="588"/>
        <v>1.3888888888888891</v>
      </c>
      <c r="K1892" s="65">
        <f t="shared" si="589"/>
        <v>7.919999999999999</v>
      </c>
      <c r="L1892" s="21">
        <v>600</v>
      </c>
      <c r="M1892" s="21">
        <v>660</v>
      </c>
    </row>
    <row r="1893" spans="1:13" ht="18.75" x14ac:dyDescent="0.2">
      <c r="A1893" s="106" t="s">
        <v>2328</v>
      </c>
      <c r="B1893" s="143" t="s">
        <v>485</v>
      </c>
      <c r="C1893" s="49" t="s">
        <v>1</v>
      </c>
      <c r="D1893" s="50">
        <v>1</v>
      </c>
      <c r="E1893" s="51">
        <f t="shared" si="584"/>
        <v>0.59999999999999987</v>
      </c>
      <c r="F1893" s="23">
        <f t="shared" si="585"/>
        <v>1.666666666666667</v>
      </c>
      <c r="G1893" s="65">
        <f t="shared" si="586"/>
        <v>6.5999999999999988</v>
      </c>
      <c r="H1893" s="77">
        <v>90.909090909090921</v>
      </c>
      <c r="I1893" s="71">
        <f t="shared" si="587"/>
        <v>1.1000000000000001</v>
      </c>
      <c r="J1893" s="23">
        <f t="shared" si="588"/>
        <v>1.666666666666667</v>
      </c>
      <c r="K1893" s="65">
        <f t="shared" si="589"/>
        <v>6.5999999999999988</v>
      </c>
      <c r="L1893" s="21">
        <v>600</v>
      </c>
      <c r="M1893" s="21">
        <v>660</v>
      </c>
    </row>
  </sheetData>
  <phoneticPr fontId="1" type="noConversion"/>
  <hyperlinks>
    <hyperlink ref="A1" location="БАЗА!A491" display="БАЗА!A491" xr:uid="{25E3E7A2-06E5-4E70-A08A-E2220A6B450C}"/>
  </hyperlinks>
  <pageMargins left="0.25" right="0.25" top="0.75" bottom="0.75" header="0.3" footer="0.3"/>
  <pageSetup paperSize="9" scale="10" orientation="portrait" r:id="rId1"/>
  <rowBreaks count="1" manualBreakCount="1">
    <brk id="274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8F88-8608-4452-9AC8-4C28634274E8}">
  <dimension ref="A1:B30"/>
  <sheetViews>
    <sheetView topLeftCell="A4" workbookViewId="0">
      <selection activeCell="B15" sqref="B15"/>
    </sheetView>
  </sheetViews>
  <sheetFormatPr defaultRowHeight="20.25" x14ac:dyDescent="0.3"/>
  <cols>
    <col min="1" max="1" width="54" customWidth="1"/>
    <col min="2" max="2" width="15.5" style="277" customWidth="1"/>
  </cols>
  <sheetData>
    <row r="1" spans="1:2" ht="45.75" customHeight="1" x14ac:dyDescent="0.2">
      <c r="A1" s="334" t="s">
        <v>619</v>
      </c>
      <c r="B1" s="334"/>
    </row>
    <row r="2" spans="1:2" ht="23.25" x14ac:dyDescent="0.2">
      <c r="A2" s="279" t="s">
        <v>601</v>
      </c>
      <c r="B2" s="312" t="s">
        <v>602</v>
      </c>
    </row>
    <row r="3" spans="1:2" ht="23.25" x14ac:dyDescent="0.35">
      <c r="A3" s="275" t="s">
        <v>519</v>
      </c>
      <c r="B3" s="271" t="s">
        <v>3393</v>
      </c>
    </row>
    <row r="4" spans="1:2" ht="11.25" customHeight="1" x14ac:dyDescent="0.35">
      <c r="A4" s="275"/>
      <c r="B4" s="272"/>
    </row>
    <row r="5" spans="1:2" ht="23.25" x14ac:dyDescent="0.2">
      <c r="A5" s="280" t="s">
        <v>690</v>
      </c>
      <c r="B5" s="273"/>
    </row>
    <row r="6" spans="1:2" ht="23.25" x14ac:dyDescent="0.35">
      <c r="A6" s="275" t="s">
        <v>605</v>
      </c>
      <c r="B6" s="274">
        <v>500</v>
      </c>
    </row>
    <row r="7" spans="1:2" ht="46.5" x14ac:dyDescent="0.2">
      <c r="A7" s="282" t="s">
        <v>3395</v>
      </c>
      <c r="B7" s="274">
        <v>800</v>
      </c>
    </row>
    <row r="8" spans="1:2" ht="23.25" x14ac:dyDescent="0.35">
      <c r="A8" s="275" t="s">
        <v>603</v>
      </c>
      <c r="B8" s="274">
        <v>1000</v>
      </c>
    </row>
    <row r="9" spans="1:2" ht="23.25" x14ac:dyDescent="0.35">
      <c r="A9" s="275" t="s">
        <v>638</v>
      </c>
      <c r="B9" s="274">
        <v>1150</v>
      </c>
    </row>
    <row r="10" spans="1:2" ht="23.25" x14ac:dyDescent="0.35">
      <c r="A10" s="275" t="s">
        <v>606</v>
      </c>
      <c r="B10" s="274">
        <v>1300</v>
      </c>
    </row>
    <row r="11" spans="1:2" ht="23.25" x14ac:dyDescent="0.35">
      <c r="A11" s="275" t="s">
        <v>3394</v>
      </c>
      <c r="B11" s="274">
        <v>1400</v>
      </c>
    </row>
    <row r="12" spans="1:2" ht="23.25" x14ac:dyDescent="0.35">
      <c r="A12" s="275" t="s">
        <v>3339</v>
      </c>
      <c r="B12" s="274">
        <v>1470</v>
      </c>
    </row>
    <row r="13" spans="1:2" ht="23.25" x14ac:dyDescent="0.35">
      <c r="A13" s="275" t="s">
        <v>608</v>
      </c>
      <c r="B13" s="274">
        <v>1500</v>
      </c>
    </row>
    <row r="14" spans="1:2" ht="23.25" x14ac:dyDescent="0.35">
      <c r="A14" s="275" t="s">
        <v>610</v>
      </c>
      <c r="B14" s="274">
        <v>1600</v>
      </c>
    </row>
    <row r="15" spans="1:2" ht="23.25" x14ac:dyDescent="0.35">
      <c r="A15" s="275" t="s">
        <v>611</v>
      </c>
      <c r="B15" s="274">
        <v>1700</v>
      </c>
    </row>
    <row r="16" spans="1:2" ht="23.25" x14ac:dyDescent="0.35">
      <c r="A16" s="275" t="s">
        <v>612</v>
      </c>
      <c r="B16" s="274">
        <v>1900</v>
      </c>
    </row>
    <row r="17" spans="1:2" ht="13.5" customHeight="1" x14ac:dyDescent="0.35">
      <c r="A17" s="278"/>
      <c r="B17" s="276"/>
    </row>
    <row r="18" spans="1:2" ht="23.25" x14ac:dyDescent="0.2">
      <c r="A18" s="279" t="s">
        <v>691</v>
      </c>
      <c r="B18" s="312" t="s">
        <v>602</v>
      </c>
    </row>
    <row r="19" spans="1:2" ht="23.25" x14ac:dyDescent="0.35">
      <c r="A19" s="275" t="s">
        <v>604</v>
      </c>
      <c r="B19" s="274">
        <v>2000</v>
      </c>
    </row>
    <row r="20" spans="1:2" ht="23.25" x14ac:dyDescent="0.35">
      <c r="A20" s="275" t="s">
        <v>607</v>
      </c>
      <c r="B20" s="274">
        <v>2200</v>
      </c>
    </row>
    <row r="21" spans="1:2" ht="23.25" x14ac:dyDescent="0.35">
      <c r="A21" s="275" t="s">
        <v>637</v>
      </c>
      <c r="B21" s="274">
        <v>2400</v>
      </c>
    </row>
    <row r="22" spans="1:2" ht="23.25" x14ac:dyDescent="0.35">
      <c r="A22" s="275" t="s">
        <v>609</v>
      </c>
      <c r="B22" s="274">
        <v>2700</v>
      </c>
    </row>
    <row r="23" spans="1:2" ht="12.75" customHeight="1" x14ac:dyDescent="0.35">
      <c r="A23" s="278"/>
      <c r="B23" s="276"/>
    </row>
    <row r="24" spans="1:2" ht="23.25" x14ac:dyDescent="0.2">
      <c r="A24" s="279" t="s">
        <v>618</v>
      </c>
      <c r="B24" s="312" t="s">
        <v>602</v>
      </c>
    </row>
    <row r="25" spans="1:2" ht="23.25" x14ac:dyDescent="0.35">
      <c r="A25" s="275" t="s">
        <v>16</v>
      </c>
      <c r="B25" s="274">
        <v>3000</v>
      </c>
    </row>
    <row r="26" spans="1:2" ht="23.25" x14ac:dyDescent="0.35">
      <c r="A26" s="278"/>
      <c r="B26" s="276"/>
    </row>
    <row r="27" spans="1:2" ht="23.25" x14ac:dyDescent="0.2">
      <c r="A27" s="279" t="s">
        <v>825</v>
      </c>
      <c r="B27" s="312" t="s">
        <v>602</v>
      </c>
    </row>
    <row r="28" spans="1:2" ht="23.25" x14ac:dyDescent="0.2">
      <c r="A28" s="281" t="s">
        <v>826</v>
      </c>
      <c r="B28" s="274">
        <v>4000</v>
      </c>
    </row>
    <row r="29" spans="1:2" ht="23.25" x14ac:dyDescent="0.2">
      <c r="A29" s="279" t="s">
        <v>639</v>
      </c>
      <c r="B29" s="312" t="s">
        <v>602</v>
      </c>
    </row>
    <row r="30" spans="1:2" ht="23.25" x14ac:dyDescent="0.35">
      <c r="A30" s="275" t="s">
        <v>655</v>
      </c>
      <c r="B30" s="274">
        <v>9000</v>
      </c>
    </row>
  </sheetData>
  <mergeCells count="1">
    <mergeCell ref="A1:B1"/>
  </mergeCells>
  <hyperlinks>
    <hyperlink ref="B15" location="БАЗА!A789" display="БАЗА!A789" xr:uid="{E0C62F6D-7DC2-4617-B07D-B0A8B1FF09A0}"/>
    <hyperlink ref="B14" location="БАЗА!A710" display="БАЗА!A710" xr:uid="{F319C9E4-4B1F-42AC-AE01-47E9981D0EAA}"/>
    <hyperlink ref="B13" location="БАЗА!A580" display="БАЗА!A580" xr:uid="{766DAD23-EAEC-4A60-8007-A0075C7B9874}"/>
    <hyperlink ref="B16" location="БАЗА!A921" display="БАЗА!A921" xr:uid="{4F77F3FF-17E6-4876-8EC5-E1F7EB041BCB}"/>
    <hyperlink ref="B10" location="БАЗА!A435" display="БАЗА!A435" xr:uid="{E3A46CD6-3D42-49A3-880A-906D3761063B}"/>
    <hyperlink ref="B8" location="БАЗА!A257" display="БАЗА!A257" xr:uid="{5B817568-FA6E-4328-A433-A0A423D1FF58}"/>
    <hyperlink ref="B6" location="БАЗА!A30" display="БАЗА!A30" xr:uid="{17546CB8-DCB4-4924-B5D0-B52F07F00649}"/>
    <hyperlink ref="B3" location="БАЗА!A4" display=".0000" xr:uid="{F6200399-ED03-4A8E-839E-66688D702805}"/>
    <hyperlink ref="B9" location="БАЗА!A390" display="БАЗА!A390" xr:uid="{82542640-A90C-4066-99AC-5DF4356266CC}"/>
    <hyperlink ref="B7" location="БАЗА!A200" display="БАЗА!A200" xr:uid="{1449ECFB-D141-446E-A043-6CF4E411B9FB}"/>
    <hyperlink ref="B19" location="БАЗА!A996" display="БАЗА!A996" xr:uid="{5274E3EA-C65E-47E6-833D-FCC935710AEF}"/>
    <hyperlink ref="B20" location="БАЗА!A1027" display="БАЗА!A1027" xr:uid="{D27CB34D-7452-46DB-ABA2-1E587B2CB6A9}"/>
    <hyperlink ref="B21" location="БАЗА!A1215" display="БАЗА!A1215" xr:uid="{A68B08D5-EDB5-47B3-B23D-F696D399F19A}"/>
    <hyperlink ref="B22" location="БАЗА!A1332" display="БАЗА!A1332" xr:uid="{C2276287-92A9-4547-92CE-B414E9A470EE}"/>
    <hyperlink ref="B25" location="БАЗА!A1395" display="БАЗА!A1395" xr:uid="{3C50CEC7-EC1E-4939-A077-8526BABE4CE3}"/>
    <hyperlink ref="B28" location="БАЗА!A1429" display="БАЗА!A1429" xr:uid="{BE89977E-F4B3-456C-9952-3EB55487CADB}"/>
    <hyperlink ref="B30" location="БАЗА!A1458" display="БАЗА!A1458" xr:uid="{C0D54010-A1A2-48B4-B535-943E789F53FA}"/>
    <hyperlink ref="B12" location="БАЗА!A550" display="БАЗА!A550" xr:uid="{2646055A-E4B6-49EB-B1E9-714FED2D391C}"/>
    <hyperlink ref="B11" location="БАЗА!A491" display="БАЗА!A491" xr:uid="{A2513647-E8B7-4F72-A611-1A72B8B4272F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"/>
  <sheetViews>
    <sheetView tabSelected="1" view="pageBreakPreview" zoomScale="115" zoomScaleNormal="100" zoomScaleSheetLayoutView="115" workbookViewId="0">
      <selection activeCell="F5" sqref="F5"/>
    </sheetView>
  </sheetViews>
  <sheetFormatPr defaultRowHeight="11.25" x14ac:dyDescent="0.2"/>
  <cols>
    <col min="1" max="1" width="12.5" style="4" customWidth="1"/>
    <col min="2" max="2" width="143.33203125" style="5" customWidth="1"/>
    <col min="3" max="3" width="12.1640625" customWidth="1"/>
    <col min="4" max="4" width="11.33203125" style="3" customWidth="1"/>
    <col min="5" max="5" width="13.33203125" style="2" customWidth="1"/>
    <col min="6" max="6" width="12.33203125" style="1" customWidth="1"/>
    <col min="7" max="7" width="14.1640625" customWidth="1"/>
    <col min="9" max="9" width="9.33203125" customWidth="1"/>
  </cols>
  <sheetData>
    <row r="1" spans="1:17" ht="42" customHeight="1" x14ac:dyDescent="0.2">
      <c r="A1" s="93" t="s">
        <v>4</v>
      </c>
      <c r="B1" s="6" t="s">
        <v>0</v>
      </c>
      <c r="C1" s="7" t="s">
        <v>2</v>
      </c>
      <c r="D1" s="8" t="s">
        <v>5</v>
      </c>
      <c r="E1" s="9" t="s">
        <v>3</v>
      </c>
      <c r="F1" s="10" t="s">
        <v>6</v>
      </c>
      <c r="G1" s="9" t="s">
        <v>7</v>
      </c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35.1" customHeight="1" x14ac:dyDescent="0.2">
      <c r="A2" s="91" t="s">
        <v>3539</v>
      </c>
      <c r="B2" s="16" t="str">
        <f>VLOOKUP(A2,БАЗА!A:F,2,0)</f>
        <v xml:space="preserve">ARM. ПС. FE 4000А.  Полная сборка пакетов, соединение пакетов, упаковка и снятие. 4000А. </v>
      </c>
      <c r="C2" s="13" t="str">
        <f>VLOOKUP(A2,БАЗА!A:G,3,0)</f>
        <v>шт</v>
      </c>
      <c r="D2" s="14">
        <f>VLOOKUP(A2,БАЗА!A:G,5,0)</f>
        <v>0.72727272727272729</v>
      </c>
      <c r="E2" s="15">
        <f>VLOOKUP(A2,БАЗА!A:G,6,0)</f>
        <v>1.375</v>
      </c>
      <c r="F2" s="92">
        <v>15</v>
      </c>
      <c r="G2" s="15">
        <f t="shared" ref="G2" si="0">IF(F2=0,0,F2*E2)</f>
        <v>20.625</v>
      </c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35.1" customHeight="1" x14ac:dyDescent="0.2">
      <c r="A3" s="91" t="s">
        <v>2603</v>
      </c>
      <c r="B3" s="313" t="str">
        <f>VLOOKUP(A3,БАЗА!A:F,2,0)</f>
        <v>Комплектовка и упаковка стандартных секций на поддон</v>
      </c>
      <c r="C3" s="13" t="str">
        <f>VLOOKUP(A3,БАЗА!A:G,3,0)</f>
        <v>подддон</v>
      </c>
      <c r="D3" s="14">
        <f>VLOOKUP(A3,БАЗА!A:G,5,0)</f>
        <v>1.2599999999999998</v>
      </c>
      <c r="E3" s="15">
        <f>VLOOKUP(A3,БАЗА!A:G,6,0)</f>
        <v>0.79365079365079383</v>
      </c>
      <c r="F3" s="92">
        <v>1</v>
      </c>
      <c r="G3" s="15">
        <f t="shared" ref="G3:G9" si="1">IF(F3=0,0,F3*E3)</f>
        <v>0.79365079365079383</v>
      </c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35.1" customHeight="1" x14ac:dyDescent="0.2">
      <c r="A4" s="91" t="s">
        <v>1577</v>
      </c>
      <c r="B4" s="16" t="str">
        <f>VLOOKUP(A4,БАЗА!A:F,2,0)</f>
        <v>Повременные работы. Сборка</v>
      </c>
      <c r="C4" s="13" t="str">
        <f>VLOOKUP(A4,БАЗА!A:G,3,0)</f>
        <v>час</v>
      </c>
      <c r="D4" s="14">
        <f>VLOOKUP(A4,БАЗА!A:G,5,0)</f>
        <v>1.0000000000000009</v>
      </c>
      <c r="E4" s="15">
        <f>VLOOKUP(A4,БАЗА!A:G,6,0)</f>
        <v>0.999999999999999</v>
      </c>
      <c r="F4" s="92">
        <v>1</v>
      </c>
      <c r="G4" s="15">
        <f t="shared" si="1"/>
        <v>0.999999999999999</v>
      </c>
      <c r="H4" s="17"/>
      <c r="I4" s="18"/>
      <c r="J4" s="17"/>
      <c r="K4" s="17"/>
      <c r="L4" s="17"/>
      <c r="M4" s="17"/>
      <c r="N4" s="17"/>
      <c r="O4" s="17"/>
      <c r="P4" s="17"/>
      <c r="Q4" s="17"/>
    </row>
    <row r="5" spans="1:17" ht="35.1" customHeight="1" x14ac:dyDescent="0.2">
      <c r="A5" s="91"/>
      <c r="B5" s="16" t="e">
        <f>VLOOKUP(A5,БАЗА!A:F,2,0)</f>
        <v>#N/A</v>
      </c>
      <c r="C5" s="13" t="e">
        <f>VLOOKUP(A5,БАЗА!A:G,3,0)</f>
        <v>#N/A</v>
      </c>
      <c r="D5" s="14" t="e">
        <f>VLOOKUP(A5,БАЗА!A:G,5,0)</f>
        <v>#N/A</v>
      </c>
      <c r="E5" s="15" t="e">
        <f>VLOOKUP(A5,БАЗА!A:G,6,0)</f>
        <v>#N/A</v>
      </c>
      <c r="F5" s="92"/>
      <c r="G5" s="15">
        <f t="shared" si="1"/>
        <v>0</v>
      </c>
      <c r="H5" s="68"/>
      <c r="I5" s="17"/>
      <c r="J5" s="17"/>
      <c r="K5" s="17"/>
      <c r="L5" s="17"/>
      <c r="M5" s="17"/>
      <c r="N5" s="17"/>
      <c r="O5" s="17"/>
      <c r="P5" s="17"/>
      <c r="Q5" s="17"/>
    </row>
    <row r="6" spans="1:17" ht="35.1" customHeight="1" x14ac:dyDescent="0.2">
      <c r="A6" s="91"/>
      <c r="B6" s="16" t="e">
        <f>VLOOKUP(A6,БАЗА!A:F,2,0)</f>
        <v>#N/A</v>
      </c>
      <c r="C6" s="13" t="e">
        <f>VLOOKUP(A6,БАЗА!A:G,3,0)</f>
        <v>#N/A</v>
      </c>
      <c r="D6" s="14" t="e">
        <f>VLOOKUP(A6,БАЗА!A:G,5,0)</f>
        <v>#N/A</v>
      </c>
      <c r="E6" s="15" t="e">
        <f>VLOOKUP(A6,БАЗА!A:G,6,0)</f>
        <v>#N/A</v>
      </c>
      <c r="F6" s="92"/>
      <c r="G6" s="15">
        <f t="shared" si="1"/>
        <v>0</v>
      </c>
      <c r="H6" s="68"/>
      <c r="I6" s="17"/>
      <c r="J6" s="17"/>
      <c r="K6" s="17"/>
      <c r="L6" s="17"/>
      <c r="M6" s="17"/>
      <c r="N6" s="17"/>
      <c r="O6" s="17"/>
      <c r="P6" s="17"/>
      <c r="Q6" s="17"/>
    </row>
    <row r="7" spans="1:17" ht="35.1" customHeight="1" x14ac:dyDescent="0.2">
      <c r="A7" s="91"/>
      <c r="B7" s="16" t="e">
        <f>VLOOKUP(A7,БАЗА!A:F,2,0)</f>
        <v>#N/A</v>
      </c>
      <c r="C7" s="13" t="e">
        <f>VLOOKUP(A7,БАЗА!A:G,3,0)</f>
        <v>#N/A</v>
      </c>
      <c r="D7" s="14" t="e">
        <f>VLOOKUP(A7,БАЗА!A:G,5,0)</f>
        <v>#N/A</v>
      </c>
      <c r="E7" s="15" t="e">
        <f>VLOOKUP(A7,БАЗА!A:G,6,0)</f>
        <v>#N/A</v>
      </c>
      <c r="F7" s="92"/>
      <c r="G7" s="15">
        <f t="shared" si="1"/>
        <v>0</v>
      </c>
      <c r="H7" s="17"/>
      <c r="I7" s="68"/>
      <c r="J7" s="17"/>
      <c r="K7" s="17"/>
      <c r="L7" s="17"/>
      <c r="M7" s="17"/>
      <c r="N7" s="17"/>
      <c r="O7" s="17"/>
      <c r="P7" s="17"/>
      <c r="Q7" s="17"/>
    </row>
    <row r="8" spans="1:17" ht="35.1" customHeight="1" x14ac:dyDescent="0.2">
      <c r="A8" s="91"/>
      <c r="B8" s="16" t="e">
        <f>VLOOKUP(A8,БАЗА!A:F,2,0)</f>
        <v>#N/A</v>
      </c>
      <c r="C8" s="13" t="e">
        <f>VLOOKUP(A8,БАЗА!A:G,3,0)</f>
        <v>#N/A</v>
      </c>
      <c r="D8" s="14" t="e">
        <f>VLOOKUP(A8,БАЗА!A:G,5,0)</f>
        <v>#N/A</v>
      </c>
      <c r="E8" s="15" t="e">
        <f>VLOOKUP(A8,БАЗА!A:G,6,0)</f>
        <v>#N/A</v>
      </c>
      <c r="F8" s="92"/>
      <c r="G8" s="15">
        <f t="shared" si="1"/>
        <v>0</v>
      </c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ht="34.5" customHeight="1" x14ac:dyDescent="0.2">
      <c r="A9" s="91"/>
      <c r="B9" s="16" t="e">
        <f>VLOOKUP(A9,БАЗА!A:F,2,0)</f>
        <v>#N/A</v>
      </c>
      <c r="C9" s="13" t="e">
        <f>VLOOKUP(A9,БАЗА!A:G,3,0)</f>
        <v>#N/A</v>
      </c>
      <c r="D9" s="14" t="e">
        <f>VLOOKUP(A9,БАЗА!A:G,5,0)</f>
        <v>#N/A</v>
      </c>
      <c r="E9" s="15" t="e">
        <f>VLOOKUP(A9,БАЗА!A:G,6,0)</f>
        <v>#N/A</v>
      </c>
      <c r="F9" s="92"/>
      <c r="G9" s="15">
        <f t="shared" si="1"/>
        <v>0</v>
      </c>
      <c r="H9" s="68"/>
      <c r="I9" s="17"/>
      <c r="J9" s="17"/>
      <c r="K9" s="17"/>
      <c r="L9" s="17"/>
      <c r="M9" s="17"/>
      <c r="N9" s="17"/>
      <c r="O9" s="17"/>
      <c r="P9" s="17"/>
      <c r="Q9" s="17"/>
    </row>
    <row r="10" spans="1:17" ht="34.5" customHeight="1" x14ac:dyDescent="0.2">
      <c r="A10" s="91"/>
      <c r="B10" s="16" t="e">
        <f>VLOOKUP(A10,БАЗА!A:F,2,0)</f>
        <v>#N/A</v>
      </c>
      <c r="C10" s="13" t="e">
        <f>VLOOKUP(A10,БАЗА!A:G,3,0)</f>
        <v>#N/A</v>
      </c>
      <c r="D10" s="14" t="e">
        <f>VLOOKUP(A10,БАЗА!A:G,5,0)</f>
        <v>#N/A</v>
      </c>
      <c r="E10" s="15" t="e">
        <f>VLOOKUP(A10,БАЗА!A:G,6,0)</f>
        <v>#N/A</v>
      </c>
      <c r="F10" s="92"/>
      <c r="G10" s="15">
        <f t="shared" ref="G10:G23" si="2">IF(F10=0,0,F10*E10)</f>
        <v>0</v>
      </c>
      <c r="H10" s="68"/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34.5" hidden="1" customHeight="1" x14ac:dyDescent="0.2">
      <c r="A11" s="91"/>
      <c r="B11" s="16" t="e">
        <f>VLOOKUP(A11,БАЗА!A:F,2,0)</f>
        <v>#N/A</v>
      </c>
      <c r="C11" s="13" t="e">
        <f>VLOOKUP(A11,БАЗА!A:G,3,0)</f>
        <v>#N/A</v>
      </c>
      <c r="D11" s="14" t="e">
        <f>VLOOKUP(A11,БАЗА!A:G,5,0)</f>
        <v>#N/A</v>
      </c>
      <c r="E11" s="15" t="e">
        <f>VLOOKUP(A11,БАЗА!A:G,6,0)</f>
        <v>#N/A</v>
      </c>
      <c r="F11" s="92"/>
      <c r="G11" s="15">
        <f t="shared" si="2"/>
        <v>0</v>
      </c>
      <c r="H11" s="68"/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34.5" hidden="1" customHeight="1" x14ac:dyDescent="0.2">
      <c r="A12" s="91"/>
      <c r="B12" s="16" t="e">
        <f>VLOOKUP(A12,БАЗА!A:F,2,0)</f>
        <v>#N/A</v>
      </c>
      <c r="C12" s="13" t="e">
        <f>VLOOKUP(A12,БАЗА!A:G,3,0)</f>
        <v>#N/A</v>
      </c>
      <c r="D12" s="14" t="e">
        <f>VLOOKUP(A12,БАЗА!A:G,5,0)</f>
        <v>#N/A</v>
      </c>
      <c r="E12" s="15" t="e">
        <f>VLOOKUP(A12,БАЗА!A:G,6,0)</f>
        <v>#N/A</v>
      </c>
      <c r="F12" s="92"/>
      <c r="G12" s="15">
        <f t="shared" si="2"/>
        <v>0</v>
      </c>
      <c r="H12" s="68"/>
      <c r="I12" s="17"/>
      <c r="J12" s="17"/>
      <c r="K12" s="17"/>
      <c r="L12" s="17"/>
      <c r="M12" s="17"/>
      <c r="N12" s="17"/>
      <c r="O12" s="17"/>
      <c r="P12" s="17"/>
      <c r="Q12" s="17"/>
    </row>
    <row r="13" spans="1:17" ht="34.5" hidden="1" customHeight="1" x14ac:dyDescent="0.2">
      <c r="A13" s="91"/>
      <c r="B13" s="16" t="e">
        <f>VLOOKUP(A13,БАЗА!A:F,2,0)</f>
        <v>#N/A</v>
      </c>
      <c r="C13" s="13" t="e">
        <f>VLOOKUP(A13,БАЗА!A:G,3,0)</f>
        <v>#N/A</v>
      </c>
      <c r="D13" s="14" t="e">
        <f>VLOOKUP(A13,БАЗА!A:G,5,0)</f>
        <v>#N/A</v>
      </c>
      <c r="E13" s="15" t="e">
        <f>VLOOKUP(A13,БАЗА!A:G,6,0)</f>
        <v>#N/A</v>
      </c>
      <c r="F13" s="92"/>
      <c r="G13" s="15">
        <f t="shared" si="2"/>
        <v>0</v>
      </c>
      <c r="H13" s="68"/>
      <c r="I13" s="17"/>
      <c r="J13" s="17"/>
      <c r="K13" s="17"/>
      <c r="L13" s="17"/>
      <c r="M13" s="17"/>
      <c r="N13" s="17"/>
      <c r="O13" s="17"/>
      <c r="P13" s="17"/>
      <c r="Q13" s="17"/>
    </row>
    <row r="14" spans="1:17" ht="35.1" hidden="1" customHeight="1" x14ac:dyDescent="0.2">
      <c r="A14" s="91"/>
      <c r="B14" s="16" t="e">
        <f>VLOOKUP(A14,БАЗА!A:F,2,0)</f>
        <v>#N/A</v>
      </c>
      <c r="C14" s="13" t="e">
        <f>VLOOKUP(A14,БАЗА!A:G,3,0)</f>
        <v>#N/A</v>
      </c>
      <c r="D14" s="14" t="e">
        <f>VLOOKUP(A14,БАЗА!A:G,5,0)</f>
        <v>#N/A</v>
      </c>
      <c r="E14" s="15" t="e">
        <f>VLOOKUP(A14,БАЗА!A:G,6,0)</f>
        <v>#N/A</v>
      </c>
      <c r="F14" s="92"/>
      <c r="G14" s="15">
        <f t="shared" si="2"/>
        <v>0</v>
      </c>
      <c r="H14" s="68"/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35.1" hidden="1" customHeight="1" x14ac:dyDescent="0.2">
      <c r="A15" s="91"/>
      <c r="B15" s="16" t="e">
        <f>VLOOKUP(A15,БАЗА!A:F,2,0)</f>
        <v>#N/A</v>
      </c>
      <c r="C15" s="13" t="e">
        <f>VLOOKUP(A15,БАЗА!A:G,3,0)</f>
        <v>#N/A</v>
      </c>
      <c r="D15" s="14" t="e">
        <f>VLOOKUP(A15,БАЗА!A:G,5,0)</f>
        <v>#N/A</v>
      </c>
      <c r="E15" s="15" t="e">
        <f>VLOOKUP(A15,БАЗА!A:G,6,0)</f>
        <v>#N/A</v>
      </c>
      <c r="F15" s="92"/>
      <c r="G15" s="15">
        <f t="shared" si="2"/>
        <v>0</v>
      </c>
      <c r="H15" s="68"/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35.1" hidden="1" customHeight="1" x14ac:dyDescent="0.2">
      <c r="A16" s="91"/>
      <c r="B16" s="16" t="e">
        <f>VLOOKUP(A16,БАЗА!A:F,2,0)</f>
        <v>#N/A</v>
      </c>
      <c r="C16" s="13" t="e">
        <f>VLOOKUP(A16,БАЗА!A:G,3,0)</f>
        <v>#N/A</v>
      </c>
      <c r="D16" s="14" t="e">
        <f>VLOOKUP(A16,БАЗА!A:G,5,0)</f>
        <v>#N/A</v>
      </c>
      <c r="E16" s="15" t="e">
        <f>VLOOKUP(A16,БАЗА!A:G,6,0)</f>
        <v>#N/A</v>
      </c>
      <c r="F16" s="92"/>
      <c r="G16" s="15">
        <f t="shared" si="2"/>
        <v>0</v>
      </c>
      <c r="H16" s="68"/>
      <c r="I16" s="17"/>
      <c r="J16" s="17"/>
      <c r="K16" s="17"/>
      <c r="L16" s="17"/>
      <c r="M16" s="17"/>
      <c r="N16" s="17"/>
      <c r="O16" s="17"/>
      <c r="P16" s="17"/>
      <c r="Q16" s="17"/>
    </row>
    <row r="17" spans="1:17" ht="35.1" hidden="1" customHeight="1" x14ac:dyDescent="0.2">
      <c r="A17" s="91"/>
      <c r="B17" s="16" t="e">
        <f>VLOOKUP(A17,БАЗА!A:F,2,0)</f>
        <v>#N/A</v>
      </c>
      <c r="C17" s="13" t="e">
        <f>VLOOKUP(A17,БАЗА!A:G,3,0)</f>
        <v>#N/A</v>
      </c>
      <c r="D17" s="14" t="e">
        <f>VLOOKUP(A17,БАЗА!A:G,5,0)</f>
        <v>#N/A</v>
      </c>
      <c r="E17" s="15" t="e">
        <f>VLOOKUP(A17,БАЗА!A:G,6,0)</f>
        <v>#N/A</v>
      </c>
      <c r="F17" s="92"/>
      <c r="G17" s="15">
        <f t="shared" si="2"/>
        <v>0</v>
      </c>
      <c r="H17" s="68"/>
      <c r="I17" s="17"/>
      <c r="J17" s="17"/>
      <c r="K17" s="17"/>
      <c r="L17" s="17"/>
      <c r="M17" s="17"/>
      <c r="N17" s="17"/>
      <c r="O17" s="17"/>
      <c r="P17" s="17"/>
      <c r="Q17" s="17"/>
    </row>
    <row r="18" spans="1:17" ht="35.1" hidden="1" customHeight="1" x14ac:dyDescent="0.2">
      <c r="A18" s="91"/>
      <c r="B18" s="16" t="e">
        <f>VLOOKUP(A18,БАЗА!A:F,2,0)</f>
        <v>#N/A</v>
      </c>
      <c r="C18" s="13" t="e">
        <f>VLOOKUP(A18,БАЗА!A:G,3,0)</f>
        <v>#N/A</v>
      </c>
      <c r="D18" s="14" t="e">
        <f>VLOOKUP(A18,БАЗА!A:G,5,0)</f>
        <v>#N/A</v>
      </c>
      <c r="E18" s="15" t="e">
        <f>VLOOKUP(A18,БАЗА!A:G,6,0)</f>
        <v>#N/A</v>
      </c>
      <c r="F18" s="92"/>
      <c r="G18" s="15">
        <f t="shared" si="2"/>
        <v>0</v>
      </c>
      <c r="H18" s="68"/>
      <c r="I18" s="17"/>
      <c r="J18" s="17"/>
      <c r="K18" s="17"/>
      <c r="L18" s="17"/>
      <c r="M18" s="17"/>
      <c r="N18" s="17"/>
      <c r="O18" s="17"/>
      <c r="P18" s="17"/>
      <c r="Q18" s="17"/>
    </row>
    <row r="19" spans="1:17" ht="35.1" customHeight="1" x14ac:dyDescent="0.2">
      <c r="A19" s="91"/>
      <c r="B19" s="16" t="e">
        <f>VLOOKUP(A19,БАЗА!A:F,2,0)</f>
        <v>#N/A</v>
      </c>
      <c r="C19" s="13" t="e">
        <f>VLOOKUP(A19,БАЗА!A:G,3,0)</f>
        <v>#N/A</v>
      </c>
      <c r="D19" s="14" t="e">
        <f>VLOOKUP(A19,БАЗА!A:G,5,0)</f>
        <v>#N/A</v>
      </c>
      <c r="E19" s="15" t="e">
        <f>VLOOKUP(A19,БАЗА!A:G,6,0)</f>
        <v>#N/A</v>
      </c>
      <c r="F19" s="92"/>
      <c r="G19" s="15">
        <f t="shared" si="2"/>
        <v>0</v>
      </c>
      <c r="H19" s="68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35.1" customHeight="1" x14ac:dyDescent="0.2">
      <c r="A20" s="91"/>
      <c r="B20" s="16" t="e">
        <f>VLOOKUP(A20,БАЗА!A:F,2,0)</f>
        <v>#N/A</v>
      </c>
      <c r="C20" s="13" t="e">
        <f>VLOOKUP(A20,БАЗА!A:G,3,0)</f>
        <v>#N/A</v>
      </c>
      <c r="D20" s="14" t="e">
        <f>VLOOKUP(A20,БАЗА!A:G,5,0)</f>
        <v>#N/A</v>
      </c>
      <c r="E20" s="15" t="e">
        <f>VLOOKUP(A20,БАЗА!A:G,6,0)</f>
        <v>#N/A</v>
      </c>
      <c r="F20" s="92"/>
      <c r="G20" s="15">
        <f t="shared" si="2"/>
        <v>0</v>
      </c>
      <c r="H20" s="68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35.1" customHeight="1" x14ac:dyDescent="0.2">
      <c r="A21" s="91"/>
      <c r="B21" s="16" t="e">
        <f>VLOOKUP(A21,БАЗА!A:F,2,0)</f>
        <v>#N/A</v>
      </c>
      <c r="C21" s="13" t="e">
        <f>VLOOKUP(A21,БАЗА!A:G,3,0)</f>
        <v>#N/A</v>
      </c>
      <c r="D21" s="14" t="e">
        <f>VLOOKUP(A21,БАЗА!A:G,5,0)</f>
        <v>#N/A</v>
      </c>
      <c r="E21" s="15" t="e">
        <f>VLOOKUP(A21,БАЗА!A:G,6,0)</f>
        <v>#N/A</v>
      </c>
      <c r="F21" s="92"/>
      <c r="G21" s="15">
        <f t="shared" si="2"/>
        <v>0</v>
      </c>
      <c r="H21" s="68"/>
      <c r="I21" s="17"/>
      <c r="J21" s="17"/>
      <c r="K21" s="17"/>
      <c r="L21" s="17"/>
      <c r="M21" s="17"/>
      <c r="N21" s="17"/>
      <c r="O21" s="17"/>
      <c r="P21" s="17"/>
      <c r="Q21" s="17"/>
    </row>
    <row r="22" spans="1:17" ht="72.75" hidden="1" customHeight="1" x14ac:dyDescent="0.2">
      <c r="A22" s="91"/>
      <c r="B22" s="16" t="e">
        <f>VLOOKUP(A22,БАЗА!A:F,2,0)</f>
        <v>#N/A</v>
      </c>
      <c r="C22" s="13" t="e">
        <f>VLOOKUP(A22,БАЗА!A:G,3,0)</f>
        <v>#N/A</v>
      </c>
      <c r="D22" s="14" t="e">
        <f>VLOOKUP(A22,БАЗА!A:G,5,0)</f>
        <v>#N/A</v>
      </c>
      <c r="E22" s="15" t="e">
        <f>VLOOKUP(A22,БАЗА!A:G,6,0)</f>
        <v>#N/A</v>
      </c>
      <c r="F22" s="92"/>
      <c r="G22" s="15">
        <f t="shared" si="2"/>
        <v>0</v>
      </c>
      <c r="H22" s="68"/>
      <c r="I22" s="17"/>
      <c r="J22" s="17"/>
      <c r="K22" s="17"/>
      <c r="L22" s="17"/>
      <c r="M22" s="17"/>
      <c r="N22" s="17"/>
      <c r="O22" s="17"/>
      <c r="P22" s="17"/>
      <c r="Q22" s="17"/>
    </row>
    <row r="23" spans="1:17" ht="35.1" customHeight="1" x14ac:dyDescent="0.2">
      <c r="A23" s="91"/>
      <c r="B23" s="16" t="e">
        <f>VLOOKUP(A23,БАЗА!A:F,2,0)</f>
        <v>#N/A</v>
      </c>
      <c r="C23" s="13" t="e">
        <f>VLOOKUP(A23,БАЗА!A:G,3,0)</f>
        <v>#N/A</v>
      </c>
      <c r="D23" s="14" t="e">
        <f>VLOOKUP(A23,БАЗА!A:G,5,0)</f>
        <v>#N/A</v>
      </c>
      <c r="E23" s="15" t="e">
        <f>VLOOKUP(A23,БАЗА!A:G,6,0)</f>
        <v>#N/A</v>
      </c>
      <c r="F23" s="92"/>
      <c r="G23" s="15">
        <f t="shared" si="2"/>
        <v>0</v>
      </c>
      <c r="H23" s="68"/>
      <c r="I23" s="17"/>
      <c r="J23" s="17"/>
      <c r="K23" s="17"/>
      <c r="L23" s="17"/>
      <c r="M23" s="17"/>
      <c r="N23" s="17"/>
      <c r="O23" s="17"/>
      <c r="P23" s="17"/>
      <c r="Q23" s="17"/>
    </row>
    <row r="24" spans="1:17" ht="35.1" customHeight="1" x14ac:dyDescent="0.2">
      <c r="A24" s="335" t="s">
        <v>14</v>
      </c>
      <c r="B24" s="336"/>
      <c r="C24" s="336"/>
      <c r="D24" s="336"/>
      <c r="E24" s="336"/>
      <c r="F24" s="337"/>
      <c r="G24" s="11">
        <f>SUM(G2:G23)</f>
        <v>22.418650793650794</v>
      </c>
      <c r="H24" s="68"/>
      <c r="I24" s="17"/>
      <c r="J24" s="17"/>
      <c r="K24" s="17"/>
      <c r="L24" s="17"/>
      <c r="M24" s="17"/>
      <c r="N24" s="17"/>
      <c r="O24" s="17"/>
      <c r="P24" s="17"/>
      <c r="Q24" s="17"/>
    </row>
    <row r="25" spans="1:17" ht="25.5" x14ac:dyDescent="0.2">
      <c r="A25" s="338" t="s">
        <v>15</v>
      </c>
      <c r="B25" s="339"/>
      <c r="C25" s="339"/>
      <c r="D25" s="339"/>
      <c r="E25" s="339"/>
      <c r="F25" s="340"/>
      <c r="G25" s="12">
        <f>G24/2</f>
        <v>11.209325396825397</v>
      </c>
      <c r="H25" s="68"/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"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spans="1:17" x14ac:dyDescent="0.2"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"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 spans="1:17" x14ac:dyDescent="0.2"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1:17" x14ac:dyDescent="0.2"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spans="1:17" x14ac:dyDescent="0.2"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spans="1:17" x14ac:dyDescent="0.2"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spans="8:17" x14ac:dyDescent="0.2"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8:17" x14ac:dyDescent="0.2"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8:17" x14ac:dyDescent="0.2"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spans="8:17" x14ac:dyDescent="0.2"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 spans="8:17" x14ac:dyDescent="0.2"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8:17" x14ac:dyDescent="0.2"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8:17" x14ac:dyDescent="0.2">
      <c r="H39" s="17"/>
      <c r="I39" s="17"/>
      <c r="J39" s="17"/>
      <c r="K39" s="17"/>
      <c r="L39" s="17"/>
      <c r="M39" s="17"/>
      <c r="N39" s="17"/>
      <c r="O39" s="17"/>
      <c r="P39" s="17"/>
      <c r="Q39" s="17"/>
    </row>
    <row r="40" spans="8:17" x14ac:dyDescent="0.2">
      <c r="H40" s="17"/>
      <c r="I40" s="17"/>
      <c r="J40" s="17"/>
      <c r="K40" s="17"/>
      <c r="L40" s="17"/>
      <c r="M40" s="17"/>
      <c r="N40" s="17"/>
      <c r="O40" s="17"/>
      <c r="P40" s="17"/>
      <c r="Q40" s="17"/>
    </row>
  </sheetData>
  <mergeCells count="2">
    <mergeCell ref="A24:F24"/>
    <mergeCell ref="A25:F25"/>
  </mergeCells>
  <phoneticPr fontId="1" type="noConversion"/>
  <pageMargins left="0.7" right="0.7" top="0.75" bottom="0.75" header="0.3" footer="0.3"/>
  <pageSetup paperSize="9"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8F11-184F-4D77-937C-52403CB1E37A}">
  <dimension ref="A1:M79"/>
  <sheetViews>
    <sheetView topLeftCell="A2" zoomScaleNormal="100" workbookViewId="0">
      <pane ySplit="1" topLeftCell="A63" activePane="bottomLeft" state="frozen"/>
      <selection activeCell="A2" sqref="A2"/>
      <selection pane="bottomLeft" activeCell="B91" sqref="B91"/>
    </sheetView>
  </sheetViews>
  <sheetFormatPr defaultRowHeight="11.25" x14ac:dyDescent="0.2"/>
  <cols>
    <col min="1" max="1" width="13.6640625" customWidth="1"/>
    <col min="2" max="2" width="149" customWidth="1"/>
    <col min="3" max="3" width="16.83203125" customWidth="1"/>
    <col min="4" max="4" width="0" hidden="1" customWidth="1"/>
    <col min="5" max="5" width="21" hidden="1" customWidth="1"/>
    <col min="6" max="6" width="20.33203125" hidden="1" customWidth="1"/>
    <col min="7" max="7" width="16.83203125" customWidth="1"/>
    <col min="8" max="8" width="19" customWidth="1"/>
  </cols>
  <sheetData>
    <row r="1" spans="1:8" ht="26.25" hidden="1" x14ac:dyDescent="0.4">
      <c r="B1" s="78" t="s">
        <v>938</v>
      </c>
    </row>
    <row r="2" spans="1:8" ht="65.25" customHeight="1" x14ac:dyDescent="0.2">
      <c r="A2" s="106" t="s">
        <v>599</v>
      </c>
      <c r="B2" s="108" t="s">
        <v>595</v>
      </c>
      <c r="C2" s="29" t="s">
        <v>785</v>
      </c>
      <c r="D2" s="30" t="s">
        <v>620</v>
      </c>
      <c r="E2" s="32" t="s">
        <v>936</v>
      </c>
      <c r="F2" s="31" t="s">
        <v>3</v>
      </c>
      <c r="G2" s="32" t="s">
        <v>35</v>
      </c>
      <c r="H2" s="32" t="s">
        <v>905</v>
      </c>
    </row>
    <row r="3" spans="1:8" ht="65.25" customHeight="1" x14ac:dyDescent="0.2">
      <c r="A3" s="106"/>
      <c r="B3" s="122" t="s">
        <v>1262</v>
      </c>
      <c r="C3" s="28"/>
      <c r="D3" s="28"/>
      <c r="E3" s="28"/>
      <c r="F3" s="28"/>
      <c r="G3" s="28"/>
      <c r="H3" s="225"/>
    </row>
    <row r="4" spans="1:8" ht="18.75" x14ac:dyDescent="0.2">
      <c r="A4" s="219">
        <v>11063</v>
      </c>
      <c r="B4" s="109" t="s">
        <v>3589</v>
      </c>
      <c r="C4" s="59" t="s">
        <v>3578</v>
      </c>
      <c r="D4" s="22"/>
      <c r="E4" s="301">
        <v>21.6</v>
      </c>
      <c r="F4" s="298">
        <v>4.6296296296296294E-2</v>
      </c>
      <c r="G4" s="302">
        <v>237.60000000000002</v>
      </c>
      <c r="H4" s="303">
        <v>2.5252525252525251</v>
      </c>
    </row>
    <row r="5" spans="1:8" ht="18.75" x14ac:dyDescent="0.2">
      <c r="A5" s="219">
        <v>11064</v>
      </c>
      <c r="B5" s="109" t="s">
        <v>3588</v>
      </c>
      <c r="C5" s="59" t="s">
        <v>3579</v>
      </c>
      <c r="D5" s="22"/>
      <c r="E5" s="301">
        <v>21.6</v>
      </c>
      <c r="F5" s="298">
        <v>4.6296296296296294E-2</v>
      </c>
      <c r="G5" s="302">
        <v>237.60000000000002</v>
      </c>
      <c r="H5" s="303">
        <v>2.5252525252525251</v>
      </c>
    </row>
    <row r="6" spans="1:8" ht="18.75" x14ac:dyDescent="0.2">
      <c r="A6" s="219">
        <v>11065</v>
      </c>
      <c r="B6" s="109" t="s">
        <v>3587</v>
      </c>
      <c r="C6" s="59" t="s">
        <v>3578</v>
      </c>
      <c r="D6" s="22"/>
      <c r="E6" s="301">
        <v>21.6</v>
      </c>
      <c r="F6" s="298">
        <v>4.6296296296296294E-2</v>
      </c>
      <c r="G6" s="302">
        <v>237.60000000000002</v>
      </c>
      <c r="H6" s="303">
        <v>2.5252525252525251</v>
      </c>
    </row>
    <row r="7" spans="1:8" ht="18.75" x14ac:dyDescent="0.2">
      <c r="A7" s="219">
        <v>11066</v>
      </c>
      <c r="B7" s="109" t="s">
        <v>3586</v>
      </c>
      <c r="C7" s="59" t="s">
        <v>3579</v>
      </c>
      <c r="D7" s="22"/>
      <c r="E7" s="301">
        <v>21.6</v>
      </c>
      <c r="F7" s="298">
        <v>4.6296296296296294E-2</v>
      </c>
      <c r="G7" s="302">
        <v>237.60000000000002</v>
      </c>
      <c r="H7" s="303">
        <v>2.5252525252525251</v>
      </c>
    </row>
    <row r="8" spans="1:8" ht="27.75" x14ac:dyDescent="0.2">
      <c r="B8" s="199" t="s">
        <v>827</v>
      </c>
      <c r="C8" s="53"/>
      <c r="D8" s="300">
        <v>1</v>
      </c>
      <c r="E8" s="53"/>
      <c r="F8" s="53"/>
      <c r="G8" s="53"/>
      <c r="H8" s="222"/>
    </row>
    <row r="9" spans="1:8" ht="20.25" x14ac:dyDescent="0.2">
      <c r="A9" s="305" t="s">
        <v>3582</v>
      </c>
      <c r="B9" s="120" t="s">
        <v>3584</v>
      </c>
      <c r="C9" s="297" t="s">
        <v>1</v>
      </c>
      <c r="D9" s="300"/>
      <c r="E9" s="301">
        <v>18.181818181818183</v>
      </c>
      <c r="F9" s="298">
        <v>5.5E-2</v>
      </c>
      <c r="G9" s="302">
        <v>200</v>
      </c>
      <c r="H9" s="303">
        <v>3</v>
      </c>
    </row>
    <row r="10" spans="1:8" ht="20.25" x14ac:dyDescent="0.2">
      <c r="A10" s="305" t="s">
        <v>3583</v>
      </c>
      <c r="B10" s="120" t="s">
        <v>3585</v>
      </c>
      <c r="C10" s="297" t="s">
        <v>1</v>
      </c>
      <c r="D10" s="300"/>
      <c r="E10" s="301">
        <v>13.636363636363637</v>
      </c>
      <c r="F10" s="298">
        <v>7.3333333333333334E-2</v>
      </c>
      <c r="G10" s="302">
        <v>150</v>
      </c>
      <c r="H10" s="303">
        <v>4</v>
      </c>
    </row>
    <row r="11" spans="1:8" ht="20.25" x14ac:dyDescent="0.2">
      <c r="A11" s="305" t="s">
        <v>3580</v>
      </c>
      <c r="B11" s="120" t="s">
        <v>3581</v>
      </c>
      <c r="C11" s="297" t="s">
        <v>1</v>
      </c>
      <c r="D11" s="300">
        <v>1</v>
      </c>
      <c r="E11" s="301">
        <v>27.272727272727273</v>
      </c>
      <c r="F11" s="298">
        <v>3.6666666666666667E-2</v>
      </c>
      <c r="G11" s="302">
        <v>300</v>
      </c>
      <c r="H11" s="303">
        <v>2</v>
      </c>
    </row>
    <row r="12" spans="1:8" ht="15.75" x14ac:dyDescent="0.2">
      <c r="B12" s="122" t="s">
        <v>941</v>
      </c>
    </row>
    <row r="13" spans="1:8" ht="18.75" x14ac:dyDescent="0.2">
      <c r="A13" s="254" t="s">
        <v>3590</v>
      </c>
      <c r="B13" s="109" t="s">
        <v>3594</v>
      </c>
      <c r="C13" s="59" t="s">
        <v>3578</v>
      </c>
      <c r="D13" s="22"/>
      <c r="E13" s="301">
        <v>10.363636363636362</v>
      </c>
      <c r="F13" s="298">
        <v>9.6491228070175447E-2</v>
      </c>
      <c r="G13" s="302">
        <v>113.99999999999999</v>
      </c>
      <c r="H13" s="303">
        <v>5.2631578947368425</v>
      </c>
    </row>
    <row r="14" spans="1:8" ht="18.75" x14ac:dyDescent="0.2">
      <c r="A14" s="254" t="s">
        <v>3591</v>
      </c>
      <c r="B14" s="109" t="s">
        <v>3597</v>
      </c>
      <c r="C14" s="59" t="s">
        <v>3579</v>
      </c>
      <c r="D14" s="22"/>
      <c r="E14" s="301">
        <v>10.363636363636362</v>
      </c>
      <c r="F14" s="298">
        <v>9.6491228070175447E-2</v>
      </c>
      <c r="G14" s="302">
        <v>113.99999999999999</v>
      </c>
      <c r="H14" s="303">
        <v>5.2631578947368425</v>
      </c>
    </row>
    <row r="15" spans="1:8" ht="18.75" x14ac:dyDescent="0.2">
      <c r="A15" s="254" t="s">
        <v>3592</v>
      </c>
      <c r="B15" s="109" t="s">
        <v>3595</v>
      </c>
      <c r="C15" s="59" t="s">
        <v>3578</v>
      </c>
      <c r="D15" s="22"/>
      <c r="E15" s="301">
        <v>10.363636363636362</v>
      </c>
      <c r="F15" s="298">
        <v>9.6491228070175447E-2</v>
      </c>
      <c r="G15" s="302">
        <v>113.99999999999999</v>
      </c>
      <c r="H15" s="303">
        <v>5.2631578947368425</v>
      </c>
    </row>
    <row r="16" spans="1:8" ht="18.75" x14ac:dyDescent="0.2">
      <c r="A16" s="254" t="s">
        <v>3593</v>
      </c>
      <c r="B16" s="109" t="s">
        <v>3596</v>
      </c>
      <c r="C16" s="59" t="s">
        <v>3579</v>
      </c>
      <c r="D16" s="22"/>
      <c r="E16" s="301">
        <v>10.363636363636362</v>
      </c>
      <c r="F16" s="298">
        <v>9.6491228070175447E-2</v>
      </c>
      <c r="G16" s="302">
        <v>113.99999999999999</v>
      </c>
      <c r="H16" s="303">
        <v>5.2631578947368425</v>
      </c>
    </row>
    <row r="17" spans="1:8" ht="18.75" x14ac:dyDescent="0.2">
      <c r="A17" s="106"/>
      <c r="B17" s="118" t="s">
        <v>3603</v>
      </c>
      <c r="C17" s="52"/>
      <c r="D17" s="28"/>
      <c r="E17" s="28"/>
      <c r="F17" s="28"/>
      <c r="G17" s="28"/>
      <c r="H17" s="225"/>
    </row>
    <row r="18" spans="1:8" ht="18.75" x14ac:dyDescent="0.2">
      <c r="A18" s="106" t="s">
        <v>2076</v>
      </c>
      <c r="B18" s="162" t="s">
        <v>3598</v>
      </c>
      <c r="C18" s="297" t="s">
        <v>167</v>
      </c>
      <c r="D18" s="300">
        <v>1</v>
      </c>
      <c r="E18" s="301">
        <v>25</v>
      </c>
      <c r="F18" s="298">
        <v>0.04</v>
      </c>
      <c r="G18" s="302">
        <v>275</v>
      </c>
      <c r="H18" s="303">
        <v>2</v>
      </c>
    </row>
    <row r="19" spans="1:8" ht="18.75" x14ac:dyDescent="0.2">
      <c r="A19" s="106" t="s">
        <v>2077</v>
      </c>
      <c r="B19" s="162" t="s">
        <v>3599</v>
      </c>
      <c r="C19" s="297" t="s">
        <v>167</v>
      </c>
      <c r="D19" s="300">
        <v>1</v>
      </c>
      <c r="E19" s="301">
        <v>20.833333333333336</v>
      </c>
      <c r="F19" s="298">
        <v>4.7999999999999994E-2</v>
      </c>
      <c r="G19" s="302">
        <v>229.16666666666669</v>
      </c>
      <c r="H19" s="303">
        <v>2.4</v>
      </c>
    </row>
    <row r="20" spans="1:8" ht="18.75" x14ac:dyDescent="0.2">
      <c r="A20" s="106" t="s">
        <v>2078</v>
      </c>
      <c r="B20" s="162" t="s">
        <v>3600</v>
      </c>
      <c r="C20" s="297" t="s">
        <v>167</v>
      </c>
      <c r="D20" s="300">
        <v>1</v>
      </c>
      <c r="E20" s="301">
        <v>13.888888888888888</v>
      </c>
      <c r="F20" s="298">
        <v>7.2000000000000008E-2</v>
      </c>
      <c r="G20" s="302">
        <v>152.77777777777777</v>
      </c>
      <c r="H20" s="303">
        <v>3.6</v>
      </c>
    </row>
    <row r="21" spans="1:8" ht="18.75" x14ac:dyDescent="0.2">
      <c r="A21" s="106" t="s">
        <v>2079</v>
      </c>
      <c r="B21" s="162" t="s">
        <v>3601</v>
      </c>
      <c r="C21" s="297" t="s">
        <v>167</v>
      </c>
      <c r="D21" s="300">
        <v>1</v>
      </c>
      <c r="E21" s="301">
        <v>10.416666666666668</v>
      </c>
      <c r="F21" s="298">
        <v>9.5999999999999988E-2</v>
      </c>
      <c r="G21" s="302">
        <v>114.58333333333334</v>
      </c>
      <c r="H21" s="303">
        <v>4.8</v>
      </c>
    </row>
    <row r="22" spans="1:8" ht="18.75" x14ac:dyDescent="0.2">
      <c r="A22" s="106" t="s">
        <v>2080</v>
      </c>
      <c r="B22" s="162" t="s">
        <v>3602</v>
      </c>
      <c r="C22" s="297" t="s">
        <v>167</v>
      </c>
      <c r="D22" s="300">
        <v>1</v>
      </c>
      <c r="E22" s="301">
        <v>8.3333333333333339</v>
      </c>
      <c r="F22" s="298">
        <v>0.12</v>
      </c>
      <c r="G22" s="302">
        <v>91.666666666666671</v>
      </c>
      <c r="H22" s="303">
        <v>6</v>
      </c>
    </row>
    <row r="23" spans="1:8" ht="18.75" x14ac:dyDescent="0.2">
      <c r="A23" s="106"/>
      <c r="B23" s="118" t="s">
        <v>165</v>
      </c>
      <c r="C23" s="28"/>
      <c r="D23" s="28"/>
      <c r="E23" s="28"/>
      <c r="F23" s="28"/>
      <c r="G23" s="28"/>
      <c r="H23" s="225"/>
    </row>
    <row r="24" spans="1:8" ht="18.75" x14ac:dyDescent="0.2">
      <c r="A24" s="106" t="s">
        <v>2083</v>
      </c>
      <c r="B24" s="166" t="s">
        <v>786</v>
      </c>
      <c r="C24" s="297" t="s">
        <v>167</v>
      </c>
      <c r="D24" s="300">
        <v>1</v>
      </c>
      <c r="E24" s="301">
        <v>8.9393939393939394</v>
      </c>
      <c r="F24" s="298">
        <v>0.11186440677966102</v>
      </c>
      <c r="G24" s="302">
        <v>98.333333333333329</v>
      </c>
      <c r="H24" s="303">
        <v>6</v>
      </c>
    </row>
    <row r="25" spans="1:8" ht="18.75" x14ac:dyDescent="0.2">
      <c r="A25" s="106" t="s">
        <v>2084</v>
      </c>
      <c r="B25" s="166" t="s">
        <v>787</v>
      </c>
      <c r="C25" s="297" t="s">
        <v>167</v>
      </c>
      <c r="D25" s="22">
        <v>1</v>
      </c>
      <c r="E25" s="301">
        <v>6.7045454545454541</v>
      </c>
      <c r="F25" s="298">
        <v>0.14915254237288136</v>
      </c>
      <c r="G25" s="302">
        <v>73.75</v>
      </c>
      <c r="H25" s="303">
        <v>8</v>
      </c>
    </row>
    <row r="26" spans="1:8" ht="20.25" x14ac:dyDescent="0.2">
      <c r="A26" s="217"/>
      <c r="B26" s="140" t="s">
        <v>2997</v>
      </c>
      <c r="C26" s="38"/>
      <c r="D26" s="38"/>
      <c r="E26" s="38"/>
      <c r="F26" s="298" t="e">
        <v>#DIV/0!</v>
      </c>
      <c r="G26" s="38"/>
      <c r="H26" s="224"/>
    </row>
    <row r="27" spans="1:8" ht="20.25" x14ac:dyDescent="0.2">
      <c r="A27" s="218" t="s">
        <v>1953</v>
      </c>
      <c r="B27" s="125" t="s">
        <v>3008</v>
      </c>
      <c r="C27" s="297" t="s">
        <v>1</v>
      </c>
      <c r="D27" s="300">
        <v>1</v>
      </c>
      <c r="E27" s="301">
        <v>28.065579905044789</v>
      </c>
      <c r="F27" s="298">
        <v>3.5630833333333327E-2</v>
      </c>
      <c r="G27" s="302">
        <v>308.7213789554927</v>
      </c>
      <c r="H27" s="316">
        <v>1.9434999999999998</v>
      </c>
    </row>
    <row r="28" spans="1:8" ht="20.25" x14ac:dyDescent="0.2">
      <c r="A28" s="218" t="s">
        <v>1954</v>
      </c>
      <c r="B28" s="125" t="s">
        <v>3009</v>
      </c>
      <c r="C28" s="297" t="s">
        <v>1</v>
      </c>
      <c r="D28" s="300">
        <v>1</v>
      </c>
      <c r="E28" s="301">
        <v>25.518341307814989</v>
      </c>
      <c r="F28" s="298">
        <v>3.9187500000000007E-2</v>
      </c>
      <c r="G28" s="302">
        <v>280.70175438596488</v>
      </c>
      <c r="H28" s="316">
        <v>2.1375000000000002</v>
      </c>
    </row>
    <row r="29" spans="1:8" ht="20.25" x14ac:dyDescent="0.2">
      <c r="A29" s="218" t="s">
        <v>1955</v>
      </c>
      <c r="B29" s="125" t="s">
        <v>3010</v>
      </c>
      <c r="C29" s="297" t="s">
        <v>1</v>
      </c>
      <c r="D29" s="300">
        <v>1</v>
      </c>
      <c r="E29" s="301">
        <v>26.719630912831658</v>
      </c>
      <c r="F29" s="298">
        <v>3.7425666666666663E-2</v>
      </c>
      <c r="G29" s="302">
        <v>293.91594004114825</v>
      </c>
      <c r="H29" s="316">
        <v>2.0413999999999999</v>
      </c>
    </row>
    <row r="30" spans="1:8" ht="20.25" x14ac:dyDescent="0.2">
      <c r="A30" s="218" t="s">
        <v>1956</v>
      </c>
      <c r="B30" s="125" t="s">
        <v>3011</v>
      </c>
      <c r="C30" s="297" t="s">
        <v>1</v>
      </c>
      <c r="D30" s="300">
        <v>1</v>
      </c>
      <c r="E30" s="301">
        <v>24.350649350649348</v>
      </c>
      <c r="F30" s="298">
        <v>4.1066666666666668E-2</v>
      </c>
      <c r="G30" s="302">
        <v>267.85714285714283</v>
      </c>
      <c r="H30" s="316">
        <v>2.2400000000000002</v>
      </c>
    </row>
    <row r="31" spans="1:8" ht="20.25" x14ac:dyDescent="0.2">
      <c r="A31" s="218" t="s">
        <v>1957</v>
      </c>
      <c r="B31" s="125" t="s">
        <v>3012</v>
      </c>
      <c r="C31" s="297" t="s">
        <v>1</v>
      </c>
      <c r="D31" s="300">
        <v>1</v>
      </c>
      <c r="E31" s="301">
        <v>24.65331278890601</v>
      </c>
      <c r="F31" s="298">
        <v>4.0562499999999994E-2</v>
      </c>
      <c r="G31" s="302">
        <v>271.18644067796612</v>
      </c>
      <c r="H31" s="316">
        <v>2.2124999999999999</v>
      </c>
    </row>
    <row r="32" spans="1:8" ht="20.25" x14ac:dyDescent="0.2">
      <c r="A32" s="218" t="s">
        <v>1958</v>
      </c>
      <c r="B32" s="125" t="s">
        <v>3013</v>
      </c>
      <c r="C32" s="297" t="s">
        <v>1</v>
      </c>
      <c r="D32" s="300">
        <v>1</v>
      </c>
      <c r="E32" s="301">
        <v>22.572089611195757</v>
      </c>
      <c r="F32" s="298">
        <v>4.4302500000000002E-2</v>
      </c>
      <c r="G32" s="302">
        <v>248.29298572315332</v>
      </c>
      <c r="H32" s="316">
        <v>2.4165000000000001</v>
      </c>
    </row>
    <row r="33" spans="1:8" ht="20.25" x14ac:dyDescent="0.2">
      <c r="A33" s="218" t="s">
        <v>1959</v>
      </c>
      <c r="B33" s="125" t="s">
        <v>3014</v>
      </c>
      <c r="C33" s="297" t="s">
        <v>1</v>
      </c>
      <c r="D33" s="300">
        <v>1</v>
      </c>
      <c r="E33" s="301">
        <v>22.116255868272038</v>
      </c>
      <c r="F33" s="298">
        <v>4.5215610000000003E-2</v>
      </c>
      <c r="G33" s="302">
        <v>243.27881455099242</v>
      </c>
      <c r="H33" s="316">
        <v>2.4663060000000003</v>
      </c>
    </row>
    <row r="34" spans="1:8" ht="20.25" x14ac:dyDescent="0.2">
      <c r="A34" s="218" t="s">
        <v>1960</v>
      </c>
      <c r="B34" s="125" t="s">
        <v>3015</v>
      </c>
      <c r="C34" s="297" t="s">
        <v>1</v>
      </c>
      <c r="D34" s="300">
        <v>1</v>
      </c>
      <c r="E34" s="301">
        <v>20.539043077767388</v>
      </c>
      <c r="F34" s="298">
        <v>4.8687760000000004E-2</v>
      </c>
      <c r="G34" s="302">
        <v>225.92947385544127</v>
      </c>
      <c r="H34" s="316">
        <v>2.6556960000000003</v>
      </c>
    </row>
    <row r="35" spans="1:8" ht="20.25" x14ac:dyDescent="0.2">
      <c r="A35" s="315" t="s">
        <v>1961</v>
      </c>
      <c r="B35" s="125" t="s">
        <v>3016</v>
      </c>
      <c r="C35" s="297" t="s">
        <v>1</v>
      </c>
      <c r="D35" s="300">
        <v>1</v>
      </c>
      <c r="E35" s="301">
        <v>21.638066552201295</v>
      </c>
      <c r="F35" s="298">
        <v>4.6214850000000002E-2</v>
      </c>
      <c r="G35" s="302">
        <v>238.01873207421423</v>
      </c>
      <c r="H35" s="316">
        <v>2.52081</v>
      </c>
    </row>
    <row r="36" spans="1:8" ht="20.25" x14ac:dyDescent="0.2">
      <c r="A36" s="315" t="s">
        <v>1962</v>
      </c>
      <c r="B36" s="125" t="s">
        <v>3017</v>
      </c>
      <c r="C36" s="297" t="s">
        <v>1</v>
      </c>
      <c r="D36" s="300">
        <v>1</v>
      </c>
      <c r="E36" s="301">
        <v>20.099705257922096</v>
      </c>
      <c r="F36" s="298">
        <v>4.9751973333333338E-2</v>
      </c>
      <c r="G36" s="302">
        <v>221.09675783714306</v>
      </c>
      <c r="H36" s="316">
        <v>2.7137440000000002</v>
      </c>
    </row>
    <row r="37" spans="1:8" ht="20.25" x14ac:dyDescent="0.2">
      <c r="A37" s="315" t="s">
        <v>1963</v>
      </c>
      <c r="B37" s="125" t="s">
        <v>3018</v>
      </c>
      <c r="C37" s="297" t="s">
        <v>1</v>
      </c>
      <c r="D37" s="300">
        <v>1</v>
      </c>
      <c r="E37" s="301">
        <v>16.669571339472569</v>
      </c>
      <c r="F37" s="298">
        <v>5.9989544999999998E-2</v>
      </c>
      <c r="G37" s="302">
        <v>183.36528473419827</v>
      </c>
      <c r="H37" s="316">
        <v>3.272157</v>
      </c>
    </row>
    <row r="38" spans="1:8" ht="20.25" x14ac:dyDescent="0.2">
      <c r="A38" s="315" t="s">
        <v>1964</v>
      </c>
      <c r="B38" s="125" t="s">
        <v>3019</v>
      </c>
      <c r="C38" s="297" t="s">
        <v>1</v>
      </c>
      <c r="D38" s="300">
        <v>1</v>
      </c>
      <c r="E38" s="301">
        <v>15.206512036714605</v>
      </c>
      <c r="F38" s="298">
        <v>6.5761299999999995E-2</v>
      </c>
      <c r="G38" s="302">
        <v>167.27163240386065</v>
      </c>
      <c r="H38" s="316">
        <v>3.5869799999999996</v>
      </c>
    </row>
    <row r="39" spans="1:8" ht="20.25" x14ac:dyDescent="0.2">
      <c r="A39" s="315" t="s">
        <v>1965</v>
      </c>
      <c r="B39" s="125" t="s">
        <v>3020</v>
      </c>
      <c r="C39" s="297" t="s">
        <v>1</v>
      </c>
      <c r="D39" s="300">
        <v>1</v>
      </c>
      <c r="E39" s="301">
        <v>12.451270396892959</v>
      </c>
      <c r="F39" s="298">
        <v>8.0313090000000018E-2</v>
      </c>
      <c r="G39" s="302">
        <v>136.96397436582254</v>
      </c>
      <c r="H39" s="316">
        <v>4.3807140000000002</v>
      </c>
    </row>
    <row r="40" spans="1:8" ht="20.25" x14ac:dyDescent="0.2">
      <c r="A40" s="315" t="s">
        <v>1966</v>
      </c>
      <c r="B40" s="125" t="s">
        <v>3021</v>
      </c>
      <c r="C40" s="297" t="s">
        <v>1</v>
      </c>
      <c r="D40" s="300">
        <v>1</v>
      </c>
      <c r="E40" s="301">
        <v>11.2645086871891</v>
      </c>
      <c r="F40" s="298">
        <v>8.8774400000000003E-2</v>
      </c>
      <c r="G40" s="302">
        <v>123.90959555908009</v>
      </c>
      <c r="H40" s="316">
        <v>4.8422400000000003</v>
      </c>
    </row>
    <row r="41" spans="1:8" ht="18.75" x14ac:dyDescent="0.2">
      <c r="A41" s="106"/>
      <c r="B41" s="174" t="s">
        <v>3609</v>
      </c>
      <c r="C41" s="72"/>
      <c r="D41" s="72"/>
      <c r="E41" s="73"/>
      <c r="F41" s="73"/>
      <c r="G41" s="73"/>
      <c r="H41" s="236"/>
    </row>
    <row r="42" spans="1:8" ht="31.5" x14ac:dyDescent="0.2">
      <c r="A42" s="254" t="s">
        <v>3604</v>
      </c>
      <c r="B42" s="126" t="s">
        <v>3637</v>
      </c>
      <c r="C42" s="299" t="s">
        <v>968</v>
      </c>
      <c r="D42" s="22">
        <v>1</v>
      </c>
      <c r="E42" s="301">
        <v>109.09090909090909</v>
      </c>
      <c r="F42" s="298">
        <v>9.1666666666666667E-3</v>
      </c>
      <c r="G42" s="302">
        <v>1200</v>
      </c>
      <c r="H42" s="303">
        <v>0.5</v>
      </c>
    </row>
    <row r="43" spans="1:8" ht="18.75" x14ac:dyDescent="0.2">
      <c r="A43" s="254" t="s">
        <v>3607</v>
      </c>
      <c r="B43" s="125" t="s">
        <v>3633</v>
      </c>
      <c r="C43" s="299" t="s">
        <v>132</v>
      </c>
      <c r="D43" s="300">
        <v>1</v>
      </c>
      <c r="E43" s="301">
        <v>24.793388429752063</v>
      </c>
      <c r="F43" s="298">
        <v>4.0333333333333339E-2</v>
      </c>
      <c r="G43" s="302">
        <v>272.72727272727269</v>
      </c>
      <c r="H43" s="317">
        <v>2.2000000000000002</v>
      </c>
    </row>
    <row r="44" spans="1:8" ht="18.75" x14ac:dyDescent="0.2">
      <c r="A44" s="254" t="s">
        <v>3608</v>
      </c>
      <c r="B44" s="125" t="s">
        <v>3634</v>
      </c>
      <c r="C44" s="299" t="s">
        <v>132</v>
      </c>
      <c r="D44" s="300">
        <v>1</v>
      </c>
      <c r="E44" s="301">
        <v>21.818181818181817</v>
      </c>
      <c r="F44" s="298">
        <v>4.583333333333333E-2</v>
      </c>
      <c r="G44" s="302">
        <v>240</v>
      </c>
      <c r="H44" s="317">
        <v>2.5</v>
      </c>
    </row>
    <row r="45" spans="1:8" ht="18.75" x14ac:dyDescent="0.2">
      <c r="A45" s="254" t="s">
        <v>3605</v>
      </c>
      <c r="B45" s="125" t="s">
        <v>3635</v>
      </c>
      <c r="C45" s="299" t="s">
        <v>132</v>
      </c>
      <c r="D45" s="300">
        <v>1</v>
      </c>
      <c r="E45" s="301">
        <v>20.524328170324555</v>
      </c>
      <c r="F45" s="298">
        <v>4.8722666666666671E-2</v>
      </c>
      <c r="G45" s="302">
        <v>225.76760987357011</v>
      </c>
      <c r="H45" s="317">
        <v>2.6576000000000004</v>
      </c>
    </row>
    <row r="46" spans="1:8" ht="18.75" x14ac:dyDescent="0.2">
      <c r="A46" s="254" t="s">
        <v>3606</v>
      </c>
      <c r="B46" s="125" t="s">
        <v>3636</v>
      </c>
      <c r="C46" s="299" t="s">
        <v>132</v>
      </c>
      <c r="D46" s="300">
        <v>1</v>
      </c>
      <c r="E46" s="301">
        <v>18.061408789885611</v>
      </c>
      <c r="F46" s="298">
        <v>5.5366666666666661E-2</v>
      </c>
      <c r="G46" s="302">
        <v>198.67549668874173</v>
      </c>
      <c r="H46" s="317">
        <v>3.02</v>
      </c>
    </row>
    <row r="47" spans="1:8" ht="26.25" customHeight="1" x14ac:dyDescent="0.2">
      <c r="A47" s="106"/>
      <c r="B47" s="118" t="s">
        <v>1477</v>
      </c>
      <c r="C47" s="28"/>
      <c r="D47" s="28"/>
      <c r="E47" s="28"/>
      <c r="F47" s="28"/>
      <c r="G47" s="28"/>
      <c r="H47" s="225"/>
    </row>
    <row r="48" spans="1:8" ht="20.25" x14ac:dyDescent="0.2">
      <c r="A48" s="106" t="s">
        <v>1738</v>
      </c>
      <c r="B48" s="119" t="s">
        <v>1413</v>
      </c>
      <c r="C48" s="297" t="s">
        <v>1</v>
      </c>
      <c r="D48" s="22">
        <v>1</v>
      </c>
      <c r="E48" s="301">
        <v>23.18181818181818</v>
      </c>
      <c r="F48" s="298">
        <v>4.3137254901960791E-2</v>
      </c>
      <c r="G48" s="302">
        <v>254.99999999999997</v>
      </c>
      <c r="H48" s="317">
        <v>2.3137254901960786</v>
      </c>
    </row>
    <row r="49" spans="1:10" ht="20.25" x14ac:dyDescent="0.2">
      <c r="A49" s="106" t="s">
        <v>1739</v>
      </c>
      <c r="B49" s="119" t="s">
        <v>1414</v>
      </c>
      <c r="C49" s="297" t="s">
        <v>1</v>
      </c>
      <c r="D49" s="22">
        <v>1</v>
      </c>
      <c r="E49" s="301">
        <v>20.90909090909091</v>
      </c>
      <c r="F49" s="298">
        <v>4.7826086956521741E-2</v>
      </c>
      <c r="G49" s="302">
        <v>230</v>
      </c>
      <c r="H49" s="317">
        <v>2.5652173913043477</v>
      </c>
    </row>
    <row r="50" spans="1:10" ht="20.25" x14ac:dyDescent="0.2">
      <c r="A50" s="106" t="s">
        <v>1740</v>
      </c>
      <c r="B50" s="119" t="s">
        <v>1415</v>
      </c>
      <c r="C50" s="297" t="s">
        <v>1</v>
      </c>
      <c r="D50" s="22">
        <v>1</v>
      </c>
      <c r="E50" s="301">
        <v>19.545454545454547</v>
      </c>
      <c r="F50" s="298">
        <v>5.1162790697674418E-2</v>
      </c>
      <c r="G50" s="302">
        <v>215</v>
      </c>
      <c r="H50" s="317">
        <v>2.7441860465116279</v>
      </c>
    </row>
    <row r="51" spans="1:10" ht="20.25" x14ac:dyDescent="0.2">
      <c r="A51" s="106" t="s">
        <v>1741</v>
      </c>
      <c r="B51" s="119" t="s">
        <v>1416</v>
      </c>
      <c r="C51" s="297" t="s">
        <v>1</v>
      </c>
      <c r="D51" s="22">
        <v>1</v>
      </c>
      <c r="E51" s="301">
        <v>18.181818181818183</v>
      </c>
      <c r="F51" s="298">
        <v>5.5E-2</v>
      </c>
      <c r="G51" s="302">
        <v>200</v>
      </c>
      <c r="H51" s="317">
        <v>2.95</v>
      </c>
    </row>
    <row r="52" spans="1:10" ht="22.5" x14ac:dyDescent="0.2">
      <c r="B52" s="188" t="s">
        <v>1175</v>
      </c>
      <c r="J52" s="318"/>
    </row>
    <row r="53" spans="1:10" ht="18.75" x14ac:dyDescent="0.2">
      <c r="A53" s="219" t="s">
        <v>2446</v>
      </c>
      <c r="B53" s="257" t="s">
        <v>3379</v>
      </c>
      <c r="C53" s="297" t="s">
        <v>1</v>
      </c>
      <c r="D53" s="300">
        <v>1</v>
      </c>
      <c r="E53" s="301">
        <v>7.4529621154335084</v>
      </c>
      <c r="F53" s="298">
        <v>0.13417484008528791</v>
      </c>
      <c r="G53" s="302">
        <v>81.982583269768597</v>
      </c>
      <c r="H53" s="303">
        <v>7.318627641015703</v>
      </c>
      <c r="J53" s="318"/>
    </row>
    <row r="54" spans="1:10" ht="18.75" x14ac:dyDescent="0.2">
      <c r="A54" s="219" t="s">
        <v>2447</v>
      </c>
      <c r="B54" s="257" t="s">
        <v>3380</v>
      </c>
      <c r="C54" s="297" t="s">
        <v>1</v>
      </c>
      <c r="D54" s="300">
        <v>1</v>
      </c>
      <c r="E54" s="301">
        <v>3.1313259109311748</v>
      </c>
      <c r="F54" s="298">
        <v>0.31935353535353528</v>
      </c>
      <c r="G54" s="302">
        <v>34.444585020242926</v>
      </c>
      <c r="H54" s="303">
        <v>17.41928374655647</v>
      </c>
      <c r="J54" s="318"/>
    </row>
    <row r="55" spans="1:10" ht="18.75" x14ac:dyDescent="0.2">
      <c r="A55" s="219" t="s">
        <v>2448</v>
      </c>
      <c r="B55" s="257" t="s">
        <v>3381</v>
      </c>
      <c r="C55" s="297" t="s">
        <v>1</v>
      </c>
      <c r="D55" s="300">
        <v>1</v>
      </c>
      <c r="E55" s="301">
        <v>2.6515151515151518</v>
      </c>
      <c r="F55" s="298">
        <v>0.37714285714285711</v>
      </c>
      <c r="G55" s="302">
        <v>29.166666666666668</v>
      </c>
      <c r="H55" s="303">
        <v>20.571428571428569</v>
      </c>
      <c r="J55" s="318"/>
    </row>
    <row r="56" spans="1:10" ht="18.75" x14ac:dyDescent="0.2">
      <c r="A56" s="219" t="s">
        <v>2449</v>
      </c>
      <c r="B56" s="257" t="s">
        <v>3382</v>
      </c>
      <c r="C56" s="297" t="s">
        <v>1</v>
      </c>
      <c r="D56" s="300">
        <v>1</v>
      </c>
      <c r="E56" s="301">
        <v>6.598644815631892</v>
      </c>
      <c r="F56" s="298">
        <v>0.15154626865671647</v>
      </c>
      <c r="G56" s="302">
        <v>72.585092971950814</v>
      </c>
      <c r="H56" s="303">
        <v>8.2661601085481706</v>
      </c>
      <c r="J56" s="318"/>
    </row>
    <row r="57" spans="1:10" ht="18.75" x14ac:dyDescent="0.2">
      <c r="A57" s="219" t="s">
        <v>2450</v>
      </c>
      <c r="B57" s="257" t="s">
        <v>3383</v>
      </c>
      <c r="C57" s="297" t="s">
        <v>1</v>
      </c>
      <c r="D57" s="300">
        <v>1</v>
      </c>
      <c r="E57" s="301">
        <v>2.7138157894736841</v>
      </c>
      <c r="F57" s="298">
        <v>0.36848484848484853</v>
      </c>
      <c r="G57" s="302">
        <v>29.851973684210524</v>
      </c>
      <c r="H57" s="303">
        <v>20.099173553719009</v>
      </c>
      <c r="J57" s="318"/>
    </row>
    <row r="58" spans="1:10" ht="18.75" x14ac:dyDescent="0.2">
      <c r="A58" s="219" t="s">
        <v>2451</v>
      </c>
      <c r="B58" s="257" t="s">
        <v>3384</v>
      </c>
      <c r="C58" s="297" t="s">
        <v>1</v>
      </c>
      <c r="D58" s="300">
        <v>1</v>
      </c>
      <c r="E58" s="301">
        <v>2.335805084745763</v>
      </c>
      <c r="F58" s="298">
        <v>0.42811791383219955</v>
      </c>
      <c r="G58" s="302">
        <v>25.693855932203391</v>
      </c>
      <c r="H58" s="303">
        <v>23.351886209029065</v>
      </c>
      <c r="J58" s="318"/>
    </row>
    <row r="59" spans="1:10" ht="18.75" x14ac:dyDescent="0.2">
      <c r="A59" s="219" t="s">
        <v>2460</v>
      </c>
      <c r="B59" s="125" t="s">
        <v>3638</v>
      </c>
      <c r="C59" s="297" t="s">
        <v>1</v>
      </c>
      <c r="D59" s="300">
        <v>1</v>
      </c>
      <c r="E59" s="301">
        <v>2.8708133971291865</v>
      </c>
      <c r="F59" s="298">
        <v>0.34833333333333333</v>
      </c>
      <c r="G59" s="302">
        <v>31.578947368421051</v>
      </c>
      <c r="H59" s="303">
        <v>19</v>
      </c>
      <c r="J59" s="318"/>
    </row>
    <row r="60" spans="1:10" ht="18.75" x14ac:dyDescent="0.2">
      <c r="A60" s="219" t="s">
        <v>2461</v>
      </c>
      <c r="B60" s="125" t="s">
        <v>3639</v>
      </c>
      <c r="C60" s="297" t="s">
        <v>1</v>
      </c>
      <c r="D60" s="300">
        <v>1</v>
      </c>
      <c r="E60" s="301">
        <v>2.2083179977916818</v>
      </c>
      <c r="F60" s="298">
        <v>0.45283333333333331</v>
      </c>
      <c r="G60" s="302">
        <v>24.291497975708502</v>
      </c>
      <c r="H60" s="303">
        <v>24.7</v>
      </c>
      <c r="J60" s="318"/>
    </row>
    <row r="61" spans="1:10" ht="18.75" x14ac:dyDescent="0.2">
      <c r="A61" s="219" t="s">
        <v>2462</v>
      </c>
      <c r="B61" s="125" t="s">
        <v>3640</v>
      </c>
      <c r="C61" s="297" t="s">
        <v>1</v>
      </c>
      <c r="D61" s="300">
        <v>1</v>
      </c>
      <c r="E61" s="301">
        <v>1.7942583732057416</v>
      </c>
      <c r="F61" s="298">
        <v>0.55733333333333335</v>
      </c>
      <c r="G61" s="302">
        <v>19.736842105263158</v>
      </c>
      <c r="H61" s="303">
        <v>30.4</v>
      </c>
      <c r="J61" s="318"/>
    </row>
    <row r="62" spans="1:10" ht="18.75" x14ac:dyDescent="0.2">
      <c r="A62" s="219" t="s">
        <v>2463</v>
      </c>
      <c r="B62" s="125" t="s">
        <v>3641</v>
      </c>
      <c r="C62" s="297" t="s">
        <v>1</v>
      </c>
      <c r="D62" s="300">
        <v>1</v>
      </c>
      <c r="E62" s="301">
        <v>1.9138755980861246</v>
      </c>
      <c r="F62" s="298">
        <v>0.52249999999999996</v>
      </c>
      <c r="G62" s="302">
        <v>21.05263157894737</v>
      </c>
      <c r="H62" s="303">
        <v>28.5</v>
      </c>
      <c r="J62" s="318"/>
    </row>
    <row r="63" spans="1:10" ht="18.75" x14ac:dyDescent="0.2">
      <c r="A63" s="219" t="s">
        <v>2464</v>
      </c>
      <c r="B63" s="125" t="s">
        <v>3642</v>
      </c>
      <c r="C63" s="297" t="s">
        <v>1</v>
      </c>
      <c r="D63" s="300">
        <v>1</v>
      </c>
      <c r="E63" s="301">
        <v>1.4354066985645932</v>
      </c>
      <c r="F63" s="298">
        <v>0.69666666666666666</v>
      </c>
      <c r="G63" s="302">
        <v>15.789473684210526</v>
      </c>
      <c r="H63" s="303">
        <v>38</v>
      </c>
      <c r="J63" s="318"/>
    </row>
    <row r="64" spans="1:10" ht="18.75" x14ac:dyDescent="0.2">
      <c r="A64" s="219" t="s">
        <v>2465</v>
      </c>
      <c r="B64" s="125" t="s">
        <v>3643</v>
      </c>
      <c r="C64" s="297" t="s">
        <v>1</v>
      </c>
      <c r="D64" s="300">
        <v>1</v>
      </c>
      <c r="E64" s="301">
        <v>1.2057416267942582</v>
      </c>
      <c r="F64" s="298">
        <v>0.82936507936507942</v>
      </c>
      <c r="G64" s="302">
        <v>13.263157894736841</v>
      </c>
      <c r="H64" s="303">
        <v>45.238095238095241</v>
      </c>
      <c r="J64" s="318"/>
    </row>
    <row r="65" spans="1:13" ht="20.25" x14ac:dyDescent="0.2">
      <c r="A65" s="219" t="s">
        <v>2480</v>
      </c>
      <c r="B65" s="192" t="s">
        <v>3644</v>
      </c>
      <c r="C65" s="297" t="s">
        <v>1</v>
      </c>
      <c r="D65" s="300">
        <v>1</v>
      </c>
      <c r="E65" s="301">
        <v>3.8277511961722492</v>
      </c>
      <c r="F65" s="298">
        <v>0.26124999999999998</v>
      </c>
      <c r="G65" s="302">
        <v>42.10526315789474</v>
      </c>
      <c r="H65" s="303">
        <v>14.25</v>
      </c>
      <c r="J65" s="318"/>
    </row>
    <row r="66" spans="1:13" ht="20.25" x14ac:dyDescent="0.2">
      <c r="A66" s="219" t="s">
        <v>2481</v>
      </c>
      <c r="B66" s="192" t="s">
        <v>3645</v>
      </c>
      <c r="C66" s="297" t="s">
        <v>1</v>
      </c>
      <c r="D66" s="300">
        <v>1</v>
      </c>
      <c r="E66" s="301">
        <v>2.3923444976076556</v>
      </c>
      <c r="F66" s="298">
        <v>0.41799999999999998</v>
      </c>
      <c r="G66" s="302">
        <v>26.315789473684212</v>
      </c>
      <c r="H66" s="303">
        <v>22.799999999999997</v>
      </c>
      <c r="J66" s="318"/>
    </row>
    <row r="67" spans="1:13" ht="20.25" x14ac:dyDescent="0.2">
      <c r="A67" s="219" t="s">
        <v>2482</v>
      </c>
      <c r="B67" s="192" t="s">
        <v>3646</v>
      </c>
      <c r="C67" s="297" t="s">
        <v>1</v>
      </c>
      <c r="D67" s="300">
        <v>1</v>
      </c>
      <c r="E67" s="301">
        <v>1.6887137630171687</v>
      </c>
      <c r="F67" s="298">
        <v>0.59216666666666662</v>
      </c>
      <c r="G67" s="302">
        <v>18.575851393188856</v>
      </c>
      <c r="H67" s="303">
        <v>32.299999999999997</v>
      </c>
      <c r="J67" s="318"/>
    </row>
    <row r="68" spans="1:13" ht="20.25" x14ac:dyDescent="0.2">
      <c r="A68" s="219" t="s">
        <v>2483</v>
      </c>
      <c r="B68" s="192" t="s">
        <v>3647</v>
      </c>
      <c r="C68" s="297" t="s">
        <v>1</v>
      </c>
      <c r="D68" s="300">
        <v>1</v>
      </c>
      <c r="E68" s="301">
        <v>2.8708133971291865</v>
      </c>
      <c r="F68" s="298">
        <v>0.34833333333333333</v>
      </c>
      <c r="G68" s="302">
        <v>31.578947368421051</v>
      </c>
      <c r="H68" s="303">
        <v>19</v>
      </c>
      <c r="I68" s="319"/>
      <c r="J68" s="318"/>
      <c r="K68" s="319"/>
      <c r="L68" s="319"/>
      <c r="M68" s="319"/>
    </row>
    <row r="69" spans="1:13" ht="20.25" x14ac:dyDescent="0.2">
      <c r="A69" s="219" t="s">
        <v>2484</v>
      </c>
      <c r="B69" s="192" t="s">
        <v>3648</v>
      </c>
      <c r="C69" s="297" t="s">
        <v>1</v>
      </c>
      <c r="D69" s="300">
        <v>1</v>
      </c>
      <c r="E69" s="301">
        <v>1.883971291866029</v>
      </c>
      <c r="F69" s="298">
        <v>0.53079365079365071</v>
      </c>
      <c r="G69" s="302">
        <v>20.723684210526319</v>
      </c>
      <c r="H69" s="303">
        <v>28.952380952380949</v>
      </c>
      <c r="I69" s="319"/>
      <c r="J69" s="318"/>
      <c r="K69" s="319"/>
      <c r="L69" s="319"/>
      <c r="M69" s="319"/>
    </row>
    <row r="70" spans="1:13" ht="20.25" x14ac:dyDescent="0.2">
      <c r="A70" s="219" t="s">
        <v>2485</v>
      </c>
      <c r="B70" s="192" t="s">
        <v>3649</v>
      </c>
      <c r="C70" s="297" t="s">
        <v>1</v>
      </c>
      <c r="D70" s="300">
        <v>1</v>
      </c>
      <c r="E70" s="301">
        <v>1.5071770334928229</v>
      </c>
      <c r="F70" s="298">
        <v>0.66349206349206358</v>
      </c>
      <c r="G70" s="302">
        <v>16.578947368421051</v>
      </c>
      <c r="H70" s="303">
        <v>36.190476190476197</v>
      </c>
      <c r="I70" s="319"/>
      <c r="J70" s="318"/>
      <c r="K70" s="319"/>
      <c r="L70" s="319"/>
      <c r="M70" s="319"/>
    </row>
    <row r="71" spans="1:13" ht="22.5" x14ac:dyDescent="0.2">
      <c r="A71" s="329"/>
      <c r="B71" s="330" t="s">
        <v>3240</v>
      </c>
      <c r="C71" s="323"/>
      <c r="D71" s="323"/>
      <c r="E71" s="323"/>
      <c r="F71" s="323"/>
      <c r="G71" s="323"/>
      <c r="H71" s="333"/>
      <c r="I71" s="319"/>
      <c r="J71" s="318"/>
      <c r="K71" s="319"/>
      <c r="L71" s="319"/>
      <c r="M71" s="319"/>
    </row>
    <row r="72" spans="1:13" ht="18.75" x14ac:dyDescent="0.2">
      <c r="A72" s="332" t="s">
        <v>3651</v>
      </c>
      <c r="B72" s="331" t="s">
        <v>3655</v>
      </c>
      <c r="C72" s="320" t="s">
        <v>167</v>
      </c>
      <c r="D72" s="324">
        <v>1</v>
      </c>
      <c r="E72" s="325">
        <v>15.661016949152543</v>
      </c>
      <c r="F72" s="321">
        <v>6.3852813852813842E-2</v>
      </c>
      <c r="G72" s="327">
        <v>172.27118644067798</v>
      </c>
      <c r="H72" s="328">
        <v>3.6</v>
      </c>
      <c r="I72" s="319"/>
      <c r="J72" s="318"/>
      <c r="K72" s="319"/>
      <c r="L72" s="319"/>
      <c r="M72" s="319"/>
    </row>
    <row r="73" spans="1:13" ht="18.75" x14ac:dyDescent="0.2">
      <c r="A73" s="332" t="s">
        <v>3652</v>
      </c>
      <c r="B73" s="331" t="s">
        <v>3659</v>
      </c>
      <c r="C73" s="320" t="s">
        <v>167</v>
      </c>
      <c r="D73" s="324">
        <v>1</v>
      </c>
      <c r="E73" s="325">
        <v>10.962711864406783</v>
      </c>
      <c r="F73" s="321">
        <v>9.121830550401977E-2</v>
      </c>
      <c r="G73" s="327">
        <v>120.58983050847461</v>
      </c>
      <c r="H73" s="328">
        <v>4</v>
      </c>
      <c r="I73" s="319"/>
      <c r="J73" s="318"/>
      <c r="K73" s="319"/>
      <c r="L73" s="319"/>
      <c r="M73" s="319"/>
    </row>
    <row r="74" spans="1:13" ht="18.75" x14ac:dyDescent="0.2">
      <c r="A74" s="332" t="s">
        <v>3653</v>
      </c>
      <c r="B74" s="331" t="s">
        <v>3658</v>
      </c>
      <c r="C74" s="320" t="s">
        <v>167</v>
      </c>
      <c r="D74" s="324"/>
      <c r="E74" s="325">
        <v>12.121212121212123</v>
      </c>
      <c r="F74" s="321">
        <v>8.249999999999999E-2</v>
      </c>
      <c r="G74" s="327">
        <v>133.33333333333334</v>
      </c>
      <c r="H74" s="328">
        <v>4.5</v>
      </c>
      <c r="I74" s="319"/>
      <c r="J74" s="318"/>
      <c r="K74" s="319"/>
      <c r="L74" s="319"/>
      <c r="M74" s="319"/>
    </row>
    <row r="75" spans="1:13" ht="18.75" x14ac:dyDescent="0.2">
      <c r="A75" s="332" t="s">
        <v>3654</v>
      </c>
      <c r="B75" s="331" t="s">
        <v>3657</v>
      </c>
      <c r="C75" s="320" t="s">
        <v>167</v>
      </c>
      <c r="D75" s="324"/>
      <c r="E75" s="325">
        <v>10.909090909090908</v>
      </c>
      <c r="F75" s="321">
        <v>9.166666666666666E-2</v>
      </c>
      <c r="G75" s="327">
        <v>120</v>
      </c>
      <c r="H75" s="328">
        <v>5</v>
      </c>
      <c r="I75" s="319"/>
      <c r="J75" s="318"/>
      <c r="K75" s="319"/>
      <c r="L75" s="319"/>
      <c r="M75" s="319"/>
    </row>
    <row r="76" spans="1:13" ht="18.75" x14ac:dyDescent="0.2">
      <c r="A76" s="332" t="s">
        <v>3650</v>
      </c>
      <c r="B76" s="331" t="s">
        <v>3656</v>
      </c>
      <c r="C76" s="320" t="s">
        <v>167</v>
      </c>
      <c r="D76" s="324">
        <v>1</v>
      </c>
      <c r="E76" s="325">
        <v>9.0909090909090917</v>
      </c>
      <c r="F76" s="321">
        <v>0.11</v>
      </c>
      <c r="G76" s="327">
        <v>100</v>
      </c>
      <c r="H76" s="328">
        <v>6</v>
      </c>
      <c r="I76" s="319"/>
      <c r="J76" s="318"/>
      <c r="K76" s="319"/>
      <c r="L76" s="319"/>
      <c r="M76" s="319"/>
    </row>
    <row r="77" spans="1:13" ht="15" x14ac:dyDescent="0.2">
      <c r="I77" s="319"/>
      <c r="J77" s="318"/>
      <c r="K77" s="319"/>
      <c r="L77" s="319"/>
      <c r="M77" s="319"/>
    </row>
    <row r="78" spans="1:13" ht="15" x14ac:dyDescent="0.2">
      <c r="I78" s="319"/>
      <c r="J78" s="318"/>
      <c r="K78" s="319"/>
      <c r="L78" s="319"/>
      <c r="M78" s="319"/>
    </row>
    <row r="79" spans="1:13" ht="15" x14ac:dyDescent="0.2">
      <c r="I79" s="319"/>
      <c r="J79" s="318"/>
      <c r="K79" s="319"/>
      <c r="L79" s="319"/>
      <c r="M79" s="319"/>
    </row>
  </sheetData>
  <sortState xmlns:xlrd2="http://schemas.microsoft.com/office/spreadsheetml/2017/richdata2" ref="J52:J64">
    <sortCondition ref="J52:J6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БАЗА</vt:lpstr>
      <vt:lpstr>СПРАВОЧНИК</vt:lpstr>
      <vt:lpstr>форма для расчета</vt:lpstr>
      <vt:lpstr>Последние изменения</vt:lpstr>
      <vt:lpstr>БАЗА!Область_печати</vt:lpstr>
      <vt:lpstr>'форма для расчета'!Область_печати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TrifonovAV</dc:creator>
  <cp:lastModifiedBy>Просмоторщик 2.2</cp:lastModifiedBy>
  <cp:lastPrinted>2026-06-22T11:00:00Z</cp:lastPrinted>
  <dcterms:created xsi:type="dcterms:W3CDTF">2014-11-06T07:30:23Z</dcterms:created>
  <dcterms:modified xsi:type="dcterms:W3CDTF">2026-08-11T05:07:32Z</dcterms:modified>
</cp:coreProperties>
</file>