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6958A60-EAC7-408D-BF69-BA9ADF386D0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КАТАЛОГ" sheetId="5" r:id="rId1"/>
    <sheet name="БАЗА" sheetId="1" r:id="rId2"/>
    <sheet name="IP 55" sheetId="2" r:id="rId3"/>
    <sheet name="IP 68" sheetId="3" r:id="rId4"/>
    <sheet name="Аксес. и компл.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2" l="1"/>
  <c r="B37" i="2"/>
  <c r="C37" i="2"/>
  <c r="E37" i="2"/>
  <c r="G37" i="2"/>
  <c r="F37" i="2" s="1"/>
  <c r="B38" i="2"/>
  <c r="C38" i="2"/>
  <c r="D38" i="2"/>
  <c r="E38" i="2"/>
  <c r="G38" i="2"/>
  <c r="F38" i="2" s="1"/>
  <c r="B6" i="3"/>
  <c r="C6" i="3"/>
  <c r="D6" i="3"/>
  <c r="E6" i="3"/>
  <c r="G6" i="3"/>
  <c r="F6" i="3" s="1"/>
  <c r="B7" i="3"/>
  <c r="C7" i="3"/>
  <c r="D7" i="3"/>
  <c r="E7" i="3"/>
  <c r="G7" i="3"/>
  <c r="F7" i="3" s="1"/>
  <c r="F39" i="1"/>
  <c r="F40" i="1"/>
  <c r="F76" i="1"/>
  <c r="F77" i="1"/>
  <c r="F6" i="1"/>
  <c r="B4" i="4"/>
  <c r="C4" i="4"/>
  <c r="D4" i="4"/>
  <c r="E4" i="4"/>
  <c r="G4" i="4"/>
  <c r="F4" i="4" s="1"/>
  <c r="B5" i="4"/>
  <c r="C5" i="4"/>
  <c r="D5" i="4"/>
  <c r="E5" i="4"/>
  <c r="G5" i="4"/>
  <c r="F5" i="4" s="1"/>
  <c r="B6" i="4"/>
  <c r="C6" i="4"/>
  <c r="D6" i="4"/>
  <c r="E6" i="4"/>
  <c r="G6" i="4"/>
  <c r="F6" i="4" s="1"/>
  <c r="B7" i="4"/>
  <c r="C7" i="4"/>
  <c r="D7" i="4"/>
  <c r="E7" i="4"/>
  <c r="G7" i="4"/>
  <c r="F7" i="4" s="1"/>
  <c r="B8" i="4"/>
  <c r="C8" i="4"/>
  <c r="D8" i="4"/>
  <c r="E8" i="4"/>
  <c r="G8" i="4"/>
  <c r="F8" i="4" s="1"/>
  <c r="B9" i="4"/>
  <c r="C9" i="4"/>
  <c r="D9" i="4"/>
  <c r="E9" i="4"/>
  <c r="G9" i="4"/>
  <c r="F9" i="4" s="1"/>
  <c r="B10" i="4"/>
  <c r="C10" i="4"/>
  <c r="D10" i="4"/>
  <c r="E10" i="4"/>
  <c r="G10" i="4"/>
  <c r="F10" i="4" s="1"/>
  <c r="B11" i="4"/>
  <c r="C11" i="4"/>
  <c r="D11" i="4"/>
  <c r="E11" i="4"/>
  <c r="G11" i="4"/>
  <c r="F11" i="4" s="1"/>
  <c r="B12" i="4"/>
  <c r="C12" i="4"/>
  <c r="D12" i="4"/>
  <c r="E12" i="4"/>
  <c r="G12" i="4"/>
  <c r="F12" i="4" s="1"/>
  <c r="B13" i="4"/>
  <c r="C13" i="4"/>
  <c r="D13" i="4"/>
  <c r="E13" i="4"/>
  <c r="G13" i="4"/>
  <c r="F13" i="4" s="1"/>
  <c r="B14" i="4"/>
  <c r="C14" i="4"/>
  <c r="D14" i="4"/>
  <c r="E14" i="4"/>
  <c r="G14" i="4"/>
  <c r="F14" i="4" s="1"/>
  <c r="B15" i="4"/>
  <c r="C15" i="4"/>
  <c r="D15" i="4"/>
  <c r="E15" i="4"/>
  <c r="G15" i="4"/>
  <c r="F15" i="4" s="1"/>
  <c r="B16" i="4"/>
  <c r="C16" i="4"/>
  <c r="D16" i="4"/>
  <c r="E16" i="4"/>
  <c r="G16" i="4"/>
  <c r="F16" i="4" s="1"/>
  <c r="B17" i="4"/>
  <c r="C17" i="4"/>
  <c r="D17" i="4"/>
  <c r="E17" i="4"/>
  <c r="G17" i="4"/>
  <c r="F17" i="4" s="1"/>
  <c r="B18" i="4"/>
  <c r="C18" i="4"/>
  <c r="D18" i="4"/>
  <c r="E18" i="4"/>
  <c r="G18" i="4"/>
  <c r="F18" i="4" s="1"/>
  <c r="B19" i="4"/>
  <c r="C19" i="4"/>
  <c r="D19" i="4"/>
  <c r="E19" i="4"/>
  <c r="G19" i="4"/>
  <c r="F19" i="4" s="1"/>
  <c r="B4" i="3"/>
  <c r="C4" i="3"/>
  <c r="D4" i="3"/>
  <c r="E4" i="3"/>
  <c r="G4" i="3"/>
  <c r="F4" i="3" s="1"/>
  <c r="B5" i="3"/>
  <c r="C5" i="3"/>
  <c r="D5" i="3"/>
  <c r="E5" i="3"/>
  <c r="G5" i="3"/>
  <c r="F5" i="3" s="1"/>
  <c r="B8" i="3"/>
  <c r="C8" i="3"/>
  <c r="D8" i="3"/>
  <c r="E8" i="3"/>
  <c r="G8" i="3"/>
  <c r="F8" i="3" s="1"/>
  <c r="B9" i="3"/>
  <c r="C9" i="3"/>
  <c r="D9" i="3"/>
  <c r="E9" i="3"/>
  <c r="G9" i="3"/>
  <c r="F9" i="3" s="1"/>
  <c r="B10" i="3"/>
  <c r="C10" i="3"/>
  <c r="D10" i="3"/>
  <c r="E10" i="3"/>
  <c r="G10" i="3"/>
  <c r="F10" i="3" s="1"/>
  <c r="B11" i="3"/>
  <c r="C11" i="3"/>
  <c r="D11" i="3"/>
  <c r="E11" i="3"/>
  <c r="G11" i="3"/>
  <c r="F11" i="3" s="1"/>
  <c r="B12" i="3"/>
  <c r="C12" i="3"/>
  <c r="D12" i="3"/>
  <c r="E12" i="3"/>
  <c r="G12" i="3"/>
  <c r="F12" i="3" s="1"/>
  <c r="B13" i="3"/>
  <c r="C13" i="3"/>
  <c r="D13" i="3"/>
  <c r="E13" i="3"/>
  <c r="G13" i="3"/>
  <c r="F13" i="3" s="1"/>
  <c r="B14" i="3"/>
  <c r="C14" i="3"/>
  <c r="D14" i="3"/>
  <c r="E14" i="3"/>
  <c r="G14" i="3"/>
  <c r="F14" i="3" s="1"/>
  <c r="B15" i="3"/>
  <c r="C15" i="3"/>
  <c r="D15" i="3"/>
  <c r="E15" i="3"/>
  <c r="G15" i="3"/>
  <c r="F15" i="3" s="1"/>
  <c r="B16" i="3"/>
  <c r="C16" i="3"/>
  <c r="D16" i="3"/>
  <c r="E16" i="3"/>
  <c r="G16" i="3"/>
  <c r="F16" i="3" s="1"/>
  <c r="B17" i="3"/>
  <c r="C17" i="3"/>
  <c r="D17" i="3"/>
  <c r="E17" i="3"/>
  <c r="G17" i="3"/>
  <c r="F17" i="3" s="1"/>
  <c r="B18" i="3"/>
  <c r="C18" i="3"/>
  <c r="D18" i="3"/>
  <c r="E18" i="3"/>
  <c r="G18" i="3"/>
  <c r="F18" i="3" s="1"/>
  <c r="B19" i="3"/>
  <c r="C19" i="3"/>
  <c r="D19" i="3"/>
  <c r="E19" i="3"/>
  <c r="G19" i="3"/>
  <c r="F19" i="3" s="1"/>
  <c r="B20" i="3"/>
  <c r="C20" i="3"/>
  <c r="D20" i="3"/>
  <c r="E20" i="3"/>
  <c r="G20" i="3"/>
  <c r="F20" i="3" s="1"/>
  <c r="B21" i="3"/>
  <c r="C21" i="3"/>
  <c r="D21" i="3"/>
  <c r="E21" i="3"/>
  <c r="G21" i="3"/>
  <c r="F21" i="3" s="1"/>
  <c r="B22" i="3"/>
  <c r="C22" i="3"/>
  <c r="D22" i="3"/>
  <c r="E22" i="3"/>
  <c r="G22" i="3"/>
  <c r="F22" i="3" s="1"/>
  <c r="B23" i="3"/>
  <c r="C23" i="3"/>
  <c r="D23" i="3"/>
  <c r="E23" i="3"/>
  <c r="G23" i="3"/>
  <c r="F23" i="3" s="1"/>
  <c r="B24" i="3"/>
  <c r="C24" i="3"/>
  <c r="D24" i="3"/>
  <c r="E24" i="3"/>
  <c r="G24" i="3"/>
  <c r="F24" i="3" s="1"/>
  <c r="B25" i="3"/>
  <c r="C25" i="3"/>
  <c r="D25" i="3"/>
  <c r="E25" i="3"/>
  <c r="G25" i="3"/>
  <c r="F25" i="3" s="1"/>
  <c r="B3" i="2"/>
  <c r="C3" i="2"/>
  <c r="D3" i="2"/>
  <c r="E3" i="2"/>
  <c r="G3" i="2"/>
  <c r="F3" i="2" s="1"/>
  <c r="B4" i="2"/>
  <c r="C4" i="2"/>
  <c r="D4" i="2"/>
  <c r="E4" i="2"/>
  <c r="G4" i="2"/>
  <c r="F4" i="2" s="1"/>
  <c r="B5" i="2"/>
  <c r="C5" i="2"/>
  <c r="D5" i="2"/>
  <c r="E5" i="2"/>
  <c r="G5" i="2"/>
  <c r="F5" i="2" s="1"/>
  <c r="B6" i="2"/>
  <c r="C6" i="2"/>
  <c r="D6" i="2"/>
  <c r="E6" i="2"/>
  <c r="G6" i="2"/>
  <c r="F6" i="2" s="1"/>
  <c r="B7" i="2"/>
  <c r="C7" i="2"/>
  <c r="D7" i="2"/>
  <c r="E7" i="2"/>
  <c r="G7" i="2"/>
  <c r="F7" i="2" s="1"/>
  <c r="B8" i="2"/>
  <c r="C8" i="2"/>
  <c r="D8" i="2"/>
  <c r="E8" i="2"/>
  <c r="G8" i="2"/>
  <c r="F8" i="2" s="1"/>
  <c r="B9" i="2"/>
  <c r="C9" i="2"/>
  <c r="D9" i="2"/>
  <c r="E9" i="2"/>
  <c r="G9" i="2"/>
  <c r="F9" i="2" s="1"/>
  <c r="B10" i="2"/>
  <c r="C10" i="2"/>
  <c r="D10" i="2"/>
  <c r="E10" i="2"/>
  <c r="G10" i="2"/>
  <c r="F10" i="2" s="1"/>
  <c r="B11" i="2"/>
  <c r="C11" i="2"/>
  <c r="D11" i="2"/>
  <c r="E11" i="2"/>
  <c r="G11" i="2"/>
  <c r="F11" i="2" s="1"/>
  <c r="B12" i="2"/>
  <c r="C12" i="2"/>
  <c r="D12" i="2"/>
  <c r="E12" i="2"/>
  <c r="G12" i="2"/>
  <c r="F12" i="2" s="1"/>
  <c r="B13" i="2"/>
  <c r="C13" i="2"/>
  <c r="D13" i="2"/>
  <c r="E13" i="2"/>
  <c r="G13" i="2"/>
  <c r="F13" i="2" s="1"/>
  <c r="B14" i="2"/>
  <c r="C14" i="2"/>
  <c r="D14" i="2"/>
  <c r="E14" i="2"/>
  <c r="G14" i="2"/>
  <c r="F14" i="2" s="1"/>
  <c r="B15" i="2"/>
  <c r="C15" i="2"/>
  <c r="D15" i="2"/>
  <c r="E15" i="2"/>
  <c r="G15" i="2"/>
  <c r="F15" i="2" s="1"/>
  <c r="B16" i="2"/>
  <c r="C16" i="2"/>
  <c r="D16" i="2"/>
  <c r="E16" i="2"/>
  <c r="B17" i="2"/>
  <c r="C17" i="2"/>
  <c r="D17" i="2"/>
  <c r="E17" i="2"/>
  <c r="B18" i="2"/>
  <c r="C18" i="2"/>
  <c r="D18" i="2"/>
  <c r="E18" i="2"/>
  <c r="G18" i="2"/>
  <c r="F18" i="2" s="1"/>
  <c r="B19" i="2"/>
  <c r="C19" i="2"/>
  <c r="D19" i="2"/>
  <c r="E19" i="2"/>
  <c r="G19" i="2"/>
  <c r="F19" i="2" s="1"/>
  <c r="B20" i="2"/>
  <c r="C20" i="2"/>
  <c r="D20" i="2"/>
  <c r="E20" i="2"/>
  <c r="G20" i="2"/>
  <c r="F20" i="2" s="1"/>
  <c r="B21" i="2"/>
  <c r="C21" i="2"/>
  <c r="D21" i="2"/>
  <c r="E21" i="2"/>
  <c r="G21" i="2"/>
  <c r="F21" i="2" s="1"/>
  <c r="B22" i="2"/>
  <c r="C22" i="2"/>
  <c r="D22" i="2"/>
  <c r="E22" i="2"/>
  <c r="G22" i="2"/>
  <c r="F22" i="2" s="1"/>
  <c r="B23" i="2"/>
  <c r="C23" i="2"/>
  <c r="D23" i="2"/>
  <c r="E23" i="2"/>
  <c r="G23" i="2"/>
  <c r="F23" i="2" s="1"/>
  <c r="B24" i="2"/>
  <c r="C24" i="2"/>
  <c r="D24" i="2"/>
  <c r="E24" i="2"/>
  <c r="G24" i="2"/>
  <c r="F24" i="2" s="1"/>
  <c r="B25" i="2"/>
  <c r="C25" i="2"/>
  <c r="D25" i="2"/>
  <c r="E25" i="2"/>
  <c r="G25" i="2"/>
  <c r="F25" i="2" s="1"/>
  <c r="B26" i="2"/>
  <c r="C26" i="2"/>
  <c r="D26" i="2"/>
  <c r="E26" i="2"/>
  <c r="G26" i="2"/>
  <c r="F26" i="2" s="1"/>
  <c r="B27" i="2"/>
  <c r="C27" i="2"/>
  <c r="D27" i="2"/>
  <c r="E27" i="2"/>
  <c r="G27" i="2"/>
  <c r="F27" i="2" s="1"/>
  <c r="B28" i="2"/>
  <c r="C28" i="2"/>
  <c r="D28" i="2"/>
  <c r="E28" i="2"/>
  <c r="G28" i="2"/>
  <c r="F28" i="2" s="1"/>
  <c r="B29" i="2"/>
  <c r="C29" i="2"/>
  <c r="D29" i="2"/>
  <c r="E29" i="2"/>
  <c r="G29" i="2"/>
  <c r="F29" i="2" s="1"/>
  <c r="B30" i="2"/>
  <c r="C30" i="2"/>
  <c r="D30" i="2"/>
  <c r="E30" i="2"/>
  <c r="G30" i="2"/>
  <c r="F30" i="2" s="1"/>
  <c r="B31" i="2"/>
  <c r="C31" i="2"/>
  <c r="D31" i="2"/>
  <c r="E31" i="2"/>
  <c r="G31" i="2"/>
  <c r="F31" i="2" s="1"/>
  <c r="B32" i="2"/>
  <c r="C32" i="2"/>
  <c r="D32" i="2"/>
  <c r="E32" i="2"/>
  <c r="G32" i="2"/>
  <c r="F32" i="2" s="1"/>
  <c r="B33" i="2"/>
  <c r="C33" i="2"/>
  <c r="D33" i="2"/>
  <c r="E33" i="2"/>
  <c r="G33" i="2"/>
  <c r="F33" i="2" s="1"/>
  <c r="B34" i="2"/>
  <c r="C34" i="2"/>
  <c r="D34" i="2"/>
  <c r="E34" i="2"/>
  <c r="G34" i="2"/>
  <c r="F34" i="2" s="1"/>
  <c r="B35" i="2"/>
  <c r="C35" i="2"/>
  <c r="D35" i="2"/>
  <c r="E35" i="2"/>
  <c r="G35" i="2"/>
  <c r="F35" i="2" s="1"/>
  <c r="B36" i="2"/>
  <c r="C36" i="2"/>
  <c r="D36" i="2"/>
  <c r="E36" i="2"/>
  <c r="G36" i="2"/>
  <c r="F36" i="2" s="1"/>
  <c r="B39" i="2"/>
  <c r="C39" i="2"/>
  <c r="D39" i="2"/>
  <c r="E39" i="2"/>
  <c r="G39" i="2"/>
  <c r="F39" i="2" s="1"/>
  <c r="B40" i="2"/>
  <c r="C40" i="2"/>
  <c r="D40" i="2"/>
  <c r="E40" i="2"/>
  <c r="G40" i="2"/>
  <c r="F40" i="2" s="1"/>
  <c r="B41" i="2"/>
  <c r="C41" i="2"/>
  <c r="D41" i="2"/>
  <c r="E41" i="2"/>
  <c r="G41" i="2"/>
  <c r="F41" i="2" s="1"/>
  <c r="B42" i="2"/>
  <c r="C42" i="2"/>
  <c r="D42" i="2"/>
  <c r="E42" i="2"/>
  <c r="G42" i="2"/>
  <c r="F42" i="2" s="1"/>
  <c r="B43" i="2"/>
  <c r="C43" i="2"/>
  <c r="D43" i="2"/>
  <c r="E43" i="2"/>
  <c r="G43" i="2"/>
  <c r="F43" i="2" s="1"/>
  <c r="B44" i="2"/>
  <c r="C44" i="2"/>
  <c r="D44" i="2"/>
  <c r="E44" i="2"/>
  <c r="G44" i="2"/>
  <c r="F44" i="2" s="1"/>
  <c r="B45" i="2"/>
  <c r="C45" i="2"/>
  <c r="D45" i="2"/>
  <c r="E45" i="2"/>
  <c r="G45" i="2"/>
  <c r="F45" i="2" s="1"/>
  <c r="B46" i="2"/>
  <c r="C46" i="2"/>
  <c r="D46" i="2"/>
  <c r="E46" i="2"/>
  <c r="G46" i="2"/>
  <c r="F46" i="2" s="1"/>
  <c r="B47" i="2"/>
  <c r="C47" i="2"/>
  <c r="D47" i="2"/>
  <c r="E47" i="2"/>
  <c r="G47" i="2"/>
  <c r="F47" i="2" s="1"/>
  <c r="B48" i="2"/>
  <c r="C48" i="2"/>
  <c r="D48" i="2"/>
  <c r="E48" i="2"/>
  <c r="G48" i="2"/>
  <c r="F48" i="2" s="1"/>
  <c r="B49" i="2"/>
  <c r="C49" i="2"/>
  <c r="D49" i="2"/>
  <c r="E49" i="2"/>
  <c r="G49" i="2"/>
  <c r="F49" i="2" s="1"/>
  <c r="B50" i="2"/>
  <c r="C50" i="2"/>
  <c r="D50" i="2"/>
  <c r="E50" i="2"/>
  <c r="G50" i="2"/>
  <c r="F50" i="2" s="1"/>
  <c r="B51" i="2"/>
  <c r="C51" i="2"/>
  <c r="D51" i="2"/>
  <c r="E51" i="2"/>
  <c r="G51" i="2"/>
  <c r="F51" i="2" s="1"/>
  <c r="B52" i="2"/>
  <c r="C52" i="2"/>
  <c r="D52" i="2"/>
  <c r="E52" i="2"/>
  <c r="G52" i="2"/>
  <c r="F52" i="2" s="1"/>
  <c r="B53" i="2"/>
  <c r="C53" i="2"/>
  <c r="D53" i="2"/>
  <c r="E53" i="2"/>
  <c r="G53" i="2"/>
  <c r="F53" i="2" s="1"/>
  <c r="B54" i="2"/>
  <c r="C54" i="2"/>
  <c r="D54" i="2"/>
  <c r="E54" i="2"/>
  <c r="G54" i="2"/>
  <c r="F54" i="2" s="1"/>
  <c r="B55" i="2"/>
  <c r="C55" i="2"/>
  <c r="D55" i="2"/>
  <c r="E55" i="2"/>
  <c r="G55" i="2"/>
  <c r="F55" i="2" s="1"/>
  <c r="B56" i="2"/>
  <c r="C56" i="2"/>
  <c r="D56" i="2"/>
  <c r="E56" i="2"/>
  <c r="G56" i="2"/>
  <c r="F56" i="2" s="1"/>
  <c r="B57" i="2"/>
  <c r="C57" i="2"/>
  <c r="D57" i="2"/>
  <c r="E57" i="2"/>
  <c r="G57" i="2"/>
  <c r="F57" i="2" s="1"/>
  <c r="B58" i="2"/>
  <c r="C58" i="2"/>
  <c r="D58" i="2"/>
  <c r="E58" i="2"/>
  <c r="G58" i="2"/>
  <c r="F58" i="2" s="1"/>
  <c r="B59" i="2"/>
  <c r="C59" i="2"/>
  <c r="D59" i="2"/>
  <c r="E59" i="2"/>
  <c r="G59" i="2"/>
  <c r="F59" i="2" s="1"/>
  <c r="B60" i="2"/>
  <c r="C60" i="2"/>
  <c r="D60" i="2"/>
  <c r="E60" i="2"/>
  <c r="G60" i="2"/>
  <c r="F60" i="2" s="1"/>
  <c r="B61" i="2"/>
  <c r="C61" i="2"/>
  <c r="D61" i="2"/>
  <c r="E61" i="2"/>
  <c r="G61" i="2"/>
  <c r="F61" i="2" s="1"/>
  <c r="B62" i="2"/>
  <c r="C62" i="2"/>
  <c r="D62" i="2"/>
  <c r="E62" i="2"/>
  <c r="G62" i="2"/>
  <c r="F62" i="2" s="1"/>
  <c r="B63" i="2"/>
  <c r="C63" i="2"/>
  <c r="D63" i="2"/>
  <c r="E63" i="2"/>
  <c r="G63" i="2"/>
  <c r="F63" i="2" s="1"/>
  <c r="B64" i="2"/>
  <c r="C64" i="2"/>
  <c r="D64" i="2"/>
  <c r="E64" i="2"/>
  <c r="G64" i="2"/>
  <c r="F64" i="2" s="1"/>
  <c r="B65" i="2"/>
  <c r="C65" i="2"/>
  <c r="D65" i="2"/>
  <c r="E65" i="2"/>
  <c r="G65" i="2"/>
  <c r="F65" i="2" s="1"/>
  <c r="B66" i="2"/>
  <c r="C66" i="2"/>
  <c r="D66" i="2"/>
  <c r="E66" i="2"/>
  <c r="G66" i="2"/>
  <c r="F66" i="2" s="1"/>
  <c r="B67" i="2"/>
  <c r="C67" i="2"/>
  <c r="D67" i="2"/>
  <c r="E67" i="2"/>
  <c r="G67" i="2"/>
  <c r="F67" i="2" s="1"/>
  <c r="B68" i="2"/>
  <c r="C68" i="2"/>
  <c r="D68" i="2"/>
  <c r="E68" i="2"/>
  <c r="G68" i="2"/>
  <c r="F68" i="2" s="1"/>
  <c r="B69" i="2"/>
  <c r="C69" i="2"/>
  <c r="D69" i="2"/>
  <c r="E69" i="2"/>
  <c r="G69" i="2"/>
  <c r="F69" i="2" s="1"/>
  <c r="F18" i="1"/>
  <c r="F110" i="1"/>
  <c r="F93" i="1"/>
  <c r="F94" i="1"/>
  <c r="F112" i="1"/>
  <c r="F111" i="1"/>
  <c r="F98" i="1"/>
  <c r="G17" i="2" l="1"/>
  <c r="F17" i="2" s="1"/>
  <c r="F19" i="1"/>
  <c r="G16" i="2"/>
  <c r="F16" i="2" s="1"/>
  <c r="G3" i="4"/>
  <c r="F3" i="4" s="1"/>
  <c r="E3" i="4"/>
  <c r="D3" i="4"/>
  <c r="C3" i="4"/>
  <c r="B3" i="4"/>
  <c r="G2" i="4"/>
  <c r="F2" i="4" s="1"/>
  <c r="E2" i="4"/>
  <c r="D2" i="4"/>
  <c r="C2" i="4"/>
  <c r="B2" i="4"/>
  <c r="G3" i="3"/>
  <c r="F3" i="3" s="1"/>
  <c r="E3" i="3"/>
  <c r="D3" i="3"/>
  <c r="C3" i="3"/>
  <c r="B3" i="3"/>
  <c r="G2" i="3"/>
  <c r="F2" i="3" s="1"/>
  <c r="E2" i="3"/>
  <c r="D2" i="3"/>
  <c r="C2" i="3"/>
  <c r="B2" i="3"/>
  <c r="G2" i="2" l="1"/>
  <c r="F2" i="2" s="1"/>
  <c r="E2" i="2"/>
  <c r="D2" i="2"/>
  <c r="C2" i="2"/>
  <c r="B2" i="2"/>
  <c r="F109" i="1"/>
  <c r="F108" i="1"/>
  <c r="F107" i="1"/>
  <c r="F106" i="1"/>
  <c r="F105" i="1"/>
  <c r="F104" i="1"/>
  <c r="F103" i="1"/>
  <c r="F102" i="1"/>
  <c r="F101" i="1"/>
  <c r="F100" i="1"/>
  <c r="F99" i="1"/>
  <c r="F97" i="1"/>
  <c r="F96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5" i="1"/>
  <c r="F74" i="1"/>
  <c r="F73" i="1"/>
  <c r="F72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17" i="1"/>
  <c r="F16" i="1"/>
  <c r="F15" i="1"/>
  <c r="F14" i="1"/>
  <c r="F13" i="1"/>
  <c r="F12" i="1"/>
  <c r="F11" i="1"/>
  <c r="F10" i="1"/>
  <c r="F9" i="1"/>
  <c r="F8" i="1"/>
  <c r="F7" i="1"/>
  <c r="F5" i="1"/>
  <c r="F4" i="1"/>
  <c r="F21" i="1"/>
  <c r="F20" i="1"/>
</calcChain>
</file>

<file path=xl/sharedStrings.xml><?xml version="1.0" encoding="utf-8"?>
<sst xmlns="http://schemas.openxmlformats.org/spreadsheetml/2006/main" count="655" uniqueCount="282">
  <si>
    <t xml:space="preserve">Код </t>
  </si>
  <si>
    <t>IP</t>
  </si>
  <si>
    <t>Артикул элемента</t>
  </si>
  <si>
    <t xml:space="preserve">Разработка КД </t>
  </si>
  <si>
    <t>Измеритель</t>
  </si>
  <si>
    <t>Норма выработки за час, шт.</t>
  </si>
  <si>
    <t>Трудоем-кость, чел/час 
(часы на разработку)</t>
  </si>
  <si>
    <t>1</t>
  </si>
  <si>
    <t>2</t>
  </si>
  <si>
    <t>4</t>
  </si>
  <si>
    <t>5</t>
  </si>
  <si>
    <t>6</t>
  </si>
  <si>
    <t>7</t>
  </si>
  <si>
    <t>8</t>
  </si>
  <si>
    <t>Разработка КД, секции и элементы IP 55</t>
  </si>
  <si>
    <t>55</t>
  </si>
  <si>
    <t>-</t>
  </si>
  <si>
    <t>8001</t>
  </si>
  <si>
    <t>AC</t>
  </si>
  <si>
    <t>Разработка КД центральной питающей секции</t>
  </si>
  <si>
    <t>шт.</t>
  </si>
  <si>
    <t>8002</t>
  </si>
  <si>
    <t>Изменение КД центральной питающей секции</t>
  </si>
  <si>
    <t>8003</t>
  </si>
  <si>
    <t>ADP</t>
  </si>
  <si>
    <t>Разработка переходного элемента ШП</t>
  </si>
  <si>
    <t>8004</t>
  </si>
  <si>
    <t>Изменение переходного элемента ШП</t>
  </si>
  <si>
    <t>8005</t>
  </si>
  <si>
    <t>ATCD</t>
  </si>
  <si>
    <t>Разработка КД  терминальной секции с гор. углом</t>
  </si>
  <si>
    <t>8006</t>
  </si>
  <si>
    <t>Изменение КД  терминальной секции с гор. углом</t>
  </si>
  <si>
    <t>8007</t>
  </si>
  <si>
    <t>ATCP</t>
  </si>
  <si>
    <t>Разработка КД терминальной секции с вертикальным углом</t>
  </si>
  <si>
    <t>8008</t>
  </si>
  <si>
    <t>ATCP-S</t>
  </si>
  <si>
    <t>Изменение КД  терминальной секции свертикальным углом</t>
  </si>
  <si>
    <t>8009</t>
  </si>
  <si>
    <t>ATSC</t>
  </si>
  <si>
    <t>Разработка КД терминальной секции</t>
  </si>
  <si>
    <t>8010</t>
  </si>
  <si>
    <t>ATSC-S</t>
  </si>
  <si>
    <t>Изменение КД терминальной секции</t>
  </si>
  <si>
    <t>8011</t>
  </si>
  <si>
    <t>ATT</t>
  </si>
  <si>
    <t xml:space="preserve">Разработка КД  терминальной трансформаторной секции </t>
  </si>
  <si>
    <t>8012</t>
  </si>
  <si>
    <t xml:space="preserve">Изменение КД  терминальной трансформаторной секции </t>
  </si>
  <si>
    <t>8013</t>
  </si>
  <si>
    <t>ATTCD</t>
  </si>
  <si>
    <t>Разработка ПМ терм. трансфор. секции с гор. углом</t>
  </si>
  <si>
    <t>8014</t>
  </si>
  <si>
    <t>Изменение ПМ терм. трансфор. секции с гор. углом</t>
  </si>
  <si>
    <t>8015</t>
  </si>
  <si>
    <t>BB</t>
  </si>
  <si>
    <t>Разработка КД КОМ Bolt-on</t>
  </si>
  <si>
    <t>8016</t>
  </si>
  <si>
    <t>Изменение КД КОМ Bolt-on</t>
  </si>
  <si>
    <t>8017</t>
  </si>
  <si>
    <t>CD</t>
  </si>
  <si>
    <t>8018</t>
  </si>
  <si>
    <t>8019</t>
  </si>
  <si>
    <t>8020</t>
  </si>
  <si>
    <t>CD-SA</t>
  </si>
  <si>
    <t>8021</t>
  </si>
  <si>
    <t>CD-SA-S1</t>
  </si>
  <si>
    <t>8022</t>
  </si>
  <si>
    <t>CML</t>
  </si>
  <si>
    <t>8023</t>
  </si>
  <si>
    <t>8024</t>
  </si>
  <si>
    <t>CP</t>
  </si>
  <si>
    <t xml:space="preserve">Разработка Эталона ПМ вертикального угла </t>
  </si>
  <si>
    <t>8025</t>
  </si>
  <si>
    <t>8026</t>
  </si>
  <si>
    <t>8027</t>
  </si>
  <si>
    <t>FE</t>
  </si>
  <si>
    <t xml:space="preserve">Разработка Эталона ПМ прямой однопакетной секции </t>
  </si>
  <si>
    <t>8028</t>
  </si>
  <si>
    <t>8029</t>
  </si>
  <si>
    <t>8030</t>
  </si>
  <si>
    <t>FEB</t>
  </si>
  <si>
    <t>Разработка ПМ Кабельной коробки</t>
  </si>
  <si>
    <t>8031</t>
  </si>
  <si>
    <t>Изменение ПМ Кабельной коробки</t>
  </si>
  <si>
    <t>8032</t>
  </si>
  <si>
    <t>FLX</t>
  </si>
  <si>
    <t>Разработка гибкого модуля</t>
  </si>
  <si>
    <t>8033</t>
  </si>
  <si>
    <t>Изменение гибкого модуля</t>
  </si>
  <si>
    <t>8034</t>
  </si>
  <si>
    <t>G</t>
  </si>
  <si>
    <t>Разработка КД на стыковочный элемент</t>
  </si>
  <si>
    <t>8035</t>
  </si>
  <si>
    <t>GF</t>
  </si>
  <si>
    <t>Разработка КД на стыковочный элемент Bolt-on</t>
  </si>
  <si>
    <t>8036</t>
  </si>
  <si>
    <t>Изменение Эталона стыковочного элемента</t>
  </si>
  <si>
    <t>8037</t>
  </si>
  <si>
    <t>Изменение КД на стыковочный элемент Bolt-on</t>
  </si>
  <si>
    <t>8038</t>
  </si>
  <si>
    <t>PB</t>
  </si>
  <si>
    <t>Разработка КД КОМ Plug-in</t>
  </si>
  <si>
    <t>8039</t>
  </si>
  <si>
    <t>Изменение КД КОМ  Plug-in</t>
  </si>
  <si>
    <t>8040</t>
  </si>
  <si>
    <t>PD</t>
  </si>
  <si>
    <t>Разработка КД П-образной горизонтальной секции</t>
  </si>
  <si>
    <t>8041</t>
  </si>
  <si>
    <t>Изменение КД П-образной горизонтальной секции</t>
  </si>
  <si>
    <t>8042</t>
  </si>
  <si>
    <t>Pi</t>
  </si>
  <si>
    <t>Разработка Эталона ПМ прямой секции с окнами отбора мощности</t>
  </si>
  <si>
    <t>8043</t>
  </si>
  <si>
    <t>Изменение длины или номинала Эталона ПМ прямой секции с окнами от. мощ.</t>
  </si>
  <si>
    <t>8044</t>
  </si>
  <si>
    <t>PP</t>
  </si>
  <si>
    <t>Разработка КД П-образной вертикальной секции</t>
  </si>
  <si>
    <t>8045</t>
  </si>
  <si>
    <t>Изменение КД П-образной вертикальной секции</t>
  </si>
  <si>
    <t>8046</t>
  </si>
  <si>
    <t>PTL, TRP</t>
  </si>
  <si>
    <t>Разработка КД секции переброски фаз</t>
  </si>
  <si>
    <t>8047</t>
  </si>
  <si>
    <t>Изменение КД КД секции переброски фаз</t>
  </si>
  <si>
    <t>8048</t>
  </si>
  <si>
    <t>RE</t>
  </si>
  <si>
    <t>Разработка КД Модуля редукции</t>
  </si>
  <si>
    <t>8049</t>
  </si>
  <si>
    <t>Изменение КД Модуля редукции</t>
  </si>
  <si>
    <t>8050</t>
  </si>
  <si>
    <t>TD</t>
  </si>
  <si>
    <t>Разработка ПМ горизонтального тройника</t>
  </si>
  <si>
    <t>8051</t>
  </si>
  <si>
    <t>Изменение ПМ горизонтального тройника</t>
  </si>
  <si>
    <t>8052</t>
  </si>
  <si>
    <t>TP</t>
  </si>
  <si>
    <t>Разработка КД вертикального тройника</t>
  </si>
  <si>
    <t>8053</t>
  </si>
  <si>
    <t>Изменение КД вертикального тройника</t>
  </si>
  <si>
    <t>8054</t>
  </si>
  <si>
    <t>ZD</t>
  </si>
  <si>
    <t>Разработка Эталона  1 пакетной ПМ Z-образной горизонтальной секции</t>
  </si>
  <si>
    <t>8055</t>
  </si>
  <si>
    <t>Разработка Эталона  2 пакетной ПМ Z-образной горизонтальной секции</t>
  </si>
  <si>
    <t>8056</t>
  </si>
  <si>
    <t>Изменение ПМ Z-образной горизонтальной секции</t>
  </si>
  <si>
    <t>8057</t>
  </si>
  <si>
    <t>ZDP</t>
  </si>
  <si>
    <t>Разработка КД комбинированного угла</t>
  </si>
  <si>
    <t>8058</t>
  </si>
  <si>
    <t>Изменение КД комбинированного угла</t>
  </si>
  <si>
    <t>8059</t>
  </si>
  <si>
    <t>ZP</t>
  </si>
  <si>
    <t>Разработка Эталона  1 пакетной ПМ Z-образной вертикальной секции</t>
  </si>
  <si>
    <t>8060</t>
  </si>
  <si>
    <t>Разработка Эталона  2 пакетной ПМ Z-образной вертикальной секции</t>
  </si>
  <si>
    <t>8061</t>
  </si>
  <si>
    <t>Изменение ПМ Z-образной вертикальной секции</t>
  </si>
  <si>
    <t>8062</t>
  </si>
  <si>
    <t>Разработка Эталона ПМ корпуса (ЯОМ, FLX, FEB, СМL, RE)</t>
  </si>
  <si>
    <t xml:space="preserve">Изменение Эталона ПМ корпуса </t>
  </si>
  <si>
    <t>Разработка КД, секции IP 68</t>
  </si>
  <si>
    <t>8100</t>
  </si>
  <si>
    <t>68</t>
  </si>
  <si>
    <t>8101</t>
  </si>
  <si>
    <t>8102</t>
  </si>
  <si>
    <t>8103</t>
  </si>
  <si>
    <t>8104</t>
  </si>
  <si>
    <t>Разработка Эталона ПМ горизонтального угла ЛШП</t>
  </si>
  <si>
    <t>8105</t>
  </si>
  <si>
    <t>8106</t>
  </si>
  <si>
    <t>8107</t>
  </si>
  <si>
    <t>8108</t>
  </si>
  <si>
    <t>8109</t>
  </si>
  <si>
    <t>8110</t>
  </si>
  <si>
    <t>Разработка Эталона ПМ прямой однопакетной секции ЛШП</t>
  </si>
  <si>
    <t>8111</t>
  </si>
  <si>
    <t>8112</t>
  </si>
  <si>
    <t>FE-S</t>
  </si>
  <si>
    <t>8113</t>
  </si>
  <si>
    <t>8114</t>
  </si>
  <si>
    <t>8115</t>
  </si>
  <si>
    <t>8116</t>
  </si>
  <si>
    <t>8117</t>
  </si>
  <si>
    <t>Разработка  Z-образной горизонтальной секции</t>
  </si>
  <si>
    <t>8118</t>
  </si>
  <si>
    <t>8119</t>
  </si>
  <si>
    <t>Изменение КД Автомата без ручки управления</t>
  </si>
  <si>
    <t>Изменение КД Автомата с ручкой управления</t>
  </si>
  <si>
    <t>Изменение КД Комплекта для огнестойкой проходки ШП</t>
  </si>
  <si>
    <t>Изменение КД окна отбора мощности</t>
  </si>
  <si>
    <t>Изменение ПМ Концевой заглушки</t>
  </si>
  <si>
    <t>Разработка (изменение)  Прижимной решётки для торц. загл.</t>
  </si>
  <si>
    <t>Разработка (изменение)  Торцевой заглушки</t>
  </si>
  <si>
    <t>Разработка КД Автомата без ручки управления</t>
  </si>
  <si>
    <t>Разработка КД Автомата с ручкой управления</t>
  </si>
  <si>
    <t>Разработка КД Изолятора</t>
  </si>
  <si>
    <t>Разработка КД Комплекта для огнестойкой проходки ШП</t>
  </si>
  <si>
    <t>PTC</t>
  </si>
  <si>
    <t>Разработка КД Луженой переходной медной пластины</t>
  </si>
  <si>
    <t>Разработка КД окна отбора мощности</t>
  </si>
  <si>
    <t>Код</t>
  </si>
  <si>
    <t>Описание</t>
  </si>
  <si>
    <t>КАТАЛОГ</t>
  </si>
  <si>
    <t>Раздел</t>
  </si>
  <si>
    <t>2. Разработка КД, секции IP 68</t>
  </si>
  <si>
    <t>1. Разработка КД, секции и элементы IP 55</t>
  </si>
  <si>
    <t>ADP-S</t>
  </si>
  <si>
    <t>3. Разработка КД аксессуаров и комплектующих</t>
  </si>
  <si>
    <t>Разработка КД  аксессуаров и комплектующих</t>
  </si>
  <si>
    <t>CD-S</t>
  </si>
  <si>
    <t xml:space="preserve">Изменение номинала горизонтального угла </t>
  </si>
  <si>
    <t xml:space="preserve">Изменение длины  горизонтального угла </t>
  </si>
  <si>
    <r>
      <t>Разработка  горизонтального угла (не 90</t>
    </r>
    <r>
      <rPr>
        <sz val="16"/>
        <color theme="1"/>
        <rFont val="Calibri"/>
        <family val="2"/>
        <charset val="204"/>
      </rPr>
      <t>◦</t>
    </r>
    <r>
      <rPr>
        <sz val="16"/>
        <color theme="1"/>
        <rFont val="Times New Roman"/>
        <family val="1"/>
        <charset val="204"/>
      </rPr>
      <t>)</t>
    </r>
  </si>
  <si>
    <r>
      <t>Изменение длины горизонтального угла (не 90</t>
    </r>
    <r>
      <rPr>
        <sz val="16"/>
        <color theme="1"/>
        <rFont val="Calibri"/>
        <family val="2"/>
        <charset val="204"/>
      </rPr>
      <t>◦</t>
    </r>
    <r>
      <rPr>
        <sz val="16"/>
        <color theme="1"/>
        <rFont val="Times New Roman"/>
        <family val="1"/>
        <charset val="204"/>
      </rPr>
      <t>)</t>
    </r>
  </si>
  <si>
    <t>CD-I</t>
  </si>
  <si>
    <t xml:space="preserve">Изменение номинала вертикального угла </t>
  </si>
  <si>
    <t>CP-I</t>
  </si>
  <si>
    <t>CP-S</t>
  </si>
  <si>
    <t xml:space="preserve">Изменение длины  вертикального угла </t>
  </si>
  <si>
    <t>Изменение длины Z-образной горизонтальной секции</t>
  </si>
  <si>
    <t>FB</t>
  </si>
  <si>
    <t>EC</t>
  </si>
  <si>
    <t>Изменение длины  Эталона ПМ прямой  секции</t>
  </si>
  <si>
    <t>Изменение номинала Эталона ПМ прямой секции</t>
  </si>
  <si>
    <t>FE-I</t>
  </si>
  <si>
    <t>Изменение длины прямой секции ЛШП</t>
  </si>
  <si>
    <t>Изменение номинала прямой  секции ЛШП</t>
  </si>
  <si>
    <t>8120</t>
  </si>
  <si>
    <t>ZP-S</t>
  </si>
  <si>
    <t>ZD-S</t>
  </si>
  <si>
    <t>Разработка  Z-образной вертикальнойсекции</t>
  </si>
  <si>
    <t>Изменение длины Z-образной вертикальной секции</t>
  </si>
  <si>
    <t>ATZDP</t>
  </si>
  <si>
    <t>ATTCD-S</t>
  </si>
  <si>
    <t>ATZDP-S</t>
  </si>
  <si>
    <t>8063</t>
  </si>
  <si>
    <t>8064</t>
  </si>
  <si>
    <t>Разработка ПМ терм. трансфор. секции с верт. углом</t>
  </si>
  <si>
    <t>Изменение ПМ терм. трансфор. секции с верт. углом</t>
  </si>
  <si>
    <t>8065</t>
  </si>
  <si>
    <t>8066</t>
  </si>
  <si>
    <t>8121</t>
  </si>
  <si>
    <t>Разработка КД кожуха 1 категории сложности (простой)</t>
  </si>
  <si>
    <t>Разработка КД кожуха 2 категории сложности (сложный)</t>
  </si>
  <si>
    <t>Разработка параметрических моделей для обработки ИИ</t>
  </si>
  <si>
    <t>ATT-S</t>
  </si>
  <si>
    <t>ATT+CP</t>
  </si>
  <si>
    <t>ATT+CP-S</t>
  </si>
  <si>
    <t>CML-S</t>
  </si>
  <si>
    <t>G-S</t>
  </si>
  <si>
    <t>CTSC2</t>
  </si>
  <si>
    <t>CTSC1</t>
  </si>
  <si>
    <t>FLX-S</t>
  </si>
  <si>
    <t>FEB-CD</t>
  </si>
  <si>
    <t>FEB-CP</t>
  </si>
  <si>
    <t>PD-S</t>
  </si>
  <si>
    <t>Pi-S</t>
  </si>
  <si>
    <t>PP-S</t>
  </si>
  <si>
    <t>ZDII</t>
  </si>
  <si>
    <t>ZDI</t>
  </si>
  <si>
    <t>ZPII</t>
  </si>
  <si>
    <t>ZPI</t>
  </si>
  <si>
    <t>56</t>
  </si>
  <si>
    <t>57</t>
  </si>
  <si>
    <t>Разработка ПМ терм. трансфор. секции с комбинир. углом</t>
  </si>
  <si>
    <t>Изменение ПМ терм. трансфор. секции с комбинир. углом</t>
  </si>
  <si>
    <t>PB-I</t>
  </si>
  <si>
    <t>BB-I</t>
  </si>
  <si>
    <t>Разработка КД переходного элемента ШП</t>
  </si>
  <si>
    <t>Изменение КД переходного элемента ШП</t>
  </si>
  <si>
    <t xml:space="preserve">Разработка КД Эталона горизонтального угла </t>
  </si>
  <si>
    <t>Разработка КД Компенсационной секции</t>
  </si>
  <si>
    <t>Изменение КД Компенсационной секции</t>
  </si>
  <si>
    <t>Разработка ПМ Кабельной коробки с верт. углом</t>
  </si>
  <si>
    <t>Разработка ПМ Кабельной коробки с гор. углом</t>
  </si>
  <si>
    <t>8103.1</t>
  </si>
  <si>
    <t>8103.2</t>
  </si>
  <si>
    <t>8035.1</t>
  </si>
  <si>
    <t>8035.2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</si>
</sst>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Times New Roman"/>
      <family val="1"/>
      <charset val="204"/>
    </font>
    <font>
      <sz val="18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</font>
    <font>
      <b/>
      <sz val="16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8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vertical="center" wrapText="1"/>
    </xf>
    <xf numFmtId="0" fontId="9" fillId="0" borderId="1" xfId="0" applyNumberFormat="1" applyFont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left"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Border="1" applyAlignment="1">
      <alignment horizontal="left" vertical="center"/>
    </xf>
    <xf numFmtId="0" fontId="9" fillId="0" borderId="2" xfId="0" applyNumberFormat="1" applyFont="1" applyBorder="1" applyAlignment="1">
      <alignment horizontal="left" vertical="center"/>
    </xf>
    <xf numFmtId="0" fontId="6" fillId="4" borderId="3" xfId="0" applyNumberFormat="1" applyFont="1" applyFill="1" applyBorder="1" applyAlignment="1">
      <alignment vertical="center" wrapText="1"/>
    </xf>
    <xf numFmtId="0" fontId="6" fillId="4" borderId="2" xfId="0" applyNumberFormat="1" applyFont="1" applyFill="1" applyBorder="1" applyAlignment="1">
      <alignment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2" fontId="8" fillId="4" borderId="1" xfId="0" applyNumberFormat="1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/>
    </xf>
    <xf numFmtId="0" fontId="7" fillId="3" borderId="6" xfId="0" applyNumberFormat="1" applyFont="1" applyFill="1" applyBorder="1" applyAlignment="1">
      <alignment horizontal="left" vertical="center" wrapText="1"/>
    </xf>
    <xf numFmtId="0" fontId="9" fillId="0" borderId="7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ADA6-6D60-497C-A111-C7A9943778DA}">
  <dimension ref="A1:C6"/>
  <sheetViews>
    <sheetView workbookViewId="0">
      <selection sqref="A1:C1"/>
    </sheetView>
  </sheetViews>
  <sheetFormatPr defaultRowHeight="15" x14ac:dyDescent="0.25"/>
  <cols>
    <col min="1" max="1" width="11.5703125" customWidth="1"/>
    <col min="2" max="2" width="61" customWidth="1"/>
    <col min="3" max="3" width="12.5703125" customWidth="1"/>
  </cols>
  <sheetData>
    <row r="1" spans="1:3" ht="36" customHeight="1" x14ac:dyDescent="0.25">
      <c r="A1" s="36" t="s">
        <v>205</v>
      </c>
      <c r="B1" s="36"/>
      <c r="C1" s="37"/>
    </row>
    <row r="2" spans="1:3" ht="20.25" x14ac:dyDescent="0.25">
      <c r="A2" s="27" t="s">
        <v>206</v>
      </c>
      <c r="B2" s="12" t="s">
        <v>204</v>
      </c>
      <c r="C2" s="12" t="s">
        <v>203</v>
      </c>
    </row>
    <row r="3" spans="1:3" ht="42" customHeight="1" x14ac:dyDescent="0.25">
      <c r="A3" s="9">
        <v>1</v>
      </c>
      <c r="B3" s="10" t="s">
        <v>14</v>
      </c>
      <c r="C3" s="11">
        <v>8000</v>
      </c>
    </row>
    <row r="4" spans="1:3" ht="36" customHeight="1" x14ac:dyDescent="0.25">
      <c r="A4" s="9">
        <v>2</v>
      </c>
      <c r="B4" s="10" t="s">
        <v>163</v>
      </c>
      <c r="C4" s="11">
        <v>8100</v>
      </c>
    </row>
    <row r="5" spans="1:3" ht="33.75" customHeight="1" x14ac:dyDescent="0.25">
      <c r="A5" s="9">
        <v>3</v>
      </c>
      <c r="B5" s="28" t="s">
        <v>211</v>
      </c>
      <c r="C5" s="11">
        <v>8200</v>
      </c>
    </row>
    <row r="6" spans="1:3" x14ac:dyDescent="0.25">
      <c r="A6" s="26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zoomScaleNormal="100" workbookViewId="0"/>
  </sheetViews>
  <sheetFormatPr defaultRowHeight="15" x14ac:dyDescent="0.25"/>
  <cols>
    <col min="1" max="1" width="9.28515625" bestFit="1" customWidth="1"/>
    <col min="3" max="3" width="15.140625" customWidth="1"/>
    <col min="4" max="4" width="101.42578125" customWidth="1"/>
    <col min="6" max="6" width="21.28515625" customWidth="1"/>
    <col min="7" max="7" width="33.42578125" customWidth="1"/>
  </cols>
  <sheetData>
    <row r="1" spans="1:7" ht="51" customHeight="1" x14ac:dyDescent="0.25">
      <c r="A1" s="38" t="s">
        <v>0</v>
      </c>
      <c r="B1" s="38" t="s">
        <v>1</v>
      </c>
      <c r="C1" s="38" t="s">
        <v>2</v>
      </c>
      <c r="D1" s="38" t="s">
        <v>247</v>
      </c>
      <c r="E1" s="38" t="s">
        <v>4</v>
      </c>
      <c r="F1" s="38" t="s">
        <v>5</v>
      </c>
      <c r="G1" s="38" t="s">
        <v>6</v>
      </c>
    </row>
    <row r="2" spans="1:7" ht="20.25" x14ac:dyDescent="0.25">
      <c r="A2" s="14" t="s">
        <v>7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</row>
    <row r="3" spans="1:7" ht="30" customHeight="1" x14ac:dyDescent="0.25">
      <c r="A3" s="17"/>
      <c r="B3" s="17"/>
      <c r="C3" s="17"/>
      <c r="D3" s="17" t="s">
        <v>208</v>
      </c>
      <c r="E3" s="17"/>
      <c r="F3" s="17"/>
      <c r="G3" s="17"/>
    </row>
    <row r="4" spans="1:7" ht="30" customHeight="1" x14ac:dyDescent="0.25">
      <c r="A4" s="14" t="s">
        <v>17</v>
      </c>
      <c r="B4" s="15" t="s">
        <v>15</v>
      </c>
      <c r="C4" s="18" t="s">
        <v>18</v>
      </c>
      <c r="D4" s="19" t="s">
        <v>19</v>
      </c>
      <c r="E4" s="16" t="s">
        <v>20</v>
      </c>
      <c r="F4" s="13">
        <f t="shared" ref="F4:F70" si="0">1/G4</f>
        <v>0.22321428571428573</v>
      </c>
      <c r="G4" s="39">
        <v>4.4799999999999995</v>
      </c>
    </row>
    <row r="5" spans="1:7" ht="30" customHeight="1" x14ac:dyDescent="0.25">
      <c r="A5" s="14" t="s">
        <v>21</v>
      </c>
      <c r="B5" s="15" t="s">
        <v>15</v>
      </c>
      <c r="C5" s="18" t="s">
        <v>18</v>
      </c>
      <c r="D5" s="19" t="s">
        <v>22</v>
      </c>
      <c r="E5" s="16" t="s">
        <v>20</v>
      </c>
      <c r="F5" s="13">
        <f t="shared" si="0"/>
        <v>0.44642857142857145</v>
      </c>
      <c r="G5" s="39">
        <v>2.2399999999999998</v>
      </c>
    </row>
    <row r="6" spans="1:7" ht="30" customHeight="1" x14ac:dyDescent="0.25">
      <c r="A6" s="14" t="s">
        <v>23</v>
      </c>
      <c r="B6" s="15" t="s">
        <v>15</v>
      </c>
      <c r="C6" s="18" t="s">
        <v>24</v>
      </c>
      <c r="D6" s="19" t="s">
        <v>271</v>
      </c>
      <c r="E6" s="16" t="s">
        <v>20</v>
      </c>
      <c r="F6" s="13">
        <f>1/G6</f>
        <v>0.25510204081632654</v>
      </c>
      <c r="G6" s="39">
        <v>3.92</v>
      </c>
    </row>
    <row r="7" spans="1:7" ht="30" customHeight="1" x14ac:dyDescent="0.25">
      <c r="A7" s="14" t="s">
        <v>26</v>
      </c>
      <c r="B7" s="15" t="s">
        <v>15</v>
      </c>
      <c r="C7" s="18" t="s">
        <v>209</v>
      </c>
      <c r="D7" s="19" t="s">
        <v>272</v>
      </c>
      <c r="E7" s="16" t="s">
        <v>20</v>
      </c>
      <c r="F7" s="13">
        <f t="shared" si="0"/>
        <v>0.51020408163265307</v>
      </c>
      <c r="G7" s="39">
        <v>1.96</v>
      </c>
    </row>
    <row r="8" spans="1:7" ht="30" customHeight="1" x14ac:dyDescent="0.25">
      <c r="A8" s="14" t="s">
        <v>28</v>
      </c>
      <c r="B8" s="15" t="s">
        <v>15</v>
      </c>
      <c r="C8" s="18" t="s">
        <v>29</v>
      </c>
      <c r="D8" s="19" t="s">
        <v>30</v>
      </c>
      <c r="E8" s="16" t="s">
        <v>20</v>
      </c>
      <c r="F8" s="13">
        <f t="shared" si="0"/>
        <v>0.12755102040816327</v>
      </c>
      <c r="G8" s="39">
        <v>7.84</v>
      </c>
    </row>
    <row r="9" spans="1:7" ht="30" customHeight="1" x14ac:dyDescent="0.25">
      <c r="A9" s="14" t="s">
        <v>31</v>
      </c>
      <c r="B9" s="15" t="s">
        <v>15</v>
      </c>
      <c r="C9" s="18" t="s">
        <v>29</v>
      </c>
      <c r="D9" s="19" t="s">
        <v>32</v>
      </c>
      <c r="E9" s="16" t="s">
        <v>20</v>
      </c>
      <c r="F9" s="13">
        <f t="shared" si="0"/>
        <v>0.35714285714285715</v>
      </c>
      <c r="G9" s="39">
        <v>2.8</v>
      </c>
    </row>
    <row r="10" spans="1:7" ht="30" customHeight="1" x14ac:dyDescent="0.25">
      <c r="A10" s="14" t="s">
        <v>33</v>
      </c>
      <c r="B10" s="15" t="s">
        <v>15</v>
      </c>
      <c r="C10" s="18" t="s">
        <v>34</v>
      </c>
      <c r="D10" s="19" t="s">
        <v>35</v>
      </c>
      <c r="E10" s="16" t="s">
        <v>20</v>
      </c>
      <c r="F10" s="13">
        <f t="shared" si="0"/>
        <v>0.11160714285714286</v>
      </c>
      <c r="G10" s="39">
        <v>8.9599999999999991</v>
      </c>
    </row>
    <row r="11" spans="1:7" ht="30" customHeight="1" x14ac:dyDescent="0.25">
      <c r="A11" s="14" t="s">
        <v>36</v>
      </c>
      <c r="B11" s="15" t="s">
        <v>15</v>
      </c>
      <c r="C11" s="18" t="s">
        <v>37</v>
      </c>
      <c r="D11" s="19" t="s">
        <v>38</v>
      </c>
      <c r="E11" s="16" t="s">
        <v>20</v>
      </c>
      <c r="F11" s="13">
        <f t="shared" si="0"/>
        <v>0.29761904761904762</v>
      </c>
      <c r="G11" s="39">
        <v>3.3600000000000003</v>
      </c>
    </row>
    <row r="12" spans="1:7" ht="30" customHeight="1" x14ac:dyDescent="0.25">
      <c r="A12" s="14" t="s">
        <v>39</v>
      </c>
      <c r="B12" s="15" t="s">
        <v>15</v>
      </c>
      <c r="C12" s="18" t="s">
        <v>40</v>
      </c>
      <c r="D12" s="19" t="s">
        <v>41</v>
      </c>
      <c r="E12" s="16" t="s">
        <v>20</v>
      </c>
      <c r="F12" s="13">
        <f t="shared" si="0"/>
        <v>0.14880952380952381</v>
      </c>
      <c r="G12" s="39">
        <v>6.7200000000000006</v>
      </c>
    </row>
    <row r="13" spans="1:7" ht="30" customHeight="1" x14ac:dyDescent="0.25">
      <c r="A13" s="14" t="s">
        <v>42</v>
      </c>
      <c r="B13" s="15" t="s">
        <v>15</v>
      </c>
      <c r="C13" s="18" t="s">
        <v>43</v>
      </c>
      <c r="D13" s="19" t="s">
        <v>44</v>
      </c>
      <c r="E13" s="16" t="s">
        <v>20</v>
      </c>
      <c r="F13" s="13">
        <f t="shared" si="0"/>
        <v>0.29761904761904762</v>
      </c>
      <c r="G13" s="39">
        <v>3.3600000000000003</v>
      </c>
    </row>
    <row r="14" spans="1:7" ht="30" customHeight="1" x14ac:dyDescent="0.25">
      <c r="A14" s="14" t="s">
        <v>45</v>
      </c>
      <c r="B14" s="15" t="s">
        <v>15</v>
      </c>
      <c r="C14" s="18" t="s">
        <v>46</v>
      </c>
      <c r="D14" s="19" t="s">
        <v>47</v>
      </c>
      <c r="E14" s="16" t="s">
        <v>20</v>
      </c>
      <c r="F14" s="13">
        <f t="shared" si="0"/>
        <v>0.14880952380952381</v>
      </c>
      <c r="G14" s="39">
        <v>6.7200000000000006</v>
      </c>
    </row>
    <row r="15" spans="1:7" ht="30" customHeight="1" x14ac:dyDescent="0.25">
      <c r="A15" s="14" t="s">
        <v>48</v>
      </c>
      <c r="B15" s="15" t="s">
        <v>15</v>
      </c>
      <c r="C15" s="18" t="s">
        <v>248</v>
      </c>
      <c r="D15" s="19" t="s">
        <v>49</v>
      </c>
      <c r="E15" s="16" t="s">
        <v>20</v>
      </c>
      <c r="F15" s="13">
        <f t="shared" si="0"/>
        <v>0.44642857142857145</v>
      </c>
      <c r="G15" s="39">
        <v>2.2399999999999998</v>
      </c>
    </row>
    <row r="16" spans="1:7" ht="30" customHeight="1" x14ac:dyDescent="0.25">
      <c r="A16" s="14" t="s">
        <v>50</v>
      </c>
      <c r="B16" s="15" t="s">
        <v>15</v>
      </c>
      <c r="C16" s="20" t="s">
        <v>51</v>
      </c>
      <c r="D16" s="19" t="s">
        <v>52</v>
      </c>
      <c r="E16" s="16" t="s">
        <v>20</v>
      </c>
      <c r="F16" s="13">
        <f t="shared" si="0"/>
        <v>0.11160714285714286</v>
      </c>
      <c r="G16" s="39">
        <v>8.9599999999999991</v>
      </c>
    </row>
    <row r="17" spans="1:7" ht="30" customHeight="1" x14ac:dyDescent="0.25">
      <c r="A17" s="14" t="s">
        <v>53</v>
      </c>
      <c r="B17" s="15" t="s">
        <v>15</v>
      </c>
      <c r="C17" s="20" t="s">
        <v>236</v>
      </c>
      <c r="D17" s="19" t="s">
        <v>54</v>
      </c>
      <c r="E17" s="16" t="s">
        <v>20</v>
      </c>
      <c r="F17" s="13">
        <f t="shared" si="0"/>
        <v>0.29761904761904762</v>
      </c>
      <c r="G17" s="39">
        <v>3.3600000000000003</v>
      </c>
    </row>
    <row r="18" spans="1:7" ht="30" customHeight="1" x14ac:dyDescent="0.25">
      <c r="A18" s="14" t="s">
        <v>55</v>
      </c>
      <c r="B18" s="15" t="s">
        <v>15</v>
      </c>
      <c r="C18" s="20" t="s">
        <v>249</v>
      </c>
      <c r="D18" s="19" t="s">
        <v>240</v>
      </c>
      <c r="E18" s="16" t="s">
        <v>20</v>
      </c>
      <c r="F18" s="13">
        <f t="shared" si="0"/>
        <v>8.9285714285714288E-2</v>
      </c>
      <c r="G18" s="39">
        <v>11.2</v>
      </c>
    </row>
    <row r="19" spans="1:7" ht="30" customHeight="1" x14ac:dyDescent="0.25">
      <c r="A19" s="14" t="s">
        <v>58</v>
      </c>
      <c r="B19" s="15" t="s">
        <v>15</v>
      </c>
      <c r="C19" s="20" t="s">
        <v>250</v>
      </c>
      <c r="D19" s="19" t="s">
        <v>241</v>
      </c>
      <c r="E19" s="16" t="s">
        <v>20</v>
      </c>
      <c r="F19" s="13">
        <f t="shared" si="0"/>
        <v>0.23809523809523808</v>
      </c>
      <c r="G19" s="39">
        <v>4.2</v>
      </c>
    </row>
    <row r="20" spans="1:7" ht="30" customHeight="1" x14ac:dyDescent="0.25">
      <c r="A20" s="14" t="s">
        <v>60</v>
      </c>
      <c r="B20" s="15" t="s">
        <v>15</v>
      </c>
      <c r="C20" s="20" t="s">
        <v>235</v>
      </c>
      <c r="D20" s="19" t="s">
        <v>267</v>
      </c>
      <c r="E20" s="16" t="s">
        <v>20</v>
      </c>
      <c r="F20" s="13">
        <f t="shared" si="0"/>
        <v>7.4404761904761904E-2</v>
      </c>
      <c r="G20" s="39">
        <v>13.440000000000001</v>
      </c>
    </row>
    <row r="21" spans="1:7" ht="30" customHeight="1" x14ac:dyDescent="0.25">
      <c r="A21" s="14" t="s">
        <v>62</v>
      </c>
      <c r="B21" s="15" t="s">
        <v>15</v>
      </c>
      <c r="C21" s="20" t="s">
        <v>237</v>
      </c>
      <c r="D21" s="19" t="s">
        <v>268</v>
      </c>
      <c r="E21" s="16" t="s">
        <v>20</v>
      </c>
      <c r="F21" s="13">
        <f t="shared" si="0"/>
        <v>0.1984126984126984</v>
      </c>
      <c r="G21" s="39">
        <v>5.04</v>
      </c>
    </row>
    <row r="22" spans="1:7" ht="30" customHeight="1" x14ac:dyDescent="0.25">
      <c r="A22" s="14" t="s">
        <v>63</v>
      </c>
      <c r="B22" s="15" t="s">
        <v>15</v>
      </c>
      <c r="C22" s="18" t="s">
        <v>56</v>
      </c>
      <c r="D22" s="21" t="s">
        <v>57</v>
      </c>
      <c r="E22" s="16" t="s">
        <v>20</v>
      </c>
      <c r="F22" s="13">
        <f t="shared" si="0"/>
        <v>8.9285714285714288E-2</v>
      </c>
      <c r="G22" s="39">
        <v>11.2</v>
      </c>
    </row>
    <row r="23" spans="1:7" ht="30" customHeight="1" x14ac:dyDescent="0.25">
      <c r="A23" s="14" t="s">
        <v>64</v>
      </c>
      <c r="B23" s="15" t="s">
        <v>15</v>
      </c>
      <c r="C23" s="18" t="s">
        <v>270</v>
      </c>
      <c r="D23" s="21" t="s">
        <v>59</v>
      </c>
      <c r="E23" s="16" t="s">
        <v>20</v>
      </c>
      <c r="F23" s="13">
        <f t="shared" si="0"/>
        <v>0.14880952380952381</v>
      </c>
      <c r="G23" s="39">
        <v>6.7200000000000006</v>
      </c>
    </row>
    <row r="24" spans="1:7" ht="30" customHeight="1" x14ac:dyDescent="0.25">
      <c r="A24" s="14" t="s">
        <v>66</v>
      </c>
      <c r="B24" s="15" t="s">
        <v>15</v>
      </c>
      <c r="C24" s="18" t="s">
        <v>61</v>
      </c>
      <c r="D24" s="19" t="s">
        <v>273</v>
      </c>
      <c r="E24" s="16" t="s">
        <v>20</v>
      </c>
      <c r="F24" s="13">
        <f t="shared" si="0"/>
        <v>0.11160714285714286</v>
      </c>
      <c r="G24" s="39">
        <v>8.9599999999999991</v>
      </c>
    </row>
    <row r="25" spans="1:7" ht="30" customHeight="1" x14ac:dyDescent="0.25">
      <c r="A25" s="14" t="s">
        <v>68</v>
      </c>
      <c r="B25" s="15" t="s">
        <v>15</v>
      </c>
      <c r="C25" s="18" t="s">
        <v>217</v>
      </c>
      <c r="D25" s="21" t="s">
        <v>213</v>
      </c>
      <c r="E25" s="16" t="s">
        <v>20</v>
      </c>
      <c r="F25" s="13">
        <f t="shared" si="0"/>
        <v>0.22321428571428573</v>
      </c>
      <c r="G25" s="39">
        <v>4.4799999999999995</v>
      </c>
    </row>
    <row r="26" spans="1:7" ht="30" customHeight="1" x14ac:dyDescent="0.25">
      <c r="A26" s="14" t="s">
        <v>70</v>
      </c>
      <c r="B26" s="15" t="s">
        <v>15</v>
      </c>
      <c r="C26" s="18" t="s">
        <v>212</v>
      </c>
      <c r="D26" s="21" t="s">
        <v>214</v>
      </c>
      <c r="E26" s="16" t="s">
        <v>20</v>
      </c>
      <c r="F26" s="13">
        <f t="shared" si="0"/>
        <v>0.44642857142857145</v>
      </c>
      <c r="G26" s="39">
        <v>2.2399999999999998</v>
      </c>
    </row>
    <row r="27" spans="1:7" ht="30" customHeight="1" x14ac:dyDescent="0.25">
      <c r="A27" s="14" t="s">
        <v>71</v>
      </c>
      <c r="B27" s="15" t="s">
        <v>15</v>
      </c>
      <c r="C27" s="18" t="s">
        <v>65</v>
      </c>
      <c r="D27" s="21" t="s">
        <v>215</v>
      </c>
      <c r="E27" s="16" t="s">
        <v>20</v>
      </c>
      <c r="F27" s="13">
        <f t="shared" si="0"/>
        <v>7.4404761904761904E-2</v>
      </c>
      <c r="G27" s="39">
        <v>13.440000000000001</v>
      </c>
    </row>
    <row r="28" spans="1:7" ht="30" customHeight="1" x14ac:dyDescent="0.25">
      <c r="A28" s="14" t="s">
        <v>74</v>
      </c>
      <c r="B28" s="15" t="s">
        <v>15</v>
      </c>
      <c r="C28" s="18" t="s">
        <v>67</v>
      </c>
      <c r="D28" s="21" t="s">
        <v>216</v>
      </c>
      <c r="E28" s="16" t="s">
        <v>20</v>
      </c>
      <c r="F28" s="13">
        <f t="shared" si="0"/>
        <v>0.22321428571428573</v>
      </c>
      <c r="G28" s="39">
        <v>4.4799999999999995</v>
      </c>
    </row>
    <row r="29" spans="1:7" ht="30" customHeight="1" x14ac:dyDescent="0.25">
      <c r="A29" s="14" t="s">
        <v>75</v>
      </c>
      <c r="B29" s="15" t="s">
        <v>15</v>
      </c>
      <c r="C29" s="18" t="s">
        <v>69</v>
      </c>
      <c r="D29" s="21" t="s">
        <v>274</v>
      </c>
      <c r="E29" s="16" t="s">
        <v>20</v>
      </c>
      <c r="F29" s="13">
        <f t="shared" si="0"/>
        <v>0.11160714285714286</v>
      </c>
      <c r="G29" s="39">
        <v>8.9599999999999991</v>
      </c>
    </row>
    <row r="30" spans="1:7" ht="30" customHeight="1" x14ac:dyDescent="0.25">
      <c r="A30" s="14" t="s">
        <v>76</v>
      </c>
      <c r="B30" s="15" t="s">
        <v>15</v>
      </c>
      <c r="C30" s="18" t="s">
        <v>251</v>
      </c>
      <c r="D30" s="21" t="s">
        <v>275</v>
      </c>
      <c r="E30" s="16" t="s">
        <v>20</v>
      </c>
      <c r="F30" s="13">
        <f t="shared" si="0"/>
        <v>0.35714285714285715</v>
      </c>
      <c r="G30" s="39">
        <v>2.8</v>
      </c>
    </row>
    <row r="31" spans="1:7" ht="30" customHeight="1" x14ac:dyDescent="0.25">
      <c r="A31" s="14" t="s">
        <v>79</v>
      </c>
      <c r="B31" s="15" t="s">
        <v>15</v>
      </c>
      <c r="C31" s="18" t="s">
        <v>72</v>
      </c>
      <c r="D31" s="19" t="s">
        <v>73</v>
      </c>
      <c r="E31" s="16" t="s">
        <v>20</v>
      </c>
      <c r="F31" s="13">
        <f t="shared" si="0"/>
        <v>7.4404761904761904E-2</v>
      </c>
      <c r="G31" s="39">
        <v>13.440000000000001</v>
      </c>
    </row>
    <row r="32" spans="1:7" ht="30" customHeight="1" x14ac:dyDescent="0.25">
      <c r="A32" s="14" t="s">
        <v>80</v>
      </c>
      <c r="B32" s="15" t="s">
        <v>15</v>
      </c>
      <c r="C32" s="18" t="s">
        <v>219</v>
      </c>
      <c r="D32" s="21" t="s">
        <v>218</v>
      </c>
      <c r="E32" s="16" t="s">
        <v>20</v>
      </c>
      <c r="F32" s="13">
        <f t="shared" si="0"/>
        <v>0.17857142857142858</v>
      </c>
      <c r="G32" s="39">
        <v>5.6</v>
      </c>
    </row>
    <row r="33" spans="1:7" ht="30" customHeight="1" x14ac:dyDescent="0.25">
      <c r="A33" s="14" t="s">
        <v>81</v>
      </c>
      <c r="B33" s="15" t="s">
        <v>15</v>
      </c>
      <c r="C33" s="18" t="s">
        <v>220</v>
      </c>
      <c r="D33" s="21" t="s">
        <v>221</v>
      </c>
      <c r="E33" s="16" t="s">
        <v>20</v>
      </c>
      <c r="F33" s="13">
        <f t="shared" si="0"/>
        <v>0.22321428571428573</v>
      </c>
      <c r="G33" s="39">
        <v>4.4799999999999995</v>
      </c>
    </row>
    <row r="34" spans="1:7" ht="30" customHeight="1" x14ac:dyDescent="0.25">
      <c r="A34" s="14" t="s">
        <v>84</v>
      </c>
      <c r="B34" s="15" t="s">
        <v>15</v>
      </c>
      <c r="C34" s="18" t="s">
        <v>77</v>
      </c>
      <c r="D34" s="19" t="s">
        <v>78</v>
      </c>
      <c r="E34" s="16" t="s">
        <v>20</v>
      </c>
      <c r="F34" s="13">
        <f t="shared" si="0"/>
        <v>0.22321428571428573</v>
      </c>
      <c r="G34" s="39">
        <v>4.4799999999999995</v>
      </c>
    </row>
    <row r="35" spans="1:7" ht="30" customHeight="1" x14ac:dyDescent="0.25">
      <c r="A35" s="14" t="s">
        <v>86</v>
      </c>
      <c r="B35" s="15" t="s">
        <v>15</v>
      </c>
      <c r="C35" s="18" t="s">
        <v>227</v>
      </c>
      <c r="D35" s="21" t="s">
        <v>226</v>
      </c>
      <c r="E35" s="16" t="s">
        <v>20</v>
      </c>
      <c r="F35" s="13">
        <f t="shared" si="0"/>
        <v>0.44642857142857145</v>
      </c>
      <c r="G35" s="39">
        <v>2.2399999999999998</v>
      </c>
    </row>
    <row r="36" spans="1:7" ht="30" customHeight="1" x14ac:dyDescent="0.25">
      <c r="A36" s="14" t="s">
        <v>89</v>
      </c>
      <c r="B36" s="15" t="s">
        <v>15</v>
      </c>
      <c r="C36" s="18" t="s">
        <v>180</v>
      </c>
      <c r="D36" s="21" t="s">
        <v>225</v>
      </c>
      <c r="E36" s="16" t="s">
        <v>20</v>
      </c>
      <c r="F36" s="13">
        <f t="shared" si="0"/>
        <v>0.59523809523809523</v>
      </c>
      <c r="G36" s="39">
        <v>1.6800000000000002</v>
      </c>
    </row>
    <row r="37" spans="1:7" ht="30" customHeight="1" x14ac:dyDescent="0.25">
      <c r="A37" s="14" t="s">
        <v>91</v>
      </c>
      <c r="B37" s="15" t="s">
        <v>15</v>
      </c>
      <c r="C37" s="18" t="s">
        <v>82</v>
      </c>
      <c r="D37" s="21" t="s">
        <v>83</v>
      </c>
      <c r="E37" s="16" t="s">
        <v>20</v>
      </c>
      <c r="F37" s="13">
        <f t="shared" si="0"/>
        <v>0.14880952380952381</v>
      </c>
      <c r="G37" s="39">
        <v>6.7200000000000006</v>
      </c>
    </row>
    <row r="38" spans="1:7" ht="30" customHeight="1" x14ac:dyDescent="0.25">
      <c r="A38" s="14" t="s">
        <v>94</v>
      </c>
      <c r="B38" s="15" t="s">
        <v>15</v>
      </c>
      <c r="C38" s="18" t="s">
        <v>82</v>
      </c>
      <c r="D38" s="21" t="s">
        <v>85</v>
      </c>
      <c r="E38" s="16" t="s">
        <v>20</v>
      </c>
      <c r="F38" s="13">
        <f t="shared" si="0"/>
        <v>0.35714285714285715</v>
      </c>
      <c r="G38" s="39">
        <v>2.8</v>
      </c>
    </row>
    <row r="39" spans="1:7" ht="30" customHeight="1" x14ac:dyDescent="0.25">
      <c r="A39" s="14" t="s">
        <v>280</v>
      </c>
      <c r="B39" s="15" t="s">
        <v>265</v>
      </c>
      <c r="C39" s="18" t="s">
        <v>256</v>
      </c>
      <c r="D39" s="21" t="s">
        <v>277</v>
      </c>
      <c r="E39" s="16" t="s">
        <v>20</v>
      </c>
      <c r="F39" s="13">
        <f t="shared" si="0"/>
        <v>6.3775510204081634E-2</v>
      </c>
      <c r="G39" s="39">
        <v>15.68</v>
      </c>
    </row>
    <row r="40" spans="1:7" ht="30" customHeight="1" x14ac:dyDescent="0.25">
      <c r="A40" s="14" t="s">
        <v>281</v>
      </c>
      <c r="B40" s="15" t="s">
        <v>266</v>
      </c>
      <c r="C40" s="18" t="s">
        <v>257</v>
      </c>
      <c r="D40" s="21" t="s">
        <v>276</v>
      </c>
      <c r="E40" s="16" t="s">
        <v>20</v>
      </c>
      <c r="F40" s="13">
        <f t="shared" si="0"/>
        <v>4.96031746031746E-2</v>
      </c>
      <c r="G40" s="39">
        <v>20.16</v>
      </c>
    </row>
    <row r="41" spans="1:7" ht="30" customHeight="1" x14ac:dyDescent="0.25">
      <c r="A41" s="14" t="s">
        <v>97</v>
      </c>
      <c r="B41" s="15" t="s">
        <v>15</v>
      </c>
      <c r="C41" s="18" t="s">
        <v>87</v>
      </c>
      <c r="D41" s="22" t="s">
        <v>88</v>
      </c>
      <c r="E41" s="16" t="s">
        <v>20</v>
      </c>
      <c r="F41" s="13">
        <f t="shared" si="0"/>
        <v>0.12755102040816327</v>
      </c>
      <c r="G41" s="39">
        <v>7.84</v>
      </c>
    </row>
    <row r="42" spans="1:7" ht="30" customHeight="1" x14ac:dyDescent="0.25">
      <c r="A42" s="14" t="s">
        <v>99</v>
      </c>
      <c r="B42" s="15" t="s">
        <v>15</v>
      </c>
      <c r="C42" s="18" t="s">
        <v>255</v>
      </c>
      <c r="D42" s="22" t="s">
        <v>90</v>
      </c>
      <c r="E42" s="16" t="s">
        <v>20</v>
      </c>
      <c r="F42" s="13">
        <f t="shared" si="0"/>
        <v>0.29761904761904762</v>
      </c>
      <c r="G42" s="39">
        <v>3.3600000000000003</v>
      </c>
    </row>
    <row r="43" spans="1:7" ht="30" customHeight="1" x14ac:dyDescent="0.25">
      <c r="A43" s="14" t="s">
        <v>101</v>
      </c>
      <c r="B43" s="15" t="s">
        <v>15</v>
      </c>
      <c r="C43" s="18" t="s">
        <v>92</v>
      </c>
      <c r="D43" s="21" t="s">
        <v>93</v>
      </c>
      <c r="E43" s="16" t="s">
        <v>20</v>
      </c>
      <c r="F43" s="13">
        <f t="shared" si="0"/>
        <v>0.44642857142857145</v>
      </c>
      <c r="G43" s="39">
        <v>2.2399999999999998</v>
      </c>
    </row>
    <row r="44" spans="1:7" ht="30" customHeight="1" x14ac:dyDescent="0.25">
      <c r="A44" s="14" t="s">
        <v>104</v>
      </c>
      <c r="B44" s="15" t="s">
        <v>15</v>
      </c>
      <c r="C44" s="18" t="s">
        <v>95</v>
      </c>
      <c r="D44" s="21" t="s">
        <v>96</v>
      </c>
      <c r="E44" s="16" t="s">
        <v>20</v>
      </c>
      <c r="F44" s="13">
        <f t="shared" si="0"/>
        <v>0.29761904761904762</v>
      </c>
      <c r="G44" s="39">
        <v>3.3600000000000003</v>
      </c>
    </row>
    <row r="45" spans="1:7" ht="30" customHeight="1" x14ac:dyDescent="0.25">
      <c r="A45" s="14" t="s">
        <v>106</v>
      </c>
      <c r="B45" s="15" t="s">
        <v>15</v>
      </c>
      <c r="C45" s="18" t="s">
        <v>92</v>
      </c>
      <c r="D45" s="19" t="s">
        <v>98</v>
      </c>
      <c r="E45" s="16" t="s">
        <v>20</v>
      </c>
      <c r="F45" s="13">
        <f t="shared" si="0"/>
        <v>0.8928571428571429</v>
      </c>
      <c r="G45" s="39">
        <v>1.1199999999999999</v>
      </c>
    </row>
    <row r="46" spans="1:7" ht="30" customHeight="1" x14ac:dyDescent="0.25">
      <c r="A46" s="14" t="s">
        <v>109</v>
      </c>
      <c r="B46" s="15" t="s">
        <v>15</v>
      </c>
      <c r="C46" s="18" t="s">
        <v>95</v>
      </c>
      <c r="D46" s="21" t="s">
        <v>100</v>
      </c>
      <c r="E46" s="16" t="s">
        <v>20</v>
      </c>
      <c r="F46" s="13">
        <f t="shared" si="0"/>
        <v>0.59523809523809523</v>
      </c>
      <c r="G46" s="39">
        <v>1.6800000000000002</v>
      </c>
    </row>
    <row r="47" spans="1:7" ht="30" customHeight="1" x14ac:dyDescent="0.25">
      <c r="A47" s="14" t="s">
        <v>111</v>
      </c>
      <c r="B47" s="15" t="s">
        <v>15</v>
      </c>
      <c r="C47" s="18" t="s">
        <v>102</v>
      </c>
      <c r="D47" s="21" t="s">
        <v>103</v>
      </c>
      <c r="E47" s="16" t="s">
        <v>20</v>
      </c>
      <c r="F47" s="13">
        <f t="shared" si="0"/>
        <v>8.9285714285714288E-2</v>
      </c>
      <c r="G47" s="39">
        <v>11.2</v>
      </c>
    </row>
    <row r="48" spans="1:7" ht="30" customHeight="1" x14ac:dyDescent="0.25">
      <c r="A48" s="14" t="s">
        <v>114</v>
      </c>
      <c r="B48" s="15" t="s">
        <v>15</v>
      </c>
      <c r="C48" s="18" t="s">
        <v>269</v>
      </c>
      <c r="D48" s="21" t="s">
        <v>105</v>
      </c>
      <c r="E48" s="16" t="s">
        <v>20</v>
      </c>
      <c r="F48" s="13">
        <f t="shared" si="0"/>
        <v>0.14880952380952381</v>
      </c>
      <c r="G48" s="39">
        <v>6.7200000000000006</v>
      </c>
    </row>
    <row r="49" spans="1:7" ht="30" customHeight="1" x14ac:dyDescent="0.25">
      <c r="A49" s="14" t="s">
        <v>116</v>
      </c>
      <c r="B49" s="15" t="s">
        <v>15</v>
      </c>
      <c r="C49" s="18" t="s">
        <v>107</v>
      </c>
      <c r="D49" s="19" t="s">
        <v>108</v>
      </c>
      <c r="E49" s="16" t="s">
        <v>20</v>
      </c>
      <c r="F49" s="13">
        <f t="shared" si="0"/>
        <v>0.14880952380952381</v>
      </c>
      <c r="G49" s="39">
        <v>6.7200000000000006</v>
      </c>
    </row>
    <row r="50" spans="1:7" ht="30" customHeight="1" x14ac:dyDescent="0.25">
      <c r="A50" s="14" t="s">
        <v>119</v>
      </c>
      <c r="B50" s="15" t="s">
        <v>15</v>
      </c>
      <c r="C50" s="18" t="s">
        <v>258</v>
      </c>
      <c r="D50" s="19" t="s">
        <v>110</v>
      </c>
      <c r="E50" s="16" t="s">
        <v>20</v>
      </c>
      <c r="F50" s="13">
        <f t="shared" si="0"/>
        <v>0.29761904761904762</v>
      </c>
      <c r="G50" s="39">
        <v>3.3600000000000003</v>
      </c>
    </row>
    <row r="51" spans="1:7" ht="30" customHeight="1" x14ac:dyDescent="0.25">
      <c r="A51" s="14" t="s">
        <v>121</v>
      </c>
      <c r="B51" s="15" t="s">
        <v>15</v>
      </c>
      <c r="C51" s="18" t="s">
        <v>112</v>
      </c>
      <c r="D51" s="19" t="s">
        <v>113</v>
      </c>
      <c r="E51" s="16" t="s">
        <v>20</v>
      </c>
      <c r="F51" s="13">
        <f t="shared" si="0"/>
        <v>7.4404761904761904E-2</v>
      </c>
      <c r="G51" s="39">
        <v>13.440000000000001</v>
      </c>
    </row>
    <row r="52" spans="1:7" ht="30" customHeight="1" x14ac:dyDescent="0.25">
      <c r="A52" s="14" t="s">
        <v>124</v>
      </c>
      <c r="B52" s="15" t="s">
        <v>15</v>
      </c>
      <c r="C52" s="18" t="s">
        <v>259</v>
      </c>
      <c r="D52" s="21" t="s">
        <v>115</v>
      </c>
      <c r="E52" s="16" t="s">
        <v>20</v>
      </c>
      <c r="F52" s="13">
        <f t="shared" si="0"/>
        <v>0.14880952380952381</v>
      </c>
      <c r="G52" s="39">
        <v>6.7200000000000006</v>
      </c>
    </row>
    <row r="53" spans="1:7" ht="30" customHeight="1" x14ac:dyDescent="0.25">
      <c r="A53" s="14" t="s">
        <v>126</v>
      </c>
      <c r="B53" s="15" t="s">
        <v>15</v>
      </c>
      <c r="C53" s="18" t="s">
        <v>117</v>
      </c>
      <c r="D53" s="19" t="s">
        <v>118</v>
      </c>
      <c r="E53" s="16" t="s">
        <v>20</v>
      </c>
      <c r="F53" s="13">
        <f t="shared" si="0"/>
        <v>0.14880952380952381</v>
      </c>
      <c r="G53" s="39">
        <v>6.7200000000000006</v>
      </c>
    </row>
    <row r="54" spans="1:7" ht="30" customHeight="1" x14ac:dyDescent="0.25">
      <c r="A54" s="14" t="s">
        <v>129</v>
      </c>
      <c r="B54" s="15" t="s">
        <v>15</v>
      </c>
      <c r="C54" s="18" t="s">
        <v>260</v>
      </c>
      <c r="D54" s="19" t="s">
        <v>120</v>
      </c>
      <c r="E54" s="16" t="s">
        <v>20</v>
      </c>
      <c r="F54" s="13">
        <f t="shared" si="0"/>
        <v>0.29761904761904762</v>
      </c>
      <c r="G54" s="39">
        <v>3.3600000000000003</v>
      </c>
    </row>
    <row r="55" spans="1:7" ht="30" customHeight="1" x14ac:dyDescent="0.25">
      <c r="A55" s="14" t="s">
        <v>131</v>
      </c>
      <c r="B55" s="15" t="s">
        <v>15</v>
      </c>
      <c r="C55" s="18" t="s">
        <v>122</v>
      </c>
      <c r="D55" s="19" t="s">
        <v>123</v>
      </c>
      <c r="E55" s="16" t="s">
        <v>20</v>
      </c>
      <c r="F55" s="13">
        <f t="shared" si="0"/>
        <v>8.1168831168831168E-2</v>
      </c>
      <c r="G55" s="39">
        <v>12.32</v>
      </c>
    </row>
    <row r="56" spans="1:7" ht="30" customHeight="1" x14ac:dyDescent="0.25">
      <c r="A56" s="14" t="s">
        <v>134</v>
      </c>
      <c r="B56" s="15" t="s">
        <v>15</v>
      </c>
      <c r="C56" s="18" t="s">
        <v>122</v>
      </c>
      <c r="D56" s="19" t="s">
        <v>125</v>
      </c>
      <c r="E56" s="16" t="s">
        <v>20</v>
      </c>
      <c r="F56" s="13">
        <f t="shared" si="0"/>
        <v>0.22321428571428573</v>
      </c>
      <c r="G56" s="39">
        <v>4.4799999999999995</v>
      </c>
    </row>
    <row r="57" spans="1:7" ht="30" customHeight="1" x14ac:dyDescent="0.25">
      <c r="A57" s="14" t="s">
        <v>136</v>
      </c>
      <c r="B57" s="15" t="s">
        <v>15</v>
      </c>
      <c r="C57" s="18" t="s">
        <v>127</v>
      </c>
      <c r="D57" s="21" t="s">
        <v>128</v>
      </c>
      <c r="E57" s="16" t="s">
        <v>20</v>
      </c>
      <c r="F57" s="13">
        <f t="shared" si="0"/>
        <v>8.9285714285714288E-2</v>
      </c>
      <c r="G57" s="39">
        <v>11.2</v>
      </c>
    </row>
    <row r="58" spans="1:7" ht="30" customHeight="1" x14ac:dyDescent="0.25">
      <c r="A58" s="14" t="s">
        <v>139</v>
      </c>
      <c r="B58" s="15" t="s">
        <v>15</v>
      </c>
      <c r="C58" s="18" t="s">
        <v>127</v>
      </c>
      <c r="D58" s="21" t="s">
        <v>130</v>
      </c>
      <c r="E58" s="16" t="s">
        <v>20</v>
      </c>
      <c r="F58" s="13">
        <f t="shared" si="0"/>
        <v>0.17857142857142858</v>
      </c>
      <c r="G58" s="39">
        <v>5.6</v>
      </c>
    </row>
    <row r="59" spans="1:7" ht="30" customHeight="1" x14ac:dyDescent="0.25">
      <c r="A59" s="14" t="s">
        <v>141</v>
      </c>
      <c r="B59" s="15" t="s">
        <v>15</v>
      </c>
      <c r="C59" s="18" t="s">
        <v>132</v>
      </c>
      <c r="D59" s="19" t="s">
        <v>133</v>
      </c>
      <c r="E59" s="16" t="s">
        <v>20</v>
      </c>
      <c r="F59" s="13">
        <f t="shared" si="0"/>
        <v>6.3775510204081634E-2</v>
      </c>
      <c r="G59" s="39">
        <v>15.68</v>
      </c>
    </row>
    <row r="60" spans="1:7" ht="30" customHeight="1" x14ac:dyDescent="0.25">
      <c r="A60" s="14" t="s">
        <v>144</v>
      </c>
      <c r="B60" s="15" t="s">
        <v>15</v>
      </c>
      <c r="C60" s="18" t="s">
        <v>132</v>
      </c>
      <c r="D60" s="19" t="s">
        <v>135</v>
      </c>
      <c r="E60" s="16" t="s">
        <v>20</v>
      </c>
      <c r="F60" s="13">
        <f t="shared" si="0"/>
        <v>0.22321428571428573</v>
      </c>
      <c r="G60" s="39">
        <v>4.4799999999999995</v>
      </c>
    </row>
    <row r="61" spans="1:7" ht="30" customHeight="1" x14ac:dyDescent="0.25">
      <c r="A61" s="14" t="s">
        <v>146</v>
      </c>
      <c r="B61" s="15" t="s">
        <v>15</v>
      </c>
      <c r="C61" s="20" t="s">
        <v>137</v>
      </c>
      <c r="D61" s="19" t="s">
        <v>138</v>
      </c>
      <c r="E61" s="16" t="s">
        <v>20</v>
      </c>
      <c r="F61" s="13">
        <f t="shared" si="0"/>
        <v>7.4404761904761904E-2</v>
      </c>
      <c r="G61" s="39">
        <v>13.440000000000001</v>
      </c>
    </row>
    <row r="62" spans="1:7" ht="30" customHeight="1" x14ac:dyDescent="0.25">
      <c r="A62" s="14" t="s">
        <v>148</v>
      </c>
      <c r="B62" s="15" t="s">
        <v>15</v>
      </c>
      <c r="C62" s="18" t="s">
        <v>137</v>
      </c>
      <c r="D62" s="19" t="s">
        <v>140</v>
      </c>
      <c r="E62" s="16" t="s">
        <v>20</v>
      </c>
      <c r="F62" s="13">
        <f t="shared" si="0"/>
        <v>0.22321428571428573</v>
      </c>
      <c r="G62" s="39">
        <v>4.4799999999999995</v>
      </c>
    </row>
    <row r="63" spans="1:7" ht="30" customHeight="1" x14ac:dyDescent="0.25">
      <c r="A63" s="14" t="s">
        <v>151</v>
      </c>
      <c r="B63" s="15" t="s">
        <v>15</v>
      </c>
      <c r="C63" s="18" t="s">
        <v>262</v>
      </c>
      <c r="D63" s="21" t="s">
        <v>143</v>
      </c>
      <c r="E63" s="16" t="s">
        <v>20</v>
      </c>
      <c r="F63" s="13">
        <f t="shared" si="0"/>
        <v>0.11160714285714286</v>
      </c>
      <c r="G63" s="39">
        <v>8.9599999999999991</v>
      </c>
    </row>
    <row r="64" spans="1:7" ht="30" customHeight="1" x14ac:dyDescent="0.25">
      <c r="A64" s="14" t="s">
        <v>153</v>
      </c>
      <c r="B64" s="15" t="s">
        <v>15</v>
      </c>
      <c r="C64" s="18" t="s">
        <v>261</v>
      </c>
      <c r="D64" s="21" t="s">
        <v>145</v>
      </c>
      <c r="E64" s="16" t="s">
        <v>20</v>
      </c>
      <c r="F64" s="13">
        <f t="shared" si="0"/>
        <v>6.8681318681318687E-2</v>
      </c>
      <c r="G64" s="39">
        <v>14.559999999999999</v>
      </c>
    </row>
    <row r="65" spans="1:7" ht="30" customHeight="1" x14ac:dyDescent="0.25">
      <c r="A65" s="14" t="s">
        <v>156</v>
      </c>
      <c r="B65" s="15" t="s">
        <v>15</v>
      </c>
      <c r="C65" s="18" t="s">
        <v>232</v>
      </c>
      <c r="D65" s="21" t="s">
        <v>147</v>
      </c>
      <c r="E65" s="16" t="s">
        <v>20</v>
      </c>
      <c r="F65" s="13">
        <f t="shared" si="0"/>
        <v>0.22321428571428573</v>
      </c>
      <c r="G65" s="39">
        <v>4.4799999999999995</v>
      </c>
    </row>
    <row r="66" spans="1:7" ht="30" customHeight="1" x14ac:dyDescent="0.25">
      <c r="A66" s="14" t="s">
        <v>158</v>
      </c>
      <c r="B66" s="15" t="s">
        <v>15</v>
      </c>
      <c r="C66" s="18" t="s">
        <v>149</v>
      </c>
      <c r="D66" s="19" t="s">
        <v>150</v>
      </c>
      <c r="E66" s="16" t="s">
        <v>20</v>
      </c>
      <c r="F66" s="13">
        <f t="shared" si="0"/>
        <v>7.4404761904761904E-2</v>
      </c>
      <c r="G66" s="39">
        <v>13.440000000000001</v>
      </c>
    </row>
    <row r="67" spans="1:7" ht="30" customHeight="1" x14ac:dyDescent="0.25">
      <c r="A67" s="14" t="s">
        <v>160</v>
      </c>
      <c r="B67" s="15" t="s">
        <v>15</v>
      </c>
      <c r="C67" s="18" t="s">
        <v>149</v>
      </c>
      <c r="D67" s="19" t="s">
        <v>152</v>
      </c>
      <c r="E67" s="16" t="s">
        <v>20</v>
      </c>
      <c r="F67" s="13">
        <f t="shared" si="0"/>
        <v>0.14880952380952381</v>
      </c>
      <c r="G67" s="39">
        <v>6.7200000000000006</v>
      </c>
    </row>
    <row r="68" spans="1:7" ht="30" customHeight="1" x14ac:dyDescent="0.25">
      <c r="A68" s="14" t="s">
        <v>238</v>
      </c>
      <c r="B68" s="15" t="s">
        <v>15</v>
      </c>
      <c r="C68" s="18" t="s">
        <v>264</v>
      </c>
      <c r="D68" s="21" t="s">
        <v>155</v>
      </c>
      <c r="E68" s="16" t="s">
        <v>20</v>
      </c>
      <c r="F68" s="13">
        <f t="shared" si="0"/>
        <v>8.9285714285714288E-2</v>
      </c>
      <c r="G68" s="39">
        <v>11.2</v>
      </c>
    </row>
    <row r="69" spans="1:7" ht="30" customHeight="1" x14ac:dyDescent="0.25">
      <c r="A69" s="14" t="s">
        <v>239</v>
      </c>
      <c r="B69" s="15" t="s">
        <v>15</v>
      </c>
      <c r="C69" s="18" t="s">
        <v>263</v>
      </c>
      <c r="D69" s="21" t="s">
        <v>157</v>
      </c>
      <c r="E69" s="16" t="s">
        <v>20</v>
      </c>
      <c r="F69" s="13">
        <f t="shared" si="0"/>
        <v>5.5803571428571432E-2</v>
      </c>
      <c r="G69" s="39">
        <v>17.919999999999998</v>
      </c>
    </row>
    <row r="70" spans="1:7" ht="30" customHeight="1" x14ac:dyDescent="0.25">
      <c r="A70" s="14" t="s">
        <v>242</v>
      </c>
      <c r="B70" s="15" t="s">
        <v>15</v>
      </c>
      <c r="C70" s="18" t="s">
        <v>231</v>
      </c>
      <c r="D70" s="21" t="s">
        <v>159</v>
      </c>
      <c r="E70" s="16" t="s">
        <v>20</v>
      </c>
      <c r="F70" s="13">
        <f t="shared" si="0"/>
        <v>0.17857142857142858</v>
      </c>
      <c r="G70" s="39">
        <v>5.6</v>
      </c>
    </row>
    <row r="71" spans="1:7" ht="30" customHeight="1" x14ac:dyDescent="0.25">
      <c r="A71" s="23"/>
      <c r="B71" s="24"/>
      <c r="C71" s="24"/>
      <c r="D71" s="23" t="s">
        <v>207</v>
      </c>
      <c r="E71" s="25"/>
      <c r="F71" s="29"/>
      <c r="G71" s="17"/>
    </row>
    <row r="72" spans="1:7" ht="30" customHeight="1" x14ac:dyDescent="0.25">
      <c r="A72" s="14" t="s">
        <v>164</v>
      </c>
      <c r="B72" s="15" t="s">
        <v>165</v>
      </c>
      <c r="C72" s="32" t="s">
        <v>24</v>
      </c>
      <c r="D72" s="19" t="s">
        <v>25</v>
      </c>
      <c r="E72" s="16" t="s">
        <v>20</v>
      </c>
      <c r="F72" s="13">
        <f t="shared" ref="F72:F94" si="1">1/G72</f>
        <v>0.22321428571428573</v>
      </c>
      <c r="G72" s="39">
        <v>4.4799999999999995</v>
      </c>
    </row>
    <row r="73" spans="1:7" ht="30" customHeight="1" x14ac:dyDescent="0.25">
      <c r="A73" s="14" t="s">
        <v>166</v>
      </c>
      <c r="B73" s="30" t="s">
        <v>165</v>
      </c>
      <c r="C73" s="34" t="s">
        <v>209</v>
      </c>
      <c r="D73" s="31" t="s">
        <v>27</v>
      </c>
      <c r="E73" s="16" t="s">
        <v>20</v>
      </c>
      <c r="F73" s="13">
        <f t="shared" si="1"/>
        <v>0.44642857142857145</v>
      </c>
      <c r="G73" s="39">
        <v>2.2399999999999998</v>
      </c>
    </row>
    <row r="74" spans="1:7" ht="30" customHeight="1" x14ac:dyDescent="0.25">
      <c r="A74" s="14" t="s">
        <v>167</v>
      </c>
      <c r="B74" s="15" t="s">
        <v>165</v>
      </c>
      <c r="C74" s="33" t="s">
        <v>40</v>
      </c>
      <c r="D74" s="19" t="s">
        <v>41</v>
      </c>
      <c r="E74" s="16" t="s">
        <v>20</v>
      </c>
      <c r="F74" s="13">
        <f t="shared" si="1"/>
        <v>7.4404761904761904E-2</v>
      </c>
      <c r="G74" s="39">
        <v>13.440000000000001</v>
      </c>
    </row>
    <row r="75" spans="1:7" ht="30" customHeight="1" x14ac:dyDescent="0.25">
      <c r="A75" s="14" t="s">
        <v>168</v>
      </c>
      <c r="B75" s="15" t="s">
        <v>165</v>
      </c>
      <c r="C75" s="18" t="s">
        <v>40</v>
      </c>
      <c r="D75" s="19" t="s">
        <v>44</v>
      </c>
      <c r="E75" s="16" t="s">
        <v>20</v>
      </c>
      <c r="F75" s="13">
        <f t="shared" si="1"/>
        <v>0.17857142857142858</v>
      </c>
      <c r="G75" s="39">
        <v>5.6</v>
      </c>
    </row>
    <row r="76" spans="1:7" ht="30" customHeight="1" x14ac:dyDescent="0.25">
      <c r="A76" s="14" t="s">
        <v>278</v>
      </c>
      <c r="B76" s="15" t="s">
        <v>165</v>
      </c>
      <c r="C76" s="18" t="s">
        <v>34</v>
      </c>
      <c r="D76" s="19" t="s">
        <v>35</v>
      </c>
      <c r="E76" s="16" t="s">
        <v>20</v>
      </c>
      <c r="F76" s="13">
        <f t="shared" si="1"/>
        <v>7.1428571428571425E-2</v>
      </c>
      <c r="G76" s="39">
        <v>14</v>
      </c>
    </row>
    <row r="77" spans="1:7" ht="30" customHeight="1" x14ac:dyDescent="0.25">
      <c r="A77" s="14" t="s">
        <v>279</v>
      </c>
      <c r="B77" s="15" t="s">
        <v>165</v>
      </c>
      <c r="C77" s="18" t="s">
        <v>37</v>
      </c>
      <c r="D77" s="19" t="s">
        <v>38</v>
      </c>
      <c r="E77" s="16" t="s">
        <v>20</v>
      </c>
      <c r="F77" s="13">
        <f t="shared" si="1"/>
        <v>0.14285714285714285</v>
      </c>
      <c r="G77" s="39">
        <v>7</v>
      </c>
    </row>
    <row r="78" spans="1:7" ht="30" customHeight="1" x14ac:dyDescent="0.25">
      <c r="A78" s="14" t="s">
        <v>169</v>
      </c>
      <c r="B78" s="15" t="s">
        <v>165</v>
      </c>
      <c r="C78" s="18" t="s">
        <v>61</v>
      </c>
      <c r="D78" s="19" t="s">
        <v>170</v>
      </c>
      <c r="E78" s="16" t="s">
        <v>20</v>
      </c>
      <c r="F78" s="13">
        <f t="shared" si="1"/>
        <v>7.4404761904761904E-2</v>
      </c>
      <c r="G78" s="39">
        <v>13.440000000000001</v>
      </c>
    </row>
    <row r="79" spans="1:7" ht="30" customHeight="1" x14ac:dyDescent="0.25">
      <c r="A79" s="14" t="s">
        <v>171</v>
      </c>
      <c r="B79" s="15" t="s">
        <v>165</v>
      </c>
      <c r="C79" s="18" t="s">
        <v>217</v>
      </c>
      <c r="D79" s="21" t="s">
        <v>213</v>
      </c>
      <c r="E79" s="16" t="s">
        <v>20</v>
      </c>
      <c r="F79" s="13">
        <f t="shared" si="1"/>
        <v>0.1984126984126984</v>
      </c>
      <c r="G79" s="39">
        <v>5.04</v>
      </c>
    </row>
    <row r="80" spans="1:7" ht="30" customHeight="1" x14ac:dyDescent="0.25">
      <c r="A80" s="14" t="s">
        <v>172</v>
      </c>
      <c r="B80" s="15" t="s">
        <v>165</v>
      </c>
      <c r="C80" s="18" t="s">
        <v>212</v>
      </c>
      <c r="D80" s="21" t="s">
        <v>214</v>
      </c>
      <c r="E80" s="16" t="s">
        <v>20</v>
      </c>
      <c r="F80" s="13">
        <f t="shared" si="1"/>
        <v>0.29761904761904762</v>
      </c>
      <c r="G80" s="39">
        <v>3.3600000000000003</v>
      </c>
    </row>
    <row r="81" spans="1:7" ht="30" customHeight="1" x14ac:dyDescent="0.25">
      <c r="A81" s="14" t="s">
        <v>173</v>
      </c>
      <c r="B81" s="15" t="s">
        <v>165</v>
      </c>
      <c r="C81" s="18" t="s">
        <v>72</v>
      </c>
      <c r="D81" s="19" t="s">
        <v>73</v>
      </c>
      <c r="E81" s="16" t="s">
        <v>20</v>
      </c>
      <c r="F81" s="13">
        <f t="shared" si="1"/>
        <v>6.3775510204081634E-2</v>
      </c>
      <c r="G81" s="39">
        <v>15.68</v>
      </c>
    </row>
    <row r="82" spans="1:7" ht="30" customHeight="1" x14ac:dyDescent="0.25">
      <c r="A82" s="14" t="s">
        <v>174</v>
      </c>
      <c r="B82" s="15" t="s">
        <v>165</v>
      </c>
      <c r="C82" s="18" t="s">
        <v>219</v>
      </c>
      <c r="D82" s="21" t="s">
        <v>218</v>
      </c>
      <c r="E82" s="16" t="s">
        <v>20</v>
      </c>
      <c r="F82" s="13">
        <f t="shared" si="1"/>
        <v>0.13736263736263737</v>
      </c>
      <c r="G82" s="39">
        <v>7.2799999999999994</v>
      </c>
    </row>
    <row r="83" spans="1:7" ht="30" customHeight="1" x14ac:dyDescent="0.25">
      <c r="A83" s="14" t="s">
        <v>175</v>
      </c>
      <c r="B83" s="15" t="s">
        <v>165</v>
      </c>
      <c r="C83" s="18" t="s">
        <v>220</v>
      </c>
      <c r="D83" s="21" t="s">
        <v>221</v>
      </c>
      <c r="E83" s="16" t="s">
        <v>20</v>
      </c>
      <c r="F83" s="13">
        <f t="shared" si="1"/>
        <v>0.17857142857142858</v>
      </c>
      <c r="G83" s="39">
        <v>5.6</v>
      </c>
    </row>
    <row r="84" spans="1:7" ht="30" customHeight="1" x14ac:dyDescent="0.25">
      <c r="A84" s="14" t="s">
        <v>176</v>
      </c>
      <c r="B84" s="15" t="s">
        <v>165</v>
      </c>
      <c r="C84" s="18" t="s">
        <v>77</v>
      </c>
      <c r="D84" s="19" t="s">
        <v>177</v>
      </c>
      <c r="E84" s="16" t="s">
        <v>20</v>
      </c>
      <c r="F84" s="13">
        <f t="shared" si="1"/>
        <v>8.9285714285714288E-2</v>
      </c>
      <c r="G84" s="39">
        <v>11.2</v>
      </c>
    </row>
    <row r="85" spans="1:7" ht="30" customHeight="1" x14ac:dyDescent="0.25">
      <c r="A85" s="14" t="s">
        <v>178</v>
      </c>
      <c r="B85" s="15" t="s">
        <v>165</v>
      </c>
      <c r="C85" s="18" t="s">
        <v>227</v>
      </c>
      <c r="D85" s="21" t="s">
        <v>229</v>
      </c>
      <c r="E85" s="16" t="s">
        <v>20</v>
      </c>
      <c r="F85" s="13">
        <f t="shared" si="1"/>
        <v>0.35714285714285715</v>
      </c>
      <c r="G85" s="39">
        <v>2.8</v>
      </c>
    </row>
    <row r="86" spans="1:7" ht="30" customHeight="1" x14ac:dyDescent="0.25">
      <c r="A86" s="14" t="s">
        <v>179</v>
      </c>
      <c r="B86" s="15" t="s">
        <v>165</v>
      </c>
      <c r="C86" s="18" t="s">
        <v>180</v>
      </c>
      <c r="D86" s="21" t="s">
        <v>228</v>
      </c>
      <c r="E86" s="16" t="s">
        <v>20</v>
      </c>
      <c r="F86" s="13">
        <f t="shared" si="1"/>
        <v>0.44642857142857145</v>
      </c>
      <c r="G86" s="39">
        <v>2.2399999999999998</v>
      </c>
    </row>
    <row r="87" spans="1:7" ht="30" customHeight="1" x14ac:dyDescent="0.25">
      <c r="A87" s="14" t="s">
        <v>181</v>
      </c>
      <c r="B87" s="15" t="s">
        <v>165</v>
      </c>
      <c r="C87" s="18" t="s">
        <v>92</v>
      </c>
      <c r="D87" s="21" t="s">
        <v>93</v>
      </c>
      <c r="E87" s="16" t="s">
        <v>20</v>
      </c>
      <c r="F87" s="13">
        <f t="shared" si="1"/>
        <v>0.22321428571428573</v>
      </c>
      <c r="G87" s="39">
        <v>4.4799999999999995</v>
      </c>
    </row>
    <row r="88" spans="1:7" ht="30" customHeight="1" x14ac:dyDescent="0.25">
      <c r="A88" s="14" t="s">
        <v>182</v>
      </c>
      <c r="B88" s="15" t="s">
        <v>165</v>
      </c>
      <c r="C88" s="18" t="s">
        <v>252</v>
      </c>
      <c r="D88" s="19" t="s">
        <v>98</v>
      </c>
      <c r="E88" s="16" t="s">
        <v>20</v>
      </c>
      <c r="F88" s="13">
        <f t="shared" si="1"/>
        <v>0.59523809523809523</v>
      </c>
      <c r="G88" s="39">
        <v>1.6800000000000002</v>
      </c>
    </row>
    <row r="89" spans="1:7" ht="30" customHeight="1" x14ac:dyDescent="0.25">
      <c r="A89" s="14" t="s">
        <v>183</v>
      </c>
      <c r="B89" s="15" t="s">
        <v>165</v>
      </c>
      <c r="C89" s="18" t="s">
        <v>132</v>
      </c>
      <c r="D89" s="19" t="s">
        <v>133</v>
      </c>
      <c r="E89" s="16" t="s">
        <v>20</v>
      </c>
      <c r="F89" s="13">
        <f t="shared" si="1"/>
        <v>5.5803571428571432E-2</v>
      </c>
      <c r="G89" s="39">
        <v>17.919999999999998</v>
      </c>
    </row>
    <row r="90" spans="1:7" ht="30" customHeight="1" x14ac:dyDescent="0.25">
      <c r="A90" s="14" t="s">
        <v>184</v>
      </c>
      <c r="B90" s="15" t="s">
        <v>165</v>
      </c>
      <c r="C90" s="18" t="s">
        <v>132</v>
      </c>
      <c r="D90" s="19" t="s">
        <v>135</v>
      </c>
      <c r="E90" s="16" t="s">
        <v>20</v>
      </c>
      <c r="F90" s="13">
        <f t="shared" si="1"/>
        <v>0.14880952380952381</v>
      </c>
      <c r="G90" s="39">
        <v>6.7200000000000006</v>
      </c>
    </row>
    <row r="91" spans="1:7" ht="30" customHeight="1" x14ac:dyDescent="0.25">
      <c r="A91" s="14" t="s">
        <v>185</v>
      </c>
      <c r="B91" s="15" t="s">
        <v>165</v>
      </c>
      <c r="C91" s="18" t="s">
        <v>142</v>
      </c>
      <c r="D91" s="21" t="s">
        <v>186</v>
      </c>
      <c r="E91" s="16" t="s">
        <v>20</v>
      </c>
      <c r="F91" s="13">
        <f t="shared" si="1"/>
        <v>7.4404761904761904E-2</v>
      </c>
      <c r="G91" s="39">
        <v>13.440000000000001</v>
      </c>
    </row>
    <row r="92" spans="1:7" ht="30" customHeight="1" x14ac:dyDescent="0.25">
      <c r="A92" s="14" t="s">
        <v>187</v>
      </c>
      <c r="B92" s="15" t="s">
        <v>165</v>
      </c>
      <c r="C92" s="18" t="s">
        <v>232</v>
      </c>
      <c r="D92" s="21" t="s">
        <v>222</v>
      </c>
      <c r="E92" s="16" t="s">
        <v>20</v>
      </c>
      <c r="F92" s="13">
        <f t="shared" si="1"/>
        <v>0.22321428571428573</v>
      </c>
      <c r="G92" s="39">
        <v>4.4799999999999995</v>
      </c>
    </row>
    <row r="93" spans="1:7" ht="30" customHeight="1" x14ac:dyDescent="0.25">
      <c r="A93" s="14" t="s">
        <v>188</v>
      </c>
      <c r="B93" s="15" t="s">
        <v>165</v>
      </c>
      <c r="C93" s="35" t="s">
        <v>154</v>
      </c>
      <c r="D93" s="21" t="s">
        <v>233</v>
      </c>
      <c r="E93" s="16" t="s">
        <v>20</v>
      </c>
      <c r="F93" s="13">
        <f t="shared" si="1"/>
        <v>5.9523809523809534E-2</v>
      </c>
      <c r="G93" s="39">
        <v>16.799999999999997</v>
      </c>
    </row>
    <row r="94" spans="1:7" ht="30" customHeight="1" x14ac:dyDescent="0.25">
      <c r="A94" s="14" t="s">
        <v>230</v>
      </c>
      <c r="B94" s="15" t="s">
        <v>165</v>
      </c>
      <c r="C94" s="35" t="s">
        <v>231</v>
      </c>
      <c r="D94" s="21" t="s">
        <v>234</v>
      </c>
      <c r="E94" s="16" t="s">
        <v>20</v>
      </c>
      <c r="F94" s="13">
        <f t="shared" si="1"/>
        <v>0.17857142857142858</v>
      </c>
      <c r="G94" s="39">
        <v>5.6</v>
      </c>
    </row>
    <row r="95" spans="1:7" ht="30" customHeight="1" x14ac:dyDescent="0.25">
      <c r="A95" s="23"/>
      <c r="B95" s="17"/>
      <c r="C95" s="24"/>
      <c r="D95" s="23" t="s">
        <v>210</v>
      </c>
      <c r="E95" s="25"/>
      <c r="F95" s="29"/>
      <c r="G95" s="17"/>
    </row>
    <row r="96" spans="1:7" ht="30" customHeight="1" x14ac:dyDescent="0.25">
      <c r="A96" s="14">
        <v>8200</v>
      </c>
      <c r="B96" s="15" t="s">
        <v>16</v>
      </c>
      <c r="C96" s="15" t="s">
        <v>16</v>
      </c>
      <c r="D96" s="21" t="s">
        <v>189</v>
      </c>
      <c r="E96" s="16" t="s">
        <v>20</v>
      </c>
      <c r="F96" s="13">
        <f t="shared" ref="F96:F112" si="2">1/G96</f>
        <v>1.7857142857142858</v>
      </c>
      <c r="G96" s="39">
        <v>0.55999999999999994</v>
      </c>
    </row>
    <row r="97" spans="1:7" ht="30" customHeight="1" x14ac:dyDescent="0.25">
      <c r="A97" s="14">
        <v>8201</v>
      </c>
      <c r="B97" s="15" t="s">
        <v>16</v>
      </c>
      <c r="C97" s="15" t="s">
        <v>16</v>
      </c>
      <c r="D97" s="21" t="s">
        <v>190</v>
      </c>
      <c r="E97" s="16" t="s">
        <v>20</v>
      </c>
      <c r="F97" s="13">
        <f t="shared" si="2"/>
        <v>0.35714285714285715</v>
      </c>
      <c r="G97" s="39">
        <v>2.8</v>
      </c>
    </row>
    <row r="98" spans="1:7" ht="30" customHeight="1" x14ac:dyDescent="0.25">
      <c r="A98" s="14">
        <v>8202</v>
      </c>
      <c r="B98" s="15" t="s">
        <v>16</v>
      </c>
      <c r="C98" s="15" t="s">
        <v>223</v>
      </c>
      <c r="D98" s="21" t="s">
        <v>199</v>
      </c>
      <c r="E98" s="16" t="s">
        <v>20</v>
      </c>
      <c r="F98" s="13">
        <f t="shared" ref="F98" si="3">1/G98</f>
        <v>0.44642857142857145</v>
      </c>
      <c r="G98" s="39">
        <v>2.2399999999999998</v>
      </c>
    </row>
    <row r="99" spans="1:7" ht="30" customHeight="1" x14ac:dyDescent="0.25">
      <c r="A99" s="14">
        <v>8203</v>
      </c>
      <c r="B99" s="15" t="s">
        <v>16</v>
      </c>
      <c r="C99" s="15" t="s">
        <v>223</v>
      </c>
      <c r="D99" s="21" t="s">
        <v>191</v>
      </c>
      <c r="E99" s="16" t="s">
        <v>20</v>
      </c>
      <c r="F99" s="13">
        <f t="shared" si="2"/>
        <v>0.8928571428571429</v>
      </c>
      <c r="G99" s="39">
        <v>1.1199999999999999</v>
      </c>
    </row>
    <row r="100" spans="1:7" ht="30" customHeight="1" x14ac:dyDescent="0.25">
      <c r="A100" s="14">
        <v>8204</v>
      </c>
      <c r="B100" s="15" t="s">
        <v>16</v>
      </c>
      <c r="C100" s="15" t="s">
        <v>16</v>
      </c>
      <c r="D100" s="21" t="s">
        <v>192</v>
      </c>
      <c r="E100" s="16" t="s">
        <v>20</v>
      </c>
      <c r="F100" s="13">
        <f t="shared" si="2"/>
        <v>0.29761904761904762</v>
      </c>
      <c r="G100" s="39">
        <v>3.3600000000000003</v>
      </c>
    </row>
    <row r="101" spans="1:7" ht="30" customHeight="1" x14ac:dyDescent="0.25">
      <c r="A101" s="14">
        <v>8205</v>
      </c>
      <c r="B101" s="15" t="s">
        <v>16</v>
      </c>
      <c r="C101" s="15" t="s">
        <v>224</v>
      </c>
      <c r="D101" s="21" t="s">
        <v>193</v>
      </c>
      <c r="E101" s="16" t="s">
        <v>20</v>
      </c>
      <c r="F101" s="13">
        <f t="shared" si="2"/>
        <v>0.8928571428571429</v>
      </c>
      <c r="G101" s="39">
        <v>1.1199999999999999</v>
      </c>
    </row>
    <row r="102" spans="1:7" ht="30" customHeight="1" x14ac:dyDescent="0.25">
      <c r="A102" s="14">
        <v>8206</v>
      </c>
      <c r="B102" s="15" t="s">
        <v>16</v>
      </c>
      <c r="C102" s="15" t="s">
        <v>16</v>
      </c>
      <c r="D102" s="21" t="s">
        <v>194</v>
      </c>
      <c r="E102" s="16" t="s">
        <v>20</v>
      </c>
      <c r="F102" s="13">
        <f t="shared" si="2"/>
        <v>0.8928571428571429</v>
      </c>
      <c r="G102" s="39">
        <v>1.1199999999999999</v>
      </c>
    </row>
    <row r="103" spans="1:7" ht="30" customHeight="1" x14ac:dyDescent="0.25">
      <c r="A103" s="14">
        <v>8207</v>
      </c>
      <c r="B103" s="15" t="s">
        <v>16</v>
      </c>
      <c r="C103" s="15" t="s">
        <v>16</v>
      </c>
      <c r="D103" s="21" t="s">
        <v>195</v>
      </c>
      <c r="E103" s="16" t="s">
        <v>20</v>
      </c>
      <c r="F103" s="13">
        <f t="shared" si="2"/>
        <v>1.7857142857142858</v>
      </c>
      <c r="G103" s="39">
        <v>0.55999999999999994</v>
      </c>
    </row>
    <row r="104" spans="1:7" ht="30" customHeight="1" x14ac:dyDescent="0.25">
      <c r="A104" s="14">
        <v>8208</v>
      </c>
      <c r="B104" s="15" t="s">
        <v>16</v>
      </c>
      <c r="C104" s="15" t="s">
        <v>16</v>
      </c>
      <c r="D104" s="21" t="s">
        <v>196</v>
      </c>
      <c r="E104" s="16" t="s">
        <v>20</v>
      </c>
      <c r="F104" s="13">
        <f t="shared" si="2"/>
        <v>1.7857142857142858</v>
      </c>
      <c r="G104" s="39">
        <v>0.55999999999999994</v>
      </c>
    </row>
    <row r="105" spans="1:7" ht="30" customHeight="1" x14ac:dyDescent="0.25">
      <c r="A105" s="14">
        <v>8209</v>
      </c>
      <c r="B105" s="15" t="s">
        <v>16</v>
      </c>
      <c r="C105" s="15" t="s">
        <v>16</v>
      </c>
      <c r="D105" s="21" t="s">
        <v>197</v>
      </c>
      <c r="E105" s="16" t="s">
        <v>20</v>
      </c>
      <c r="F105" s="13">
        <f t="shared" si="2"/>
        <v>0.44642857142857145</v>
      </c>
      <c r="G105" s="39">
        <v>2.2399999999999998</v>
      </c>
    </row>
    <row r="106" spans="1:7" ht="30" customHeight="1" x14ac:dyDescent="0.25">
      <c r="A106" s="14">
        <v>8210</v>
      </c>
      <c r="B106" s="15" t="s">
        <v>16</v>
      </c>
      <c r="C106" s="15" t="s">
        <v>16</v>
      </c>
      <c r="D106" s="21" t="s">
        <v>198</v>
      </c>
      <c r="E106" s="16" t="s">
        <v>20</v>
      </c>
      <c r="F106" s="13">
        <f t="shared" si="2"/>
        <v>0.8928571428571429</v>
      </c>
      <c r="G106" s="39">
        <v>1.1199999999999999</v>
      </c>
    </row>
    <row r="107" spans="1:7" ht="30" customHeight="1" x14ac:dyDescent="0.25">
      <c r="A107" s="14">
        <v>8211</v>
      </c>
      <c r="B107" s="15" t="s">
        <v>16</v>
      </c>
      <c r="C107" s="18" t="s">
        <v>200</v>
      </c>
      <c r="D107" s="21" t="s">
        <v>201</v>
      </c>
      <c r="E107" s="16" t="s">
        <v>20</v>
      </c>
      <c r="F107" s="13">
        <f t="shared" si="2"/>
        <v>0.8928571428571429</v>
      </c>
      <c r="G107" s="39">
        <v>1.1199999999999999</v>
      </c>
    </row>
    <row r="108" spans="1:7" ht="30" customHeight="1" x14ac:dyDescent="0.25">
      <c r="A108" s="14">
        <v>8212</v>
      </c>
      <c r="B108" s="15" t="s">
        <v>16</v>
      </c>
      <c r="C108" s="15" t="s">
        <v>16</v>
      </c>
      <c r="D108" s="21" t="s">
        <v>202</v>
      </c>
      <c r="E108" s="16" t="s">
        <v>20</v>
      </c>
      <c r="F108" s="13">
        <f t="shared" si="2"/>
        <v>0.44642857142857145</v>
      </c>
      <c r="G108" s="39">
        <v>2.2399999999999998</v>
      </c>
    </row>
    <row r="109" spans="1:7" ht="30" customHeight="1" x14ac:dyDescent="0.25">
      <c r="A109" s="14">
        <v>8213</v>
      </c>
      <c r="B109" s="15" t="s">
        <v>16</v>
      </c>
      <c r="C109" s="15" t="s">
        <v>254</v>
      </c>
      <c r="D109" s="21" t="s">
        <v>245</v>
      </c>
      <c r="E109" s="16" t="s">
        <v>20</v>
      </c>
      <c r="F109" s="13">
        <f t="shared" si="2"/>
        <v>0.44642857142857145</v>
      </c>
      <c r="G109" s="39">
        <v>2.2399999999999998</v>
      </c>
    </row>
    <row r="110" spans="1:7" ht="30" customHeight="1" x14ac:dyDescent="0.25">
      <c r="A110" s="14">
        <v>8214</v>
      </c>
      <c r="B110" s="15" t="s">
        <v>16</v>
      </c>
      <c r="C110" s="15" t="s">
        <v>253</v>
      </c>
      <c r="D110" s="21" t="s">
        <v>246</v>
      </c>
      <c r="E110" s="16" t="s">
        <v>20</v>
      </c>
      <c r="F110" s="13">
        <f t="shared" si="2"/>
        <v>0.22321428571428573</v>
      </c>
      <c r="G110" s="39">
        <v>4.4799999999999995</v>
      </c>
    </row>
    <row r="111" spans="1:7" ht="32.25" customHeight="1" x14ac:dyDescent="0.25">
      <c r="A111" s="14">
        <v>8215</v>
      </c>
      <c r="B111" s="15" t="s">
        <v>16</v>
      </c>
      <c r="C111" s="15" t="s">
        <v>16</v>
      </c>
      <c r="D111" s="21" t="s">
        <v>161</v>
      </c>
      <c r="E111" s="16" t="s">
        <v>20</v>
      </c>
      <c r="F111" s="13">
        <f t="shared" si="2"/>
        <v>0.11160714285714286</v>
      </c>
      <c r="G111" s="39">
        <v>8.9599999999999991</v>
      </c>
    </row>
    <row r="112" spans="1:7" ht="31.5" customHeight="1" x14ac:dyDescent="0.25">
      <c r="A112" s="14">
        <v>8216</v>
      </c>
      <c r="B112" s="15" t="s">
        <v>16</v>
      </c>
      <c r="C112" s="15" t="s">
        <v>16</v>
      </c>
      <c r="D112" s="21" t="s">
        <v>162</v>
      </c>
      <c r="E112" s="16" t="s">
        <v>20</v>
      </c>
      <c r="F112" s="13">
        <f t="shared" si="2"/>
        <v>0.22321428571428573</v>
      </c>
      <c r="G112" s="39">
        <v>4.4799999999999995</v>
      </c>
    </row>
    <row r="113" spans="1:1" ht="20.25" x14ac:dyDescent="0.25">
      <c r="A113" s="1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1831-77B6-4E35-8182-A9241B5241E2}">
  <dimension ref="A1:G69"/>
  <sheetViews>
    <sheetView workbookViewId="0">
      <selection activeCell="D43" sqref="D43"/>
    </sheetView>
  </sheetViews>
  <sheetFormatPr defaultRowHeight="15" x14ac:dyDescent="0.25"/>
  <cols>
    <col min="3" max="3" width="14.42578125" customWidth="1"/>
    <col min="4" max="4" width="108.28515625" customWidth="1"/>
    <col min="6" max="6" width="17.5703125" customWidth="1"/>
    <col min="7" max="7" width="27" customWidth="1"/>
  </cols>
  <sheetData>
    <row r="1" spans="1:7" ht="66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ht="23.25" x14ac:dyDescent="0.25">
      <c r="A2" s="5" t="s">
        <v>17</v>
      </c>
      <c r="B2" s="6" t="str">
        <f>VLOOKUP(A2,БАЗА!A:G,2,0)</f>
        <v>55</v>
      </c>
      <c r="C2" s="6" t="str">
        <f>VLOOKUP(A2,БАЗА!A:G,3,0)</f>
        <v>AC</v>
      </c>
      <c r="D2" s="7" t="str">
        <f>VLOOKUP(A2,БАЗА!A:G,4,0)</f>
        <v>Разработка КД центральной питающей секции</v>
      </c>
      <c r="E2" s="8" t="str">
        <f>VLOOKUP(A2,БАЗА!A:G,5,0)</f>
        <v>шт.</v>
      </c>
      <c r="F2" s="13">
        <f t="shared" ref="F2" si="0">1/G2</f>
        <v>0.22321428571428573</v>
      </c>
      <c r="G2" s="5">
        <f>VLOOKUP(A2,БАЗА!A:G,7,0)</f>
        <v>4.4799999999999995</v>
      </c>
    </row>
    <row r="3" spans="1:7" ht="23.25" x14ac:dyDescent="0.25">
      <c r="A3" s="5" t="s">
        <v>21</v>
      </c>
      <c r="B3" s="6" t="str">
        <f>VLOOKUP(A3,БАЗА!A:G,2,0)</f>
        <v>55</v>
      </c>
      <c r="C3" s="6" t="str">
        <f>VLOOKUP(A3,БАЗА!A:G,3,0)</f>
        <v>AC</v>
      </c>
      <c r="D3" s="7" t="str">
        <f>VLOOKUP(A3,БАЗА!A:G,4,0)</f>
        <v>Изменение КД центральной питающей секции</v>
      </c>
      <c r="E3" s="8" t="str">
        <f>VLOOKUP(A3,БАЗА!A:G,5,0)</f>
        <v>шт.</v>
      </c>
      <c r="F3" s="13">
        <f t="shared" ref="F3:F68" si="1">1/G3</f>
        <v>0.44642857142857145</v>
      </c>
      <c r="G3" s="5">
        <f>VLOOKUP(A3,БАЗА!A:G,7,0)</f>
        <v>2.2399999999999998</v>
      </c>
    </row>
    <row r="4" spans="1:7" ht="23.25" x14ac:dyDescent="0.25">
      <c r="A4" s="5" t="s">
        <v>23</v>
      </c>
      <c r="B4" s="6" t="str">
        <f>VLOOKUP(A4,БАЗА!A:G,2,0)</f>
        <v>55</v>
      </c>
      <c r="C4" s="6" t="str">
        <f>VLOOKUP(A4,БАЗА!A:G,3,0)</f>
        <v>ADP</v>
      </c>
      <c r="D4" s="7" t="str">
        <f>VLOOKUP(A4,БАЗА!A:G,4,0)</f>
        <v>Разработка КД переходного элемента ШП</v>
      </c>
      <c r="E4" s="8" t="str">
        <f>VLOOKUP(A4,БАЗА!A:G,5,0)</f>
        <v>шт.</v>
      </c>
      <c r="F4" s="13">
        <f t="shared" si="1"/>
        <v>0.25510204081632654</v>
      </c>
      <c r="G4" s="5">
        <f>VLOOKUP(A4,БАЗА!A:G,7,0)</f>
        <v>3.92</v>
      </c>
    </row>
    <row r="5" spans="1:7" ht="23.25" x14ac:dyDescent="0.25">
      <c r="A5" s="5" t="s">
        <v>26</v>
      </c>
      <c r="B5" s="6" t="str">
        <f>VLOOKUP(A5,БАЗА!A:G,2,0)</f>
        <v>55</v>
      </c>
      <c r="C5" s="6" t="str">
        <f>VLOOKUP(A5,БАЗА!A:G,3,0)</f>
        <v>ADP-S</v>
      </c>
      <c r="D5" s="7" t="str">
        <f>VLOOKUP(A5,БАЗА!A:G,4,0)</f>
        <v>Изменение КД переходного элемента ШП</v>
      </c>
      <c r="E5" s="8" t="str">
        <f>VLOOKUP(A5,БАЗА!A:G,5,0)</f>
        <v>шт.</v>
      </c>
      <c r="F5" s="13">
        <f t="shared" si="1"/>
        <v>0.51020408163265307</v>
      </c>
      <c r="G5" s="5">
        <f>VLOOKUP(A5,БАЗА!A:G,7,0)</f>
        <v>1.96</v>
      </c>
    </row>
    <row r="6" spans="1:7" ht="23.25" x14ac:dyDescent="0.25">
      <c r="A6" s="5" t="s">
        <v>28</v>
      </c>
      <c r="B6" s="6" t="str">
        <f>VLOOKUP(A6,БАЗА!A:G,2,0)</f>
        <v>55</v>
      </c>
      <c r="C6" s="6" t="str">
        <f>VLOOKUP(A6,БАЗА!A:G,3,0)</f>
        <v>ATCD</v>
      </c>
      <c r="D6" s="7" t="str">
        <f>VLOOKUP(A6,БАЗА!A:G,4,0)</f>
        <v>Разработка КД  терминальной секции с гор. углом</v>
      </c>
      <c r="E6" s="8" t="str">
        <f>VLOOKUP(A6,БАЗА!A:G,5,0)</f>
        <v>шт.</v>
      </c>
      <c r="F6" s="13">
        <f t="shared" si="1"/>
        <v>0.12755102040816327</v>
      </c>
      <c r="G6" s="5">
        <f>VLOOKUP(A6,БАЗА!A:G,7,0)</f>
        <v>7.84</v>
      </c>
    </row>
    <row r="7" spans="1:7" ht="23.25" x14ac:dyDescent="0.25">
      <c r="A7" s="5" t="s">
        <v>31</v>
      </c>
      <c r="B7" s="6" t="str">
        <f>VLOOKUP(A7,БАЗА!A:G,2,0)</f>
        <v>55</v>
      </c>
      <c r="C7" s="6" t="str">
        <f>VLOOKUP(A7,БАЗА!A:G,3,0)</f>
        <v>ATCD</v>
      </c>
      <c r="D7" s="7" t="str">
        <f>VLOOKUP(A7,БАЗА!A:G,4,0)</f>
        <v>Изменение КД  терминальной секции с гор. углом</v>
      </c>
      <c r="E7" s="8" t="str">
        <f>VLOOKUP(A7,БАЗА!A:G,5,0)</f>
        <v>шт.</v>
      </c>
      <c r="F7" s="13">
        <f t="shared" si="1"/>
        <v>0.35714285714285715</v>
      </c>
      <c r="G7" s="5">
        <f>VLOOKUP(A7,БАЗА!A:G,7,0)</f>
        <v>2.8</v>
      </c>
    </row>
    <row r="8" spans="1:7" ht="23.25" x14ac:dyDescent="0.25">
      <c r="A8" s="5" t="s">
        <v>33</v>
      </c>
      <c r="B8" s="6" t="str">
        <f>VLOOKUP(A8,БАЗА!A:G,2,0)</f>
        <v>55</v>
      </c>
      <c r="C8" s="6" t="str">
        <f>VLOOKUP(A8,БАЗА!A:G,3,0)</f>
        <v>ATCP</v>
      </c>
      <c r="D8" s="7" t="str">
        <f>VLOOKUP(A8,БАЗА!A:G,4,0)</f>
        <v>Разработка КД терминальной секции с вертикальным углом</v>
      </c>
      <c r="E8" s="8" t="str">
        <f>VLOOKUP(A8,БАЗА!A:G,5,0)</f>
        <v>шт.</v>
      </c>
      <c r="F8" s="13">
        <f t="shared" si="1"/>
        <v>0.11160714285714286</v>
      </c>
      <c r="G8" s="5">
        <f>VLOOKUP(A8,БАЗА!A:G,7,0)</f>
        <v>8.9599999999999991</v>
      </c>
    </row>
    <row r="9" spans="1:7" ht="23.25" x14ac:dyDescent="0.25">
      <c r="A9" s="5" t="s">
        <v>36</v>
      </c>
      <c r="B9" s="6" t="str">
        <f>VLOOKUP(A9,БАЗА!A:G,2,0)</f>
        <v>55</v>
      </c>
      <c r="C9" s="6" t="str">
        <f>VLOOKUP(A9,БАЗА!A:G,3,0)</f>
        <v>ATCP-S</v>
      </c>
      <c r="D9" s="7" t="str">
        <f>VLOOKUP(A9,БАЗА!A:G,4,0)</f>
        <v>Изменение КД  терминальной секции свертикальным углом</v>
      </c>
      <c r="E9" s="8" t="str">
        <f>VLOOKUP(A9,БАЗА!A:G,5,0)</f>
        <v>шт.</v>
      </c>
      <c r="F9" s="13">
        <f t="shared" si="1"/>
        <v>0.29761904761904762</v>
      </c>
      <c r="G9" s="5">
        <f>VLOOKUP(A9,БАЗА!A:G,7,0)</f>
        <v>3.3600000000000003</v>
      </c>
    </row>
    <row r="10" spans="1:7" ht="23.25" x14ac:dyDescent="0.25">
      <c r="A10" s="5" t="s">
        <v>39</v>
      </c>
      <c r="B10" s="6" t="str">
        <f>VLOOKUP(A10,БАЗА!A:G,2,0)</f>
        <v>55</v>
      </c>
      <c r="C10" s="6" t="str">
        <f>VLOOKUP(A10,БАЗА!A:G,3,0)</f>
        <v>ATSC</v>
      </c>
      <c r="D10" s="7" t="str">
        <f>VLOOKUP(A10,БАЗА!A:G,4,0)</f>
        <v>Разработка КД терминальной секции</v>
      </c>
      <c r="E10" s="8" t="str">
        <f>VLOOKUP(A10,БАЗА!A:G,5,0)</f>
        <v>шт.</v>
      </c>
      <c r="F10" s="13">
        <f t="shared" si="1"/>
        <v>0.14880952380952381</v>
      </c>
      <c r="G10" s="5">
        <f>VLOOKUP(A10,БАЗА!A:G,7,0)</f>
        <v>6.7200000000000006</v>
      </c>
    </row>
    <row r="11" spans="1:7" ht="23.25" x14ac:dyDescent="0.25">
      <c r="A11" s="5" t="s">
        <v>42</v>
      </c>
      <c r="B11" s="6" t="str">
        <f>VLOOKUP(A11,БАЗА!A:G,2,0)</f>
        <v>55</v>
      </c>
      <c r="C11" s="6" t="str">
        <f>VLOOKUP(A11,БАЗА!A:G,3,0)</f>
        <v>ATSC-S</v>
      </c>
      <c r="D11" s="7" t="str">
        <f>VLOOKUP(A11,БАЗА!A:G,4,0)</f>
        <v>Изменение КД терминальной секции</v>
      </c>
      <c r="E11" s="8" t="str">
        <f>VLOOKUP(A11,БАЗА!A:G,5,0)</f>
        <v>шт.</v>
      </c>
      <c r="F11" s="13">
        <f t="shared" si="1"/>
        <v>0.29761904761904762</v>
      </c>
      <c r="G11" s="5">
        <f>VLOOKUP(A11,БАЗА!A:G,7,0)</f>
        <v>3.3600000000000003</v>
      </c>
    </row>
    <row r="12" spans="1:7" ht="23.25" x14ac:dyDescent="0.25">
      <c r="A12" s="5" t="s">
        <v>45</v>
      </c>
      <c r="B12" s="6" t="str">
        <f>VLOOKUP(A12,БАЗА!A:G,2,0)</f>
        <v>55</v>
      </c>
      <c r="C12" s="6" t="str">
        <f>VLOOKUP(A12,БАЗА!A:G,3,0)</f>
        <v>ATT</v>
      </c>
      <c r="D12" s="7" t="str">
        <f>VLOOKUP(A12,БАЗА!A:G,4,0)</f>
        <v xml:space="preserve">Разработка КД  терминальной трансформаторной секции </v>
      </c>
      <c r="E12" s="8" t="str">
        <f>VLOOKUP(A12,БАЗА!A:G,5,0)</f>
        <v>шт.</v>
      </c>
      <c r="F12" s="13">
        <f t="shared" si="1"/>
        <v>0.14880952380952381</v>
      </c>
      <c r="G12" s="5">
        <f>VLOOKUP(A12,БАЗА!A:G,7,0)</f>
        <v>6.7200000000000006</v>
      </c>
    </row>
    <row r="13" spans="1:7" ht="23.25" x14ac:dyDescent="0.25">
      <c r="A13" s="5" t="s">
        <v>48</v>
      </c>
      <c r="B13" s="6" t="str">
        <f>VLOOKUP(A13,БАЗА!A:G,2,0)</f>
        <v>55</v>
      </c>
      <c r="C13" s="6" t="str">
        <f>VLOOKUP(A13,БАЗА!A:G,3,0)</f>
        <v>ATT-S</v>
      </c>
      <c r="D13" s="7" t="str">
        <f>VLOOKUP(A13,БАЗА!A:G,4,0)</f>
        <v xml:space="preserve">Изменение КД  терминальной трансформаторной секции </v>
      </c>
      <c r="E13" s="8" t="str">
        <f>VLOOKUP(A13,БАЗА!A:G,5,0)</f>
        <v>шт.</v>
      </c>
      <c r="F13" s="13">
        <f t="shared" si="1"/>
        <v>0.44642857142857145</v>
      </c>
      <c r="G13" s="5">
        <f>VLOOKUP(A13,БАЗА!A:G,7,0)</f>
        <v>2.2399999999999998</v>
      </c>
    </row>
    <row r="14" spans="1:7" ht="23.25" x14ac:dyDescent="0.25">
      <c r="A14" s="5" t="s">
        <v>50</v>
      </c>
      <c r="B14" s="6" t="str">
        <f>VLOOKUP(A14,БАЗА!A:G,2,0)</f>
        <v>55</v>
      </c>
      <c r="C14" s="6" t="str">
        <f>VLOOKUP(A14,БАЗА!A:G,3,0)</f>
        <v>ATTCD</v>
      </c>
      <c r="D14" s="7" t="str">
        <f>VLOOKUP(A14,БАЗА!A:G,4,0)</f>
        <v>Разработка ПМ терм. трансфор. секции с гор. углом</v>
      </c>
      <c r="E14" s="8" t="str">
        <f>VLOOKUP(A14,БАЗА!A:G,5,0)</f>
        <v>шт.</v>
      </c>
      <c r="F14" s="13">
        <f t="shared" si="1"/>
        <v>0.11160714285714286</v>
      </c>
      <c r="G14" s="5">
        <f>VLOOKUP(A14,БАЗА!A:G,7,0)</f>
        <v>8.9599999999999991</v>
      </c>
    </row>
    <row r="15" spans="1:7" ht="23.25" x14ac:dyDescent="0.25">
      <c r="A15" s="5" t="s">
        <v>53</v>
      </c>
      <c r="B15" s="6" t="str">
        <f>VLOOKUP(A15,БАЗА!A:G,2,0)</f>
        <v>55</v>
      </c>
      <c r="C15" s="6" t="str">
        <f>VLOOKUP(A15,БАЗА!A:G,3,0)</f>
        <v>ATTCD-S</v>
      </c>
      <c r="D15" s="7" t="str">
        <f>VLOOKUP(A15,БАЗА!A:G,4,0)</f>
        <v>Изменение ПМ терм. трансфор. секции с гор. углом</v>
      </c>
      <c r="E15" s="8" t="str">
        <f>VLOOKUP(A15,БАЗА!A:G,5,0)</f>
        <v>шт.</v>
      </c>
      <c r="F15" s="13">
        <f t="shared" si="1"/>
        <v>0.29761904761904762</v>
      </c>
      <c r="G15" s="5">
        <f>VLOOKUP(A15,БАЗА!A:G,7,0)</f>
        <v>3.3600000000000003</v>
      </c>
    </row>
    <row r="16" spans="1:7" ht="23.25" x14ac:dyDescent="0.25">
      <c r="A16" s="5" t="s">
        <v>55</v>
      </c>
      <c r="B16" s="6" t="str">
        <f>VLOOKUP(A16,БАЗА!A:G,2,0)</f>
        <v>55</v>
      </c>
      <c r="C16" s="6" t="str">
        <f>VLOOKUP(A16,БАЗА!A:G,3,0)</f>
        <v>ATT+CP</v>
      </c>
      <c r="D16" s="7" t="str">
        <f>VLOOKUP(A16,БАЗА!A:G,4,0)</f>
        <v>Разработка ПМ терм. трансфор. секции с верт. углом</v>
      </c>
      <c r="E16" s="8" t="str">
        <f>VLOOKUP(A16,БАЗА!A:G,5,0)</f>
        <v>шт.</v>
      </c>
      <c r="F16" s="13">
        <f t="shared" si="1"/>
        <v>8.9285714285714288E-2</v>
      </c>
      <c r="G16" s="5">
        <f>VLOOKUP(A16,БАЗА!A:G,7,0)</f>
        <v>11.2</v>
      </c>
    </row>
    <row r="17" spans="1:7" ht="23.25" x14ac:dyDescent="0.25">
      <c r="A17" s="5" t="s">
        <v>58</v>
      </c>
      <c r="B17" s="6" t="str">
        <f>VLOOKUP(A17,БАЗА!A:G,2,0)</f>
        <v>55</v>
      </c>
      <c r="C17" s="6" t="str">
        <f>VLOOKUP(A17,БАЗА!A:G,3,0)</f>
        <v>ATT+CP-S</v>
      </c>
      <c r="D17" s="7" t="str">
        <f>VLOOKUP(A17,БАЗА!A:G,4,0)</f>
        <v>Изменение ПМ терм. трансфор. секции с верт. углом</v>
      </c>
      <c r="E17" s="8" t="str">
        <f>VLOOKUP(A17,БАЗА!A:G,5,0)</f>
        <v>шт.</v>
      </c>
      <c r="F17" s="13">
        <f t="shared" si="1"/>
        <v>0.23809523809523808</v>
      </c>
      <c r="G17" s="5">
        <f>VLOOKUP(A17,БАЗА!A:G,7,0)</f>
        <v>4.2</v>
      </c>
    </row>
    <row r="18" spans="1:7" ht="23.25" x14ac:dyDescent="0.25">
      <c r="A18" s="5" t="s">
        <v>60</v>
      </c>
      <c r="B18" s="6" t="str">
        <f>VLOOKUP(A18,БАЗА!A:G,2,0)</f>
        <v>55</v>
      </c>
      <c r="C18" s="6" t="str">
        <f>VLOOKUP(A18,БАЗА!A:G,3,0)</f>
        <v>ATZDP</v>
      </c>
      <c r="D18" s="7" t="str">
        <f>VLOOKUP(A18,БАЗА!A:G,4,0)</f>
        <v>Разработка ПМ терм. трансфор. секции с комбинир. углом</v>
      </c>
      <c r="E18" s="8" t="str">
        <f>VLOOKUP(A18,БАЗА!A:G,5,0)</f>
        <v>шт.</v>
      </c>
      <c r="F18" s="13">
        <f t="shared" si="1"/>
        <v>7.4404761904761904E-2</v>
      </c>
      <c r="G18" s="5">
        <f>VLOOKUP(A18,БАЗА!A:G,7,0)</f>
        <v>13.440000000000001</v>
      </c>
    </row>
    <row r="19" spans="1:7" ht="23.25" x14ac:dyDescent="0.25">
      <c r="A19" s="5" t="s">
        <v>62</v>
      </c>
      <c r="B19" s="6" t="str">
        <f>VLOOKUP(A19,БАЗА!A:G,2,0)</f>
        <v>55</v>
      </c>
      <c r="C19" s="6" t="str">
        <f>VLOOKUP(A19,БАЗА!A:G,3,0)</f>
        <v>ATZDP-S</v>
      </c>
      <c r="D19" s="7" t="str">
        <f>VLOOKUP(A19,БАЗА!A:G,4,0)</f>
        <v>Изменение ПМ терм. трансфор. секции с комбинир. углом</v>
      </c>
      <c r="E19" s="8" t="str">
        <f>VLOOKUP(A19,БАЗА!A:G,5,0)</f>
        <v>шт.</v>
      </c>
      <c r="F19" s="13">
        <f t="shared" si="1"/>
        <v>0.1984126984126984</v>
      </c>
      <c r="G19" s="5">
        <f>VLOOKUP(A19,БАЗА!A:G,7,0)</f>
        <v>5.04</v>
      </c>
    </row>
    <row r="20" spans="1:7" ht="23.25" x14ac:dyDescent="0.25">
      <c r="A20" s="5" t="s">
        <v>63</v>
      </c>
      <c r="B20" s="6" t="str">
        <f>VLOOKUP(A20,БАЗА!A:G,2,0)</f>
        <v>55</v>
      </c>
      <c r="C20" s="6" t="str">
        <f>VLOOKUP(A20,БАЗА!A:G,3,0)</f>
        <v>BB</v>
      </c>
      <c r="D20" s="7" t="str">
        <f>VLOOKUP(A20,БАЗА!A:G,4,0)</f>
        <v>Разработка КД КОМ Bolt-on</v>
      </c>
      <c r="E20" s="8" t="str">
        <f>VLOOKUP(A20,БАЗА!A:G,5,0)</f>
        <v>шт.</v>
      </c>
      <c r="F20" s="13">
        <f t="shared" si="1"/>
        <v>8.9285714285714288E-2</v>
      </c>
      <c r="G20" s="5">
        <f>VLOOKUP(A20,БАЗА!A:G,7,0)</f>
        <v>11.2</v>
      </c>
    </row>
    <row r="21" spans="1:7" ht="23.25" x14ac:dyDescent="0.25">
      <c r="A21" s="5" t="s">
        <v>64</v>
      </c>
      <c r="B21" s="6" t="str">
        <f>VLOOKUP(A21,БАЗА!A:G,2,0)</f>
        <v>55</v>
      </c>
      <c r="C21" s="6" t="str">
        <f>VLOOKUP(A21,БАЗА!A:G,3,0)</f>
        <v>BB-I</v>
      </c>
      <c r="D21" s="7" t="str">
        <f>VLOOKUP(A21,БАЗА!A:G,4,0)</f>
        <v>Изменение КД КОМ Bolt-on</v>
      </c>
      <c r="E21" s="8" t="str">
        <f>VLOOKUP(A21,БАЗА!A:G,5,0)</f>
        <v>шт.</v>
      </c>
      <c r="F21" s="13">
        <f t="shared" si="1"/>
        <v>0.14880952380952381</v>
      </c>
      <c r="G21" s="5">
        <f>VLOOKUP(A21,БАЗА!A:G,7,0)</f>
        <v>6.7200000000000006</v>
      </c>
    </row>
    <row r="22" spans="1:7" ht="23.25" x14ac:dyDescent="0.25">
      <c r="A22" s="5" t="s">
        <v>66</v>
      </c>
      <c r="B22" s="6" t="str">
        <f>VLOOKUP(A22,БАЗА!A:G,2,0)</f>
        <v>55</v>
      </c>
      <c r="C22" s="6" t="str">
        <f>VLOOKUP(A22,БАЗА!A:G,3,0)</f>
        <v>CD</v>
      </c>
      <c r="D22" s="7" t="str">
        <f>VLOOKUP(A22,БАЗА!A:G,4,0)</f>
        <v xml:space="preserve">Разработка КД Эталона горизонтального угла </v>
      </c>
      <c r="E22" s="8" t="str">
        <f>VLOOKUP(A22,БАЗА!A:G,5,0)</f>
        <v>шт.</v>
      </c>
      <c r="F22" s="13">
        <f t="shared" si="1"/>
        <v>0.11160714285714286</v>
      </c>
      <c r="G22" s="5">
        <f>VLOOKUP(A22,БАЗА!A:G,7,0)</f>
        <v>8.9599999999999991</v>
      </c>
    </row>
    <row r="23" spans="1:7" ht="23.25" x14ac:dyDescent="0.25">
      <c r="A23" s="5" t="s">
        <v>68</v>
      </c>
      <c r="B23" s="6" t="str">
        <f>VLOOKUP(A23,БАЗА!A:G,2,0)</f>
        <v>55</v>
      </c>
      <c r="C23" s="6" t="str">
        <f>VLOOKUP(A23,БАЗА!A:G,3,0)</f>
        <v>CD-I</v>
      </c>
      <c r="D23" s="7" t="str">
        <f>VLOOKUP(A23,БАЗА!A:G,4,0)</f>
        <v xml:space="preserve">Изменение номинала горизонтального угла </v>
      </c>
      <c r="E23" s="8" t="str">
        <f>VLOOKUP(A23,БАЗА!A:G,5,0)</f>
        <v>шт.</v>
      </c>
      <c r="F23" s="13">
        <f t="shared" si="1"/>
        <v>0.22321428571428573</v>
      </c>
      <c r="G23" s="5">
        <f>VLOOKUP(A23,БАЗА!A:G,7,0)</f>
        <v>4.4799999999999995</v>
      </c>
    </row>
    <row r="24" spans="1:7" ht="23.25" x14ac:dyDescent="0.25">
      <c r="A24" s="5" t="s">
        <v>70</v>
      </c>
      <c r="B24" s="6" t="str">
        <f>VLOOKUP(A24,БАЗА!A:G,2,0)</f>
        <v>55</v>
      </c>
      <c r="C24" s="6" t="str">
        <f>VLOOKUP(A24,БАЗА!A:G,3,0)</f>
        <v>CD-S</v>
      </c>
      <c r="D24" s="7" t="str">
        <f>VLOOKUP(A24,БАЗА!A:G,4,0)</f>
        <v xml:space="preserve">Изменение длины  горизонтального угла </v>
      </c>
      <c r="E24" s="8" t="str">
        <f>VLOOKUP(A24,БАЗА!A:G,5,0)</f>
        <v>шт.</v>
      </c>
      <c r="F24" s="13">
        <f t="shared" si="1"/>
        <v>0.44642857142857145</v>
      </c>
      <c r="G24" s="5">
        <f>VLOOKUP(A24,БАЗА!A:G,7,0)</f>
        <v>2.2399999999999998</v>
      </c>
    </row>
    <row r="25" spans="1:7" ht="23.25" x14ac:dyDescent="0.25">
      <c r="A25" s="5" t="s">
        <v>71</v>
      </c>
      <c r="B25" s="6" t="str">
        <f>VLOOKUP(A25,БАЗА!A:G,2,0)</f>
        <v>55</v>
      </c>
      <c r="C25" s="6" t="str">
        <f>VLOOKUP(A25,БАЗА!A:G,3,0)</f>
        <v>CD-SA</v>
      </c>
      <c r="D25" s="7" t="str">
        <f>VLOOKUP(A25,БАЗА!A:G,4,0)</f>
        <v>Разработка  горизонтального угла (не 90◦)</v>
      </c>
      <c r="E25" s="8" t="str">
        <f>VLOOKUP(A25,БАЗА!A:G,5,0)</f>
        <v>шт.</v>
      </c>
      <c r="F25" s="13">
        <f t="shared" si="1"/>
        <v>7.4404761904761904E-2</v>
      </c>
      <c r="G25" s="5">
        <f>VLOOKUP(A25,БАЗА!A:G,7,0)</f>
        <v>13.440000000000001</v>
      </c>
    </row>
    <row r="26" spans="1:7" ht="23.25" x14ac:dyDescent="0.25">
      <c r="A26" s="5" t="s">
        <v>74</v>
      </c>
      <c r="B26" s="6" t="str">
        <f>VLOOKUP(A26,БАЗА!A:G,2,0)</f>
        <v>55</v>
      </c>
      <c r="C26" s="6" t="str">
        <f>VLOOKUP(A26,БАЗА!A:G,3,0)</f>
        <v>CD-SA-S1</v>
      </c>
      <c r="D26" s="7" t="str">
        <f>VLOOKUP(A26,БАЗА!A:G,4,0)</f>
        <v>Изменение длины горизонтального угла (не 90◦)</v>
      </c>
      <c r="E26" s="8" t="str">
        <f>VLOOKUP(A26,БАЗА!A:G,5,0)</f>
        <v>шт.</v>
      </c>
      <c r="F26" s="13">
        <f t="shared" si="1"/>
        <v>0.22321428571428573</v>
      </c>
      <c r="G26" s="5">
        <f>VLOOKUP(A26,БАЗА!A:G,7,0)</f>
        <v>4.4799999999999995</v>
      </c>
    </row>
    <row r="27" spans="1:7" ht="23.25" x14ac:dyDescent="0.25">
      <c r="A27" s="5" t="s">
        <v>75</v>
      </c>
      <c r="B27" s="6" t="str">
        <f>VLOOKUP(A27,БАЗА!A:G,2,0)</f>
        <v>55</v>
      </c>
      <c r="C27" s="6" t="str">
        <f>VLOOKUP(A27,БАЗА!A:G,3,0)</f>
        <v>CML</v>
      </c>
      <c r="D27" s="7" t="str">
        <f>VLOOKUP(A27,БАЗА!A:G,4,0)</f>
        <v>Разработка КД Компенсационной секции</v>
      </c>
      <c r="E27" s="8" t="str">
        <f>VLOOKUP(A27,БАЗА!A:G,5,0)</f>
        <v>шт.</v>
      </c>
      <c r="F27" s="13">
        <f t="shared" si="1"/>
        <v>0.11160714285714286</v>
      </c>
      <c r="G27" s="5">
        <f>VLOOKUP(A27,БАЗА!A:G,7,0)</f>
        <v>8.9599999999999991</v>
      </c>
    </row>
    <row r="28" spans="1:7" ht="23.25" x14ac:dyDescent="0.25">
      <c r="A28" s="5" t="s">
        <v>76</v>
      </c>
      <c r="B28" s="6" t="str">
        <f>VLOOKUP(A28,БАЗА!A:G,2,0)</f>
        <v>55</v>
      </c>
      <c r="C28" s="6" t="str">
        <f>VLOOKUP(A28,БАЗА!A:G,3,0)</f>
        <v>CML-S</v>
      </c>
      <c r="D28" s="7" t="str">
        <f>VLOOKUP(A28,БАЗА!A:G,4,0)</f>
        <v>Изменение КД Компенсационной секции</v>
      </c>
      <c r="E28" s="8" t="str">
        <f>VLOOKUP(A28,БАЗА!A:G,5,0)</f>
        <v>шт.</v>
      </c>
      <c r="F28" s="13">
        <f t="shared" si="1"/>
        <v>0.35714285714285715</v>
      </c>
      <c r="G28" s="5">
        <f>VLOOKUP(A28,БАЗА!A:G,7,0)</f>
        <v>2.8</v>
      </c>
    </row>
    <row r="29" spans="1:7" ht="23.25" x14ac:dyDescent="0.25">
      <c r="A29" s="5" t="s">
        <v>79</v>
      </c>
      <c r="B29" s="6" t="str">
        <f>VLOOKUP(A29,БАЗА!A:G,2,0)</f>
        <v>55</v>
      </c>
      <c r="C29" s="6" t="str">
        <f>VLOOKUP(A29,БАЗА!A:G,3,0)</f>
        <v>CP</v>
      </c>
      <c r="D29" s="7" t="str">
        <f>VLOOKUP(A29,БАЗА!A:G,4,0)</f>
        <v xml:space="preserve">Разработка Эталона ПМ вертикального угла </v>
      </c>
      <c r="E29" s="8" t="str">
        <f>VLOOKUP(A29,БАЗА!A:G,5,0)</f>
        <v>шт.</v>
      </c>
      <c r="F29" s="13">
        <f t="shared" si="1"/>
        <v>7.4404761904761904E-2</v>
      </c>
      <c r="G29" s="5">
        <f>VLOOKUP(A29,БАЗА!A:G,7,0)</f>
        <v>13.440000000000001</v>
      </c>
    </row>
    <row r="30" spans="1:7" ht="23.25" x14ac:dyDescent="0.25">
      <c r="A30" s="5" t="s">
        <v>80</v>
      </c>
      <c r="B30" s="6" t="str">
        <f>VLOOKUP(A30,БАЗА!A:G,2,0)</f>
        <v>55</v>
      </c>
      <c r="C30" s="6" t="str">
        <f>VLOOKUP(A30,БАЗА!A:G,3,0)</f>
        <v>CP-I</v>
      </c>
      <c r="D30" s="7" t="str">
        <f>VLOOKUP(A30,БАЗА!A:G,4,0)</f>
        <v xml:space="preserve">Изменение номинала вертикального угла </v>
      </c>
      <c r="E30" s="8" t="str">
        <f>VLOOKUP(A30,БАЗА!A:G,5,0)</f>
        <v>шт.</v>
      </c>
      <c r="F30" s="13">
        <f t="shared" si="1"/>
        <v>0.17857142857142858</v>
      </c>
      <c r="G30" s="5">
        <f>VLOOKUP(A30,БАЗА!A:G,7,0)</f>
        <v>5.6</v>
      </c>
    </row>
    <row r="31" spans="1:7" ht="23.25" x14ac:dyDescent="0.25">
      <c r="A31" s="5" t="s">
        <v>81</v>
      </c>
      <c r="B31" s="6" t="str">
        <f>VLOOKUP(A31,БАЗА!A:G,2,0)</f>
        <v>55</v>
      </c>
      <c r="C31" s="6" t="str">
        <f>VLOOKUP(A31,БАЗА!A:G,3,0)</f>
        <v>CP-S</v>
      </c>
      <c r="D31" s="7" t="str">
        <f>VLOOKUP(A31,БАЗА!A:G,4,0)</f>
        <v xml:space="preserve">Изменение длины  вертикального угла </v>
      </c>
      <c r="E31" s="8" t="str">
        <f>VLOOKUP(A31,БАЗА!A:G,5,0)</f>
        <v>шт.</v>
      </c>
      <c r="F31" s="13">
        <f t="shared" si="1"/>
        <v>0.22321428571428573</v>
      </c>
      <c r="G31" s="5">
        <f>VLOOKUP(A31,БАЗА!A:G,7,0)</f>
        <v>4.4799999999999995</v>
      </c>
    </row>
    <row r="32" spans="1:7" ht="23.25" x14ac:dyDescent="0.25">
      <c r="A32" s="5" t="s">
        <v>84</v>
      </c>
      <c r="B32" s="6" t="str">
        <f>VLOOKUP(A32,БАЗА!A:G,2,0)</f>
        <v>55</v>
      </c>
      <c r="C32" s="6" t="str">
        <f>VLOOKUP(A32,БАЗА!A:G,3,0)</f>
        <v>FE</v>
      </c>
      <c r="D32" s="7" t="str">
        <f>VLOOKUP(A32,БАЗА!A:G,4,0)</f>
        <v xml:space="preserve">Разработка Эталона ПМ прямой однопакетной секции </v>
      </c>
      <c r="E32" s="8" t="str">
        <f>VLOOKUP(A32,БАЗА!A:G,5,0)</f>
        <v>шт.</v>
      </c>
      <c r="F32" s="13">
        <f t="shared" si="1"/>
        <v>0.22321428571428573</v>
      </c>
      <c r="G32" s="5">
        <f>VLOOKUP(A32,БАЗА!A:G,7,0)</f>
        <v>4.4799999999999995</v>
      </c>
    </row>
    <row r="33" spans="1:7" ht="23.25" x14ac:dyDescent="0.25">
      <c r="A33" s="5" t="s">
        <v>86</v>
      </c>
      <c r="B33" s="6" t="str">
        <f>VLOOKUP(A33,БАЗА!A:G,2,0)</f>
        <v>55</v>
      </c>
      <c r="C33" s="6" t="str">
        <f>VLOOKUP(A33,БАЗА!A:G,3,0)</f>
        <v>FE-I</v>
      </c>
      <c r="D33" s="7" t="str">
        <f>VLOOKUP(A33,БАЗА!A:G,4,0)</f>
        <v>Изменение номинала Эталона ПМ прямой секции</v>
      </c>
      <c r="E33" s="8" t="str">
        <f>VLOOKUP(A33,БАЗА!A:G,5,0)</f>
        <v>шт.</v>
      </c>
      <c r="F33" s="13">
        <f t="shared" si="1"/>
        <v>0.44642857142857145</v>
      </c>
      <c r="G33" s="5">
        <f>VLOOKUP(A33,БАЗА!A:G,7,0)</f>
        <v>2.2399999999999998</v>
      </c>
    </row>
    <row r="34" spans="1:7" ht="23.25" x14ac:dyDescent="0.25">
      <c r="A34" s="5" t="s">
        <v>89</v>
      </c>
      <c r="B34" s="6" t="str">
        <f>VLOOKUP(A34,БАЗА!A:G,2,0)</f>
        <v>55</v>
      </c>
      <c r="C34" s="6" t="str">
        <f>VLOOKUP(A34,БАЗА!A:G,3,0)</f>
        <v>FE-S</v>
      </c>
      <c r="D34" s="7" t="str">
        <f>VLOOKUP(A34,БАЗА!A:G,4,0)</f>
        <v>Изменение длины  Эталона ПМ прямой  секции</v>
      </c>
      <c r="E34" s="8" t="str">
        <f>VLOOKUP(A34,БАЗА!A:G,5,0)</f>
        <v>шт.</v>
      </c>
      <c r="F34" s="13">
        <f t="shared" si="1"/>
        <v>0.59523809523809523</v>
      </c>
      <c r="G34" s="5">
        <f>VLOOKUP(A34,БАЗА!A:G,7,0)</f>
        <v>1.6800000000000002</v>
      </c>
    </row>
    <row r="35" spans="1:7" ht="23.25" x14ac:dyDescent="0.25">
      <c r="A35" s="5" t="s">
        <v>91</v>
      </c>
      <c r="B35" s="6" t="str">
        <f>VLOOKUP(A35,БАЗА!A:G,2,0)</f>
        <v>55</v>
      </c>
      <c r="C35" s="6" t="str">
        <f>VLOOKUP(A35,БАЗА!A:G,3,0)</f>
        <v>FEB</v>
      </c>
      <c r="D35" s="7" t="str">
        <f>VLOOKUP(A35,БАЗА!A:G,4,0)</f>
        <v>Разработка ПМ Кабельной коробки</v>
      </c>
      <c r="E35" s="8" t="str">
        <f>VLOOKUP(A35,БАЗА!A:G,5,0)</f>
        <v>шт.</v>
      </c>
      <c r="F35" s="13">
        <f t="shared" si="1"/>
        <v>0.14880952380952381</v>
      </c>
      <c r="G35" s="5">
        <f>VLOOKUP(A35,БАЗА!A:G,7,0)</f>
        <v>6.7200000000000006</v>
      </c>
    </row>
    <row r="36" spans="1:7" ht="23.25" x14ac:dyDescent="0.25">
      <c r="A36" s="5" t="s">
        <v>94</v>
      </c>
      <c r="B36" s="6" t="str">
        <f>VLOOKUP(A36,БАЗА!A:G,2,0)</f>
        <v>55</v>
      </c>
      <c r="C36" s="6" t="str">
        <f>VLOOKUP(A36,БАЗА!A:G,3,0)</f>
        <v>FEB</v>
      </c>
      <c r="D36" s="7" t="str">
        <f>VLOOKUP(A36,БАЗА!A:G,4,0)</f>
        <v>Изменение ПМ Кабельной коробки</v>
      </c>
      <c r="E36" s="8" t="str">
        <f>VLOOKUP(A36,БАЗА!A:G,5,0)</f>
        <v>шт.</v>
      </c>
      <c r="F36" s="13">
        <f t="shared" si="1"/>
        <v>0.35714285714285715</v>
      </c>
      <c r="G36" s="5">
        <f>VLOOKUP(A36,БАЗА!A:G,7,0)</f>
        <v>2.8</v>
      </c>
    </row>
    <row r="37" spans="1:7" ht="23.25" x14ac:dyDescent="0.25">
      <c r="A37" s="5" t="s">
        <v>280</v>
      </c>
      <c r="B37" s="6" t="str">
        <f>VLOOKUP(A37,БАЗА!A:G,2,0)</f>
        <v>56</v>
      </c>
      <c r="C37" s="6" t="str">
        <f>VLOOKUP(A37,БАЗА!A:G,3,0)</f>
        <v>FEB-CD</v>
      </c>
      <c r="D37" s="7" t="str">
        <f>VLOOKUP(A37,БАЗА!A:G,4,0)</f>
        <v>Разработка ПМ Кабельной коробки с гор. углом</v>
      </c>
      <c r="E37" s="8" t="str">
        <f>VLOOKUP(A37,БАЗА!A:G,5,0)</f>
        <v>шт.</v>
      </c>
      <c r="F37" s="13">
        <f t="shared" ref="F37:F38" si="2">1/G37</f>
        <v>6.3775510204081634E-2</v>
      </c>
      <c r="G37" s="5">
        <f>VLOOKUP(A37,БАЗА!A:G,7,0)</f>
        <v>15.68</v>
      </c>
    </row>
    <row r="38" spans="1:7" ht="23.25" x14ac:dyDescent="0.25">
      <c r="A38" s="5" t="s">
        <v>281</v>
      </c>
      <c r="B38" s="6" t="str">
        <f>VLOOKUP(A38,БАЗА!A:G,2,0)</f>
        <v>57</v>
      </c>
      <c r="C38" s="6" t="str">
        <f>VLOOKUP(A38,БАЗА!A:G,3,0)</f>
        <v>FEB-CP</v>
      </c>
      <c r="D38" s="7" t="str">
        <f>VLOOKUP(A38,БАЗА!A:G,4,0)</f>
        <v>Разработка ПМ Кабельной коробки с верт. углом</v>
      </c>
      <c r="E38" s="8" t="str">
        <f>VLOOKUP(A38,БАЗА!A:G,5,0)</f>
        <v>шт.</v>
      </c>
      <c r="F38" s="13">
        <f t="shared" si="2"/>
        <v>4.96031746031746E-2</v>
      </c>
      <c r="G38" s="5">
        <f>VLOOKUP(A38,БАЗА!A:G,7,0)</f>
        <v>20.16</v>
      </c>
    </row>
    <row r="39" spans="1:7" ht="23.25" x14ac:dyDescent="0.25">
      <c r="A39" s="5" t="s">
        <v>97</v>
      </c>
      <c r="B39" s="6" t="str">
        <f>VLOOKUP(A39,БАЗА!A:G,2,0)</f>
        <v>55</v>
      </c>
      <c r="C39" s="6" t="str">
        <f>VLOOKUP(A39,БАЗА!A:G,3,0)</f>
        <v>FLX</v>
      </c>
      <c r="D39" s="7" t="str">
        <f>VLOOKUP(A39,БАЗА!A:G,4,0)</f>
        <v>Разработка гибкого модуля</v>
      </c>
      <c r="E39" s="8" t="str">
        <f>VLOOKUP(A39,БАЗА!A:G,5,0)</f>
        <v>шт.</v>
      </c>
      <c r="F39" s="13">
        <f t="shared" si="1"/>
        <v>0.12755102040816327</v>
      </c>
      <c r="G39" s="5">
        <f>VLOOKUP(A39,БАЗА!A:G,7,0)</f>
        <v>7.84</v>
      </c>
    </row>
    <row r="40" spans="1:7" ht="23.25" x14ac:dyDescent="0.25">
      <c r="A40" s="5" t="s">
        <v>99</v>
      </c>
      <c r="B40" s="6" t="str">
        <f>VLOOKUP(A40,БАЗА!A:G,2,0)</f>
        <v>55</v>
      </c>
      <c r="C40" s="6" t="str">
        <f>VLOOKUP(A40,БАЗА!A:G,3,0)</f>
        <v>FLX-S</v>
      </c>
      <c r="D40" s="7" t="str">
        <f>VLOOKUP(A40,БАЗА!A:G,4,0)</f>
        <v>Изменение гибкого модуля</v>
      </c>
      <c r="E40" s="8" t="str">
        <f>VLOOKUP(A40,БАЗА!A:G,5,0)</f>
        <v>шт.</v>
      </c>
      <c r="F40" s="13">
        <f t="shared" si="1"/>
        <v>0.29761904761904762</v>
      </c>
      <c r="G40" s="5">
        <f>VLOOKUP(A40,БАЗА!A:G,7,0)</f>
        <v>3.3600000000000003</v>
      </c>
    </row>
    <row r="41" spans="1:7" ht="23.25" x14ac:dyDescent="0.25">
      <c r="A41" s="5" t="s">
        <v>101</v>
      </c>
      <c r="B41" s="6" t="str">
        <f>VLOOKUP(A41,БАЗА!A:G,2,0)</f>
        <v>55</v>
      </c>
      <c r="C41" s="6" t="str">
        <f>VLOOKUP(A41,БАЗА!A:G,3,0)</f>
        <v>G</v>
      </c>
      <c r="D41" s="7" t="str">
        <f>VLOOKUP(A41,БАЗА!A:G,4,0)</f>
        <v>Разработка КД на стыковочный элемент</v>
      </c>
      <c r="E41" s="8" t="str">
        <f>VLOOKUP(A41,БАЗА!A:G,5,0)</f>
        <v>шт.</v>
      </c>
      <c r="F41" s="13">
        <f t="shared" si="1"/>
        <v>0.44642857142857145</v>
      </c>
      <c r="G41" s="5">
        <f>VLOOKUP(A41,БАЗА!A:G,7,0)</f>
        <v>2.2399999999999998</v>
      </c>
    </row>
    <row r="42" spans="1:7" ht="23.25" x14ac:dyDescent="0.25">
      <c r="A42" s="5" t="s">
        <v>104</v>
      </c>
      <c r="B42" s="6" t="str">
        <f>VLOOKUP(A42,БАЗА!A:G,2,0)</f>
        <v>55</v>
      </c>
      <c r="C42" s="6" t="str">
        <f>VLOOKUP(A42,БАЗА!A:G,3,0)</f>
        <v>GF</v>
      </c>
      <c r="D42" s="7" t="str">
        <f>VLOOKUP(A42,БАЗА!A:G,4,0)</f>
        <v>Разработка КД на стыковочный элемент Bolt-on</v>
      </c>
      <c r="E42" s="8" t="str">
        <f>VLOOKUP(A42,БАЗА!A:G,5,0)</f>
        <v>шт.</v>
      </c>
      <c r="F42" s="13">
        <f t="shared" si="1"/>
        <v>0.29761904761904762</v>
      </c>
      <c r="G42" s="5">
        <f>VLOOKUP(A42,БАЗА!A:G,7,0)</f>
        <v>3.3600000000000003</v>
      </c>
    </row>
    <row r="43" spans="1:7" ht="23.25" x14ac:dyDescent="0.25">
      <c r="A43" s="5" t="s">
        <v>106</v>
      </c>
      <c r="B43" s="6" t="str">
        <f>VLOOKUP(A43,БАЗА!A:G,2,0)</f>
        <v>55</v>
      </c>
      <c r="C43" s="6" t="str">
        <f>VLOOKUP(A43,БАЗА!A:G,3,0)</f>
        <v>G</v>
      </c>
      <c r="D43" s="7" t="str">
        <f>VLOOKUP(A43,БАЗА!A:G,4,0)</f>
        <v>Изменение Эталона стыковочного элемента</v>
      </c>
      <c r="E43" s="8" t="str">
        <f>VLOOKUP(A43,БАЗА!A:G,5,0)</f>
        <v>шт.</v>
      </c>
      <c r="F43" s="13">
        <f t="shared" si="1"/>
        <v>0.8928571428571429</v>
      </c>
      <c r="G43" s="5">
        <f>VLOOKUP(A43,БАЗА!A:G,7,0)</f>
        <v>1.1199999999999999</v>
      </c>
    </row>
    <row r="44" spans="1:7" ht="23.25" x14ac:dyDescent="0.25">
      <c r="A44" s="5" t="s">
        <v>109</v>
      </c>
      <c r="B44" s="6" t="str">
        <f>VLOOKUP(A44,БАЗА!A:G,2,0)</f>
        <v>55</v>
      </c>
      <c r="C44" s="6" t="str">
        <f>VLOOKUP(A44,БАЗА!A:G,3,0)</f>
        <v>GF</v>
      </c>
      <c r="D44" s="7" t="str">
        <f>VLOOKUP(A44,БАЗА!A:G,4,0)</f>
        <v>Изменение КД на стыковочный элемент Bolt-on</v>
      </c>
      <c r="E44" s="8" t="str">
        <f>VLOOKUP(A44,БАЗА!A:G,5,0)</f>
        <v>шт.</v>
      </c>
      <c r="F44" s="13">
        <f t="shared" si="1"/>
        <v>0.59523809523809523</v>
      </c>
      <c r="G44" s="5">
        <f>VLOOKUP(A44,БАЗА!A:G,7,0)</f>
        <v>1.6800000000000002</v>
      </c>
    </row>
    <row r="45" spans="1:7" ht="23.25" x14ac:dyDescent="0.25">
      <c r="A45" s="5" t="s">
        <v>111</v>
      </c>
      <c r="B45" s="6" t="str">
        <f>VLOOKUP(A45,БАЗА!A:G,2,0)</f>
        <v>55</v>
      </c>
      <c r="C45" s="6" t="str">
        <f>VLOOKUP(A45,БАЗА!A:G,3,0)</f>
        <v>PB</v>
      </c>
      <c r="D45" s="7" t="str">
        <f>VLOOKUP(A45,БАЗА!A:G,4,0)</f>
        <v>Разработка КД КОМ Plug-in</v>
      </c>
      <c r="E45" s="8" t="str">
        <f>VLOOKUP(A45,БАЗА!A:G,5,0)</f>
        <v>шт.</v>
      </c>
      <c r="F45" s="13">
        <f t="shared" si="1"/>
        <v>8.9285714285714288E-2</v>
      </c>
      <c r="G45" s="5">
        <f>VLOOKUP(A45,БАЗА!A:G,7,0)</f>
        <v>11.2</v>
      </c>
    </row>
    <row r="46" spans="1:7" ht="23.25" x14ac:dyDescent="0.25">
      <c r="A46" s="5" t="s">
        <v>114</v>
      </c>
      <c r="B46" s="6" t="str">
        <f>VLOOKUP(A46,БАЗА!A:G,2,0)</f>
        <v>55</v>
      </c>
      <c r="C46" s="6" t="str">
        <f>VLOOKUP(A46,БАЗА!A:G,3,0)</f>
        <v>PB-I</v>
      </c>
      <c r="D46" s="7" t="str">
        <f>VLOOKUP(A46,БАЗА!A:G,4,0)</f>
        <v>Изменение КД КОМ  Plug-in</v>
      </c>
      <c r="E46" s="8" t="str">
        <f>VLOOKUP(A46,БАЗА!A:G,5,0)</f>
        <v>шт.</v>
      </c>
      <c r="F46" s="13">
        <f t="shared" si="1"/>
        <v>0.14880952380952381</v>
      </c>
      <c r="G46" s="5">
        <f>VLOOKUP(A46,БАЗА!A:G,7,0)</f>
        <v>6.7200000000000006</v>
      </c>
    </row>
    <row r="47" spans="1:7" ht="23.25" x14ac:dyDescent="0.25">
      <c r="A47" s="5" t="s">
        <v>116</v>
      </c>
      <c r="B47" s="6" t="str">
        <f>VLOOKUP(A47,БАЗА!A:G,2,0)</f>
        <v>55</v>
      </c>
      <c r="C47" s="6" t="str">
        <f>VLOOKUP(A47,БАЗА!A:G,3,0)</f>
        <v>PD</v>
      </c>
      <c r="D47" s="7" t="str">
        <f>VLOOKUP(A47,БАЗА!A:G,4,0)</f>
        <v>Разработка КД П-образной горизонтальной секции</v>
      </c>
      <c r="E47" s="8" t="str">
        <f>VLOOKUP(A47,БАЗА!A:G,5,0)</f>
        <v>шт.</v>
      </c>
      <c r="F47" s="13">
        <f t="shared" si="1"/>
        <v>0.14880952380952381</v>
      </c>
      <c r="G47" s="5">
        <f>VLOOKUP(A47,БАЗА!A:G,7,0)</f>
        <v>6.7200000000000006</v>
      </c>
    </row>
    <row r="48" spans="1:7" ht="23.25" x14ac:dyDescent="0.25">
      <c r="A48" s="5" t="s">
        <v>119</v>
      </c>
      <c r="B48" s="6" t="str">
        <f>VLOOKUP(A48,БАЗА!A:G,2,0)</f>
        <v>55</v>
      </c>
      <c r="C48" s="6" t="str">
        <f>VLOOKUP(A48,БАЗА!A:G,3,0)</f>
        <v>PD-S</v>
      </c>
      <c r="D48" s="7" t="str">
        <f>VLOOKUP(A48,БАЗА!A:G,4,0)</f>
        <v>Изменение КД П-образной горизонтальной секции</v>
      </c>
      <c r="E48" s="8" t="str">
        <f>VLOOKUP(A48,БАЗА!A:G,5,0)</f>
        <v>шт.</v>
      </c>
      <c r="F48" s="13">
        <f t="shared" si="1"/>
        <v>0.29761904761904762</v>
      </c>
      <c r="G48" s="5">
        <f>VLOOKUP(A48,БАЗА!A:G,7,0)</f>
        <v>3.3600000000000003</v>
      </c>
    </row>
    <row r="49" spans="1:7" ht="23.25" x14ac:dyDescent="0.25">
      <c r="A49" s="5" t="s">
        <v>121</v>
      </c>
      <c r="B49" s="6" t="str">
        <f>VLOOKUP(A49,БАЗА!A:G,2,0)</f>
        <v>55</v>
      </c>
      <c r="C49" s="6" t="str">
        <f>VLOOKUP(A49,БАЗА!A:G,3,0)</f>
        <v>Pi</v>
      </c>
      <c r="D49" s="7" t="str">
        <f>VLOOKUP(A49,БАЗА!A:G,4,0)</f>
        <v>Разработка Эталона ПМ прямой секции с окнами отбора мощности</v>
      </c>
      <c r="E49" s="8" t="str">
        <f>VLOOKUP(A49,БАЗА!A:G,5,0)</f>
        <v>шт.</v>
      </c>
      <c r="F49" s="13">
        <f t="shared" si="1"/>
        <v>7.4404761904761904E-2</v>
      </c>
      <c r="G49" s="5">
        <f>VLOOKUP(A49,БАЗА!A:G,7,0)</f>
        <v>13.440000000000001</v>
      </c>
    </row>
    <row r="50" spans="1:7" ht="23.25" x14ac:dyDescent="0.25">
      <c r="A50" s="5" t="s">
        <v>124</v>
      </c>
      <c r="B50" s="6" t="str">
        <f>VLOOKUP(A50,БАЗА!A:G,2,0)</f>
        <v>55</v>
      </c>
      <c r="C50" s="6" t="str">
        <f>VLOOKUP(A50,БАЗА!A:G,3,0)</f>
        <v>Pi-S</v>
      </c>
      <c r="D50" s="7" t="str">
        <f>VLOOKUP(A50,БАЗА!A:G,4,0)</f>
        <v>Изменение длины или номинала Эталона ПМ прямой секции с окнами от. мощ.</v>
      </c>
      <c r="E50" s="8" t="str">
        <f>VLOOKUP(A50,БАЗА!A:G,5,0)</f>
        <v>шт.</v>
      </c>
      <c r="F50" s="13">
        <f t="shared" si="1"/>
        <v>0.14880952380952381</v>
      </c>
      <c r="G50" s="5">
        <f>VLOOKUP(A50,БАЗА!A:G,7,0)</f>
        <v>6.7200000000000006</v>
      </c>
    </row>
    <row r="51" spans="1:7" ht="23.25" x14ac:dyDescent="0.25">
      <c r="A51" s="5" t="s">
        <v>126</v>
      </c>
      <c r="B51" s="6" t="str">
        <f>VLOOKUP(A51,БАЗА!A:G,2,0)</f>
        <v>55</v>
      </c>
      <c r="C51" s="6" t="str">
        <f>VLOOKUP(A51,БАЗА!A:G,3,0)</f>
        <v>PP</v>
      </c>
      <c r="D51" s="7" t="str">
        <f>VLOOKUP(A51,БАЗА!A:G,4,0)</f>
        <v>Разработка КД П-образной вертикальной секции</v>
      </c>
      <c r="E51" s="8" t="str">
        <f>VLOOKUP(A51,БАЗА!A:G,5,0)</f>
        <v>шт.</v>
      </c>
      <c r="F51" s="13">
        <f t="shared" si="1"/>
        <v>0.14880952380952381</v>
      </c>
      <c r="G51" s="5">
        <f>VLOOKUP(A51,БАЗА!A:G,7,0)</f>
        <v>6.7200000000000006</v>
      </c>
    </row>
    <row r="52" spans="1:7" ht="23.25" x14ac:dyDescent="0.25">
      <c r="A52" s="5" t="s">
        <v>129</v>
      </c>
      <c r="B52" s="6" t="str">
        <f>VLOOKUP(A52,БАЗА!A:G,2,0)</f>
        <v>55</v>
      </c>
      <c r="C52" s="6" t="str">
        <f>VLOOKUP(A52,БАЗА!A:G,3,0)</f>
        <v>PP-S</v>
      </c>
      <c r="D52" s="7" t="str">
        <f>VLOOKUP(A52,БАЗА!A:G,4,0)</f>
        <v>Изменение КД П-образной вертикальной секции</v>
      </c>
      <c r="E52" s="8" t="str">
        <f>VLOOKUP(A52,БАЗА!A:G,5,0)</f>
        <v>шт.</v>
      </c>
      <c r="F52" s="13">
        <f t="shared" si="1"/>
        <v>0.29761904761904762</v>
      </c>
      <c r="G52" s="5">
        <f>VLOOKUP(A52,БАЗА!A:G,7,0)</f>
        <v>3.3600000000000003</v>
      </c>
    </row>
    <row r="53" spans="1:7" ht="23.25" x14ac:dyDescent="0.25">
      <c r="A53" s="5" t="s">
        <v>131</v>
      </c>
      <c r="B53" s="6" t="str">
        <f>VLOOKUP(A53,БАЗА!A:G,2,0)</f>
        <v>55</v>
      </c>
      <c r="C53" s="6" t="str">
        <f>VLOOKUP(A53,БАЗА!A:G,3,0)</f>
        <v>PTL, TRP</v>
      </c>
      <c r="D53" s="7" t="str">
        <f>VLOOKUP(A53,БАЗА!A:G,4,0)</f>
        <v>Разработка КД секции переброски фаз</v>
      </c>
      <c r="E53" s="8" t="str">
        <f>VLOOKUP(A53,БАЗА!A:G,5,0)</f>
        <v>шт.</v>
      </c>
      <c r="F53" s="13">
        <f t="shared" si="1"/>
        <v>8.1168831168831168E-2</v>
      </c>
      <c r="G53" s="5">
        <f>VLOOKUP(A53,БАЗА!A:G,7,0)</f>
        <v>12.32</v>
      </c>
    </row>
    <row r="54" spans="1:7" ht="23.25" x14ac:dyDescent="0.25">
      <c r="A54" s="5" t="s">
        <v>134</v>
      </c>
      <c r="B54" s="6" t="str">
        <f>VLOOKUP(A54,БАЗА!A:G,2,0)</f>
        <v>55</v>
      </c>
      <c r="C54" s="6" t="str">
        <f>VLOOKUP(A54,БАЗА!A:G,3,0)</f>
        <v>PTL, TRP</v>
      </c>
      <c r="D54" s="7" t="str">
        <f>VLOOKUP(A54,БАЗА!A:G,4,0)</f>
        <v>Изменение КД КД секции переброски фаз</v>
      </c>
      <c r="E54" s="8" t="str">
        <f>VLOOKUP(A54,БАЗА!A:G,5,0)</f>
        <v>шт.</v>
      </c>
      <c r="F54" s="13">
        <f t="shared" si="1"/>
        <v>0.22321428571428573</v>
      </c>
      <c r="G54" s="5">
        <f>VLOOKUP(A54,БАЗА!A:G,7,0)</f>
        <v>4.4799999999999995</v>
      </c>
    </row>
    <row r="55" spans="1:7" ht="23.25" x14ac:dyDescent="0.25">
      <c r="A55" s="5" t="s">
        <v>136</v>
      </c>
      <c r="B55" s="6" t="str">
        <f>VLOOKUP(A55,БАЗА!A:G,2,0)</f>
        <v>55</v>
      </c>
      <c r="C55" s="6" t="str">
        <f>VLOOKUP(A55,БАЗА!A:G,3,0)</f>
        <v>RE</v>
      </c>
      <c r="D55" s="7" t="str">
        <f>VLOOKUP(A55,БАЗА!A:G,4,0)</f>
        <v>Разработка КД Модуля редукции</v>
      </c>
      <c r="E55" s="8" t="str">
        <f>VLOOKUP(A55,БАЗА!A:G,5,0)</f>
        <v>шт.</v>
      </c>
      <c r="F55" s="13">
        <f t="shared" si="1"/>
        <v>8.9285714285714288E-2</v>
      </c>
      <c r="G55" s="5">
        <f>VLOOKUP(A55,БАЗА!A:G,7,0)</f>
        <v>11.2</v>
      </c>
    </row>
    <row r="56" spans="1:7" ht="23.25" x14ac:dyDescent="0.25">
      <c r="A56" s="5" t="s">
        <v>139</v>
      </c>
      <c r="B56" s="6" t="str">
        <f>VLOOKUP(A56,БАЗА!A:G,2,0)</f>
        <v>55</v>
      </c>
      <c r="C56" s="6" t="str">
        <f>VLOOKUP(A56,БАЗА!A:G,3,0)</f>
        <v>RE</v>
      </c>
      <c r="D56" s="7" t="str">
        <f>VLOOKUP(A56,БАЗА!A:G,4,0)</f>
        <v>Изменение КД Модуля редукции</v>
      </c>
      <c r="E56" s="8" t="str">
        <f>VLOOKUP(A56,БАЗА!A:G,5,0)</f>
        <v>шт.</v>
      </c>
      <c r="F56" s="13">
        <f t="shared" si="1"/>
        <v>0.17857142857142858</v>
      </c>
      <c r="G56" s="5">
        <f>VLOOKUP(A56,БАЗА!A:G,7,0)</f>
        <v>5.6</v>
      </c>
    </row>
    <row r="57" spans="1:7" ht="23.25" x14ac:dyDescent="0.25">
      <c r="A57" s="5" t="s">
        <v>141</v>
      </c>
      <c r="B57" s="6" t="str">
        <f>VLOOKUP(A57,БАЗА!A:G,2,0)</f>
        <v>55</v>
      </c>
      <c r="C57" s="6" t="str">
        <f>VLOOKUP(A57,БАЗА!A:G,3,0)</f>
        <v>TD</v>
      </c>
      <c r="D57" s="7" t="str">
        <f>VLOOKUP(A57,БАЗА!A:G,4,0)</f>
        <v>Разработка ПМ горизонтального тройника</v>
      </c>
      <c r="E57" s="8" t="str">
        <f>VLOOKUP(A57,БАЗА!A:G,5,0)</f>
        <v>шт.</v>
      </c>
      <c r="F57" s="13">
        <f t="shared" si="1"/>
        <v>6.3775510204081634E-2</v>
      </c>
      <c r="G57" s="5">
        <f>VLOOKUP(A57,БАЗА!A:G,7,0)</f>
        <v>15.68</v>
      </c>
    </row>
    <row r="58" spans="1:7" ht="23.25" x14ac:dyDescent="0.25">
      <c r="A58" s="5" t="s">
        <v>144</v>
      </c>
      <c r="B58" s="6" t="str">
        <f>VLOOKUP(A58,БАЗА!A:G,2,0)</f>
        <v>55</v>
      </c>
      <c r="C58" s="6" t="str">
        <f>VLOOKUP(A58,БАЗА!A:G,3,0)</f>
        <v>TD</v>
      </c>
      <c r="D58" s="7" t="str">
        <f>VLOOKUP(A58,БАЗА!A:G,4,0)</f>
        <v>Изменение ПМ горизонтального тройника</v>
      </c>
      <c r="E58" s="8" t="str">
        <f>VLOOKUP(A58,БАЗА!A:G,5,0)</f>
        <v>шт.</v>
      </c>
      <c r="F58" s="13">
        <f t="shared" si="1"/>
        <v>0.22321428571428573</v>
      </c>
      <c r="G58" s="5">
        <f>VLOOKUP(A58,БАЗА!A:G,7,0)</f>
        <v>4.4799999999999995</v>
      </c>
    </row>
    <row r="59" spans="1:7" ht="23.25" x14ac:dyDescent="0.25">
      <c r="A59" s="5" t="s">
        <v>146</v>
      </c>
      <c r="B59" s="6" t="str">
        <f>VLOOKUP(A59,БАЗА!A:G,2,0)</f>
        <v>55</v>
      </c>
      <c r="C59" s="6" t="str">
        <f>VLOOKUP(A59,БАЗА!A:G,3,0)</f>
        <v>TP</v>
      </c>
      <c r="D59" s="7" t="str">
        <f>VLOOKUP(A59,БАЗА!A:G,4,0)</f>
        <v>Разработка КД вертикального тройника</v>
      </c>
      <c r="E59" s="8" t="str">
        <f>VLOOKUP(A59,БАЗА!A:G,5,0)</f>
        <v>шт.</v>
      </c>
      <c r="F59" s="13">
        <f t="shared" si="1"/>
        <v>7.4404761904761904E-2</v>
      </c>
      <c r="G59" s="5">
        <f>VLOOKUP(A59,БАЗА!A:G,7,0)</f>
        <v>13.440000000000001</v>
      </c>
    </row>
    <row r="60" spans="1:7" ht="23.25" x14ac:dyDescent="0.25">
      <c r="A60" s="5" t="s">
        <v>148</v>
      </c>
      <c r="B60" s="6" t="str">
        <f>VLOOKUP(A60,БАЗА!A:G,2,0)</f>
        <v>55</v>
      </c>
      <c r="C60" s="6" t="str">
        <f>VLOOKUP(A60,БАЗА!A:G,3,0)</f>
        <v>TP</v>
      </c>
      <c r="D60" s="7" t="str">
        <f>VLOOKUP(A60,БАЗА!A:G,4,0)</f>
        <v>Изменение КД вертикального тройника</v>
      </c>
      <c r="E60" s="8" t="str">
        <f>VLOOKUP(A60,БАЗА!A:G,5,0)</f>
        <v>шт.</v>
      </c>
      <c r="F60" s="13">
        <f t="shared" si="1"/>
        <v>0.22321428571428573</v>
      </c>
      <c r="G60" s="5">
        <f>VLOOKUP(A60,БАЗА!A:G,7,0)</f>
        <v>4.4799999999999995</v>
      </c>
    </row>
    <row r="61" spans="1:7" ht="23.25" x14ac:dyDescent="0.25">
      <c r="A61" s="5" t="s">
        <v>151</v>
      </c>
      <c r="B61" s="6" t="str">
        <f>VLOOKUP(A61,БАЗА!A:G,2,0)</f>
        <v>55</v>
      </c>
      <c r="C61" s="6" t="str">
        <f>VLOOKUP(A61,БАЗА!A:G,3,0)</f>
        <v>ZDI</v>
      </c>
      <c r="D61" s="7" t="str">
        <f>VLOOKUP(A61,БАЗА!A:G,4,0)</f>
        <v>Разработка Эталона  1 пакетной ПМ Z-образной горизонтальной секции</v>
      </c>
      <c r="E61" s="8" t="str">
        <f>VLOOKUP(A61,БАЗА!A:G,5,0)</f>
        <v>шт.</v>
      </c>
      <c r="F61" s="13">
        <f t="shared" si="1"/>
        <v>0.11160714285714286</v>
      </c>
      <c r="G61" s="5">
        <f>VLOOKUP(A61,БАЗА!A:G,7,0)</f>
        <v>8.9599999999999991</v>
      </c>
    </row>
    <row r="62" spans="1:7" ht="23.25" x14ac:dyDescent="0.25">
      <c r="A62" s="5" t="s">
        <v>153</v>
      </c>
      <c r="B62" s="6" t="str">
        <f>VLOOKUP(A62,БАЗА!A:G,2,0)</f>
        <v>55</v>
      </c>
      <c r="C62" s="6" t="str">
        <f>VLOOKUP(A62,БАЗА!A:G,3,0)</f>
        <v>ZDII</v>
      </c>
      <c r="D62" s="7" t="str">
        <f>VLOOKUP(A62,БАЗА!A:G,4,0)</f>
        <v>Разработка Эталона  2 пакетной ПМ Z-образной горизонтальной секции</v>
      </c>
      <c r="E62" s="8" t="str">
        <f>VLOOKUP(A62,БАЗА!A:G,5,0)</f>
        <v>шт.</v>
      </c>
      <c r="F62" s="13">
        <f t="shared" si="1"/>
        <v>6.8681318681318687E-2</v>
      </c>
      <c r="G62" s="5">
        <f>VLOOKUP(A62,БАЗА!A:G,7,0)</f>
        <v>14.559999999999999</v>
      </c>
    </row>
    <row r="63" spans="1:7" ht="23.25" x14ac:dyDescent="0.25">
      <c r="A63" s="5" t="s">
        <v>156</v>
      </c>
      <c r="B63" s="6" t="str">
        <f>VLOOKUP(A63,БАЗА!A:G,2,0)</f>
        <v>55</v>
      </c>
      <c r="C63" s="6" t="str">
        <f>VLOOKUP(A63,БАЗА!A:G,3,0)</f>
        <v>ZD-S</v>
      </c>
      <c r="D63" s="7" t="str">
        <f>VLOOKUP(A63,БАЗА!A:G,4,0)</f>
        <v>Изменение ПМ Z-образной горизонтальной секции</v>
      </c>
      <c r="E63" s="8" t="str">
        <f>VLOOKUP(A63,БАЗА!A:G,5,0)</f>
        <v>шт.</v>
      </c>
      <c r="F63" s="13">
        <f t="shared" si="1"/>
        <v>0.22321428571428573</v>
      </c>
      <c r="G63" s="5">
        <f>VLOOKUP(A63,БАЗА!A:G,7,0)</f>
        <v>4.4799999999999995</v>
      </c>
    </row>
    <row r="64" spans="1:7" ht="23.25" x14ac:dyDescent="0.25">
      <c r="A64" s="5" t="s">
        <v>158</v>
      </c>
      <c r="B64" s="6" t="str">
        <f>VLOOKUP(A64,БАЗА!A:G,2,0)</f>
        <v>55</v>
      </c>
      <c r="C64" s="6" t="str">
        <f>VLOOKUP(A64,БАЗА!A:G,3,0)</f>
        <v>ZDP</v>
      </c>
      <c r="D64" s="7" t="str">
        <f>VLOOKUP(A64,БАЗА!A:G,4,0)</f>
        <v>Разработка КД комбинированного угла</v>
      </c>
      <c r="E64" s="8" t="str">
        <f>VLOOKUP(A64,БАЗА!A:G,5,0)</f>
        <v>шт.</v>
      </c>
      <c r="F64" s="13">
        <f t="shared" si="1"/>
        <v>7.4404761904761904E-2</v>
      </c>
      <c r="G64" s="5">
        <f>VLOOKUP(A64,БАЗА!A:G,7,0)</f>
        <v>13.440000000000001</v>
      </c>
    </row>
    <row r="65" spans="1:7" ht="23.25" x14ac:dyDescent="0.25">
      <c r="A65" s="5" t="s">
        <v>160</v>
      </c>
      <c r="B65" s="6" t="str">
        <f>VLOOKUP(A65,БАЗА!A:G,2,0)</f>
        <v>55</v>
      </c>
      <c r="C65" s="6" t="str">
        <f>VLOOKUP(A65,БАЗА!A:G,3,0)</f>
        <v>ZDP</v>
      </c>
      <c r="D65" s="7" t="str">
        <f>VLOOKUP(A65,БАЗА!A:G,4,0)</f>
        <v>Изменение КД комбинированного угла</v>
      </c>
      <c r="E65" s="8" t="str">
        <f>VLOOKUP(A65,БАЗА!A:G,5,0)</f>
        <v>шт.</v>
      </c>
      <c r="F65" s="13">
        <f t="shared" si="1"/>
        <v>0.14880952380952381</v>
      </c>
      <c r="G65" s="5">
        <f>VLOOKUP(A65,БАЗА!A:G,7,0)</f>
        <v>6.7200000000000006</v>
      </c>
    </row>
    <row r="66" spans="1:7" ht="23.25" x14ac:dyDescent="0.25">
      <c r="A66" s="5" t="s">
        <v>238</v>
      </c>
      <c r="B66" s="6" t="str">
        <f>VLOOKUP(A66,БАЗА!A:G,2,0)</f>
        <v>55</v>
      </c>
      <c r="C66" s="6" t="str">
        <f>VLOOKUP(A66,БАЗА!A:G,3,0)</f>
        <v>ZPI</v>
      </c>
      <c r="D66" s="7" t="str">
        <f>VLOOKUP(A66,БАЗА!A:G,4,0)</f>
        <v>Разработка Эталона  1 пакетной ПМ Z-образной вертикальной секции</v>
      </c>
      <c r="E66" s="8" t="str">
        <f>VLOOKUP(A66,БАЗА!A:G,5,0)</f>
        <v>шт.</v>
      </c>
      <c r="F66" s="13">
        <f t="shared" si="1"/>
        <v>8.9285714285714288E-2</v>
      </c>
      <c r="G66" s="5">
        <f>VLOOKUP(A66,БАЗА!A:G,7,0)</f>
        <v>11.2</v>
      </c>
    </row>
    <row r="67" spans="1:7" ht="23.25" x14ac:dyDescent="0.25">
      <c r="A67" s="5" t="s">
        <v>239</v>
      </c>
      <c r="B67" s="6" t="str">
        <f>VLOOKUP(A67,БАЗА!A:G,2,0)</f>
        <v>55</v>
      </c>
      <c r="C67" s="6" t="str">
        <f>VLOOKUP(A67,БАЗА!A:G,3,0)</f>
        <v>ZPII</v>
      </c>
      <c r="D67" s="7" t="str">
        <f>VLOOKUP(A67,БАЗА!A:G,4,0)</f>
        <v>Разработка Эталона  2 пакетной ПМ Z-образной вертикальной секции</v>
      </c>
      <c r="E67" s="8" t="str">
        <f>VLOOKUP(A67,БАЗА!A:G,5,0)</f>
        <v>шт.</v>
      </c>
      <c r="F67" s="13">
        <f t="shared" si="1"/>
        <v>5.5803571428571432E-2</v>
      </c>
      <c r="G67" s="5">
        <f>VLOOKUP(A67,БАЗА!A:G,7,0)</f>
        <v>17.919999999999998</v>
      </c>
    </row>
    <row r="68" spans="1:7" ht="23.25" x14ac:dyDescent="0.25">
      <c r="A68" s="5" t="s">
        <v>242</v>
      </c>
      <c r="B68" s="6" t="str">
        <f>VLOOKUP(A68,БАЗА!A:G,2,0)</f>
        <v>55</v>
      </c>
      <c r="C68" s="6" t="str">
        <f>VLOOKUP(A68,БАЗА!A:G,3,0)</f>
        <v>ZP-S</v>
      </c>
      <c r="D68" s="7" t="str">
        <f>VLOOKUP(A68,БАЗА!A:G,4,0)</f>
        <v>Изменение ПМ Z-образной вертикальной секции</v>
      </c>
      <c r="E68" s="8" t="str">
        <f>VLOOKUP(A68,БАЗА!A:G,5,0)</f>
        <v>шт.</v>
      </c>
      <c r="F68" s="13">
        <f t="shared" si="1"/>
        <v>0.17857142857142858</v>
      </c>
      <c r="G68" s="5">
        <f>VLOOKUP(A68,БАЗА!A:G,7,0)</f>
        <v>5.6</v>
      </c>
    </row>
    <row r="69" spans="1:7" ht="23.25" x14ac:dyDescent="0.25">
      <c r="A69" s="5" t="s">
        <v>243</v>
      </c>
      <c r="B69" s="6" t="e">
        <f>VLOOKUP(A69,БАЗА!A:G,2,0)</f>
        <v>#N/A</v>
      </c>
      <c r="C69" s="6" t="e">
        <f>VLOOKUP(A69,БАЗА!A:G,3,0)</f>
        <v>#N/A</v>
      </c>
      <c r="D69" s="7" t="e">
        <f>VLOOKUP(A69,БАЗА!A:G,4,0)</f>
        <v>#N/A</v>
      </c>
      <c r="E69" s="8" t="e">
        <f>VLOOKUP(A69,БАЗА!A:G,5,0)</f>
        <v>#N/A</v>
      </c>
      <c r="F69" s="13" t="e">
        <f t="shared" ref="F69" si="3">1/G69</f>
        <v>#N/A</v>
      </c>
      <c r="G69" s="5" t="e">
        <f>VLOOKUP(A69,БАЗА!A:G,7,0)</f>
        <v>#N/A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3E59-0E82-4E33-9B6F-E940750F7C44}">
  <dimension ref="A1:G25"/>
  <sheetViews>
    <sheetView workbookViewId="0">
      <selection activeCell="A6" sqref="A6:A7"/>
    </sheetView>
  </sheetViews>
  <sheetFormatPr defaultRowHeight="15" x14ac:dyDescent="0.25"/>
  <cols>
    <col min="3" max="3" width="21" customWidth="1"/>
    <col min="4" max="4" width="86.85546875" customWidth="1"/>
    <col min="6" max="6" width="19.140625" customWidth="1"/>
    <col min="7" max="7" width="25.85546875" customWidth="1"/>
  </cols>
  <sheetData>
    <row r="1" spans="1:7" ht="54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ht="23.25" x14ac:dyDescent="0.25">
      <c r="A2" s="5" t="s">
        <v>164</v>
      </c>
      <c r="B2" s="6" t="str">
        <f>VLOOKUP(A2,БАЗА!A:G,2,0)</f>
        <v>68</v>
      </c>
      <c r="C2" s="6" t="str">
        <f>VLOOKUP(A2,БАЗА!A:G,3,0)</f>
        <v>ADP</v>
      </c>
      <c r="D2" s="7" t="str">
        <f>VLOOKUP(A2,БАЗА!A:G,4,0)</f>
        <v>Разработка переходного элемента ШП</v>
      </c>
      <c r="E2" s="8" t="str">
        <f>VLOOKUP(A2,БАЗА!A:G,5,0)</f>
        <v>шт.</v>
      </c>
      <c r="F2" s="13">
        <f t="shared" ref="F2:F3" si="0">1/G2</f>
        <v>0.22321428571428573</v>
      </c>
      <c r="G2" s="5">
        <f>VLOOKUP(A2,БАЗА!A:G,7,0)</f>
        <v>4.4799999999999995</v>
      </c>
    </row>
    <row r="3" spans="1:7" ht="23.25" x14ac:dyDescent="0.25">
      <c r="A3" s="5" t="s">
        <v>166</v>
      </c>
      <c r="B3" s="6" t="str">
        <f>VLOOKUP(A3,БАЗА!A:G,2,0)</f>
        <v>68</v>
      </c>
      <c r="C3" s="6" t="str">
        <f>VLOOKUP(A3,БАЗА!A:G,3,0)</f>
        <v>ADP-S</v>
      </c>
      <c r="D3" s="7" t="str">
        <f>VLOOKUP(A3,БАЗА!A:G,4,0)</f>
        <v>Изменение переходного элемента ШП</v>
      </c>
      <c r="E3" s="8" t="str">
        <f>VLOOKUP(A3,БАЗА!A:G,5,0)</f>
        <v>шт.</v>
      </c>
      <c r="F3" s="13">
        <f t="shared" si="0"/>
        <v>0.44642857142857145</v>
      </c>
      <c r="G3" s="5">
        <f>VLOOKUP(A3,БАЗА!A:G,7,0)</f>
        <v>2.2399999999999998</v>
      </c>
    </row>
    <row r="4" spans="1:7" ht="23.25" x14ac:dyDescent="0.25">
      <c r="A4" s="5" t="s">
        <v>167</v>
      </c>
      <c r="B4" s="6" t="str">
        <f>VLOOKUP(A4,БАЗА!A:G,2,0)</f>
        <v>68</v>
      </c>
      <c r="C4" s="6" t="str">
        <f>VLOOKUP(A4,БАЗА!A:G,3,0)</f>
        <v>ATSC</v>
      </c>
      <c r="D4" s="7" t="str">
        <f>VLOOKUP(A4,БАЗА!A:G,4,0)</f>
        <v>Разработка КД терминальной секции</v>
      </c>
      <c r="E4" s="8" t="str">
        <f>VLOOKUP(A4,БАЗА!A:G,5,0)</f>
        <v>шт.</v>
      </c>
      <c r="F4" s="13">
        <f t="shared" ref="F4:F25" si="1">1/G4</f>
        <v>7.4404761904761904E-2</v>
      </c>
      <c r="G4" s="5">
        <f>VLOOKUP(A4,БАЗА!A:G,7,0)</f>
        <v>13.440000000000001</v>
      </c>
    </row>
    <row r="5" spans="1:7" ht="23.25" x14ac:dyDescent="0.25">
      <c r="A5" s="5" t="s">
        <v>168</v>
      </c>
      <c r="B5" s="6" t="str">
        <f>VLOOKUP(A5,БАЗА!A:G,2,0)</f>
        <v>68</v>
      </c>
      <c r="C5" s="6" t="str">
        <f>VLOOKUP(A5,БАЗА!A:G,3,0)</f>
        <v>ATSC</v>
      </c>
      <c r="D5" s="7" t="str">
        <f>VLOOKUP(A5,БАЗА!A:G,4,0)</f>
        <v>Изменение КД терминальной секции</v>
      </c>
      <c r="E5" s="8" t="str">
        <f>VLOOKUP(A5,БАЗА!A:G,5,0)</f>
        <v>шт.</v>
      </c>
      <c r="F5" s="13">
        <f t="shared" si="1"/>
        <v>0.17857142857142858</v>
      </c>
      <c r="G5" s="5">
        <f>VLOOKUP(A5,БАЗА!A:G,7,0)</f>
        <v>5.6</v>
      </c>
    </row>
    <row r="6" spans="1:7" ht="23.25" x14ac:dyDescent="0.25">
      <c r="A6" s="5" t="s">
        <v>278</v>
      </c>
      <c r="B6" s="6" t="str">
        <f>VLOOKUP(A6,БАЗА!A:G,2,0)</f>
        <v>68</v>
      </c>
      <c r="C6" s="6" t="str">
        <f>VLOOKUP(A6,БАЗА!A:G,3,0)</f>
        <v>ATCP</v>
      </c>
      <c r="D6" s="7" t="str">
        <f>VLOOKUP(A6,БАЗА!A:G,4,0)</f>
        <v>Разработка КД терминальной секции с вертикальным углом</v>
      </c>
      <c r="E6" s="8" t="str">
        <f>VLOOKUP(A6,БАЗА!A:G,5,0)</f>
        <v>шт.</v>
      </c>
      <c r="F6" s="13">
        <f t="shared" ref="F6:F7" si="2">1/G6</f>
        <v>7.1428571428571425E-2</v>
      </c>
      <c r="G6" s="5">
        <f>VLOOKUP(A6,БАЗА!A:G,7,0)</f>
        <v>14</v>
      </c>
    </row>
    <row r="7" spans="1:7" ht="23.25" x14ac:dyDescent="0.25">
      <c r="A7" s="5" t="s">
        <v>279</v>
      </c>
      <c r="B7" s="6" t="str">
        <f>VLOOKUP(A7,БАЗА!A:G,2,0)</f>
        <v>68</v>
      </c>
      <c r="C7" s="6" t="str">
        <f>VLOOKUP(A7,БАЗА!A:G,3,0)</f>
        <v>ATCP-S</v>
      </c>
      <c r="D7" s="7" t="str">
        <f>VLOOKUP(A7,БАЗА!A:G,4,0)</f>
        <v>Изменение КД  терминальной секции свертикальным углом</v>
      </c>
      <c r="E7" s="8" t="str">
        <f>VLOOKUP(A7,БАЗА!A:G,5,0)</f>
        <v>шт.</v>
      </c>
      <c r="F7" s="13">
        <f t="shared" si="2"/>
        <v>0.14285714285714285</v>
      </c>
      <c r="G7" s="5">
        <f>VLOOKUP(A7,БАЗА!A:G,7,0)</f>
        <v>7</v>
      </c>
    </row>
    <row r="8" spans="1:7" ht="23.25" x14ac:dyDescent="0.25">
      <c r="A8" s="5" t="s">
        <v>169</v>
      </c>
      <c r="B8" s="6" t="str">
        <f>VLOOKUP(A8,БАЗА!A:G,2,0)</f>
        <v>68</v>
      </c>
      <c r="C8" s="6" t="str">
        <f>VLOOKUP(A8,БАЗА!A:G,3,0)</f>
        <v>CD</v>
      </c>
      <c r="D8" s="7" t="str">
        <f>VLOOKUP(A8,БАЗА!A:G,4,0)</f>
        <v>Разработка Эталона ПМ горизонтального угла ЛШП</v>
      </c>
      <c r="E8" s="8" t="str">
        <f>VLOOKUP(A8,БАЗА!A:G,5,0)</f>
        <v>шт.</v>
      </c>
      <c r="F8" s="13">
        <f t="shared" si="1"/>
        <v>7.4404761904761904E-2</v>
      </c>
      <c r="G8" s="5">
        <f>VLOOKUP(A8,БАЗА!A:G,7,0)</f>
        <v>13.440000000000001</v>
      </c>
    </row>
    <row r="9" spans="1:7" ht="23.25" x14ac:dyDescent="0.25">
      <c r="A9" s="5" t="s">
        <v>171</v>
      </c>
      <c r="B9" s="6" t="str">
        <f>VLOOKUP(A9,БАЗА!A:G,2,0)</f>
        <v>68</v>
      </c>
      <c r="C9" s="6" t="str">
        <f>VLOOKUP(A9,БАЗА!A:G,3,0)</f>
        <v>CD-I</v>
      </c>
      <c r="D9" s="7" t="str">
        <f>VLOOKUP(A9,БАЗА!A:G,4,0)</f>
        <v xml:space="preserve">Изменение номинала горизонтального угла </v>
      </c>
      <c r="E9" s="8" t="str">
        <f>VLOOKUP(A9,БАЗА!A:G,5,0)</f>
        <v>шт.</v>
      </c>
      <c r="F9" s="13">
        <f t="shared" si="1"/>
        <v>0.1984126984126984</v>
      </c>
      <c r="G9" s="5">
        <f>VLOOKUP(A9,БАЗА!A:G,7,0)</f>
        <v>5.04</v>
      </c>
    </row>
    <row r="10" spans="1:7" ht="23.25" x14ac:dyDescent="0.25">
      <c r="A10" s="5" t="s">
        <v>172</v>
      </c>
      <c r="B10" s="6" t="str">
        <f>VLOOKUP(A10,БАЗА!A:G,2,0)</f>
        <v>68</v>
      </c>
      <c r="C10" s="6" t="str">
        <f>VLOOKUP(A10,БАЗА!A:G,3,0)</f>
        <v>CD-S</v>
      </c>
      <c r="D10" s="7" t="str">
        <f>VLOOKUP(A10,БАЗА!A:G,4,0)</f>
        <v xml:space="preserve">Изменение длины  горизонтального угла </v>
      </c>
      <c r="E10" s="8" t="str">
        <f>VLOOKUP(A10,БАЗА!A:G,5,0)</f>
        <v>шт.</v>
      </c>
      <c r="F10" s="13">
        <f t="shared" si="1"/>
        <v>0.29761904761904762</v>
      </c>
      <c r="G10" s="5">
        <f>VLOOKUP(A10,БАЗА!A:G,7,0)</f>
        <v>3.3600000000000003</v>
      </c>
    </row>
    <row r="11" spans="1:7" ht="23.25" x14ac:dyDescent="0.25">
      <c r="A11" s="5" t="s">
        <v>173</v>
      </c>
      <c r="B11" s="6" t="str">
        <f>VLOOKUP(A11,БАЗА!A:G,2,0)</f>
        <v>68</v>
      </c>
      <c r="C11" s="6" t="str">
        <f>VLOOKUP(A11,БАЗА!A:G,3,0)</f>
        <v>CP</v>
      </c>
      <c r="D11" s="7" t="str">
        <f>VLOOKUP(A11,БАЗА!A:G,4,0)</f>
        <v xml:space="preserve">Разработка Эталона ПМ вертикального угла </v>
      </c>
      <c r="E11" s="8" t="str">
        <f>VLOOKUP(A11,БАЗА!A:G,5,0)</f>
        <v>шт.</v>
      </c>
      <c r="F11" s="13">
        <f t="shared" si="1"/>
        <v>6.3775510204081634E-2</v>
      </c>
      <c r="G11" s="5">
        <f>VLOOKUP(A11,БАЗА!A:G,7,0)</f>
        <v>15.68</v>
      </c>
    </row>
    <row r="12" spans="1:7" ht="23.25" x14ac:dyDescent="0.25">
      <c r="A12" s="5" t="s">
        <v>174</v>
      </c>
      <c r="B12" s="6" t="str">
        <f>VLOOKUP(A12,БАЗА!A:G,2,0)</f>
        <v>68</v>
      </c>
      <c r="C12" s="6" t="str">
        <f>VLOOKUP(A12,БАЗА!A:G,3,0)</f>
        <v>CP-I</v>
      </c>
      <c r="D12" s="7" t="str">
        <f>VLOOKUP(A12,БАЗА!A:G,4,0)</f>
        <v xml:space="preserve">Изменение номинала вертикального угла </v>
      </c>
      <c r="E12" s="8" t="str">
        <f>VLOOKUP(A12,БАЗА!A:G,5,0)</f>
        <v>шт.</v>
      </c>
      <c r="F12" s="13">
        <f t="shared" si="1"/>
        <v>0.13736263736263737</v>
      </c>
      <c r="G12" s="5">
        <f>VLOOKUP(A12,БАЗА!A:G,7,0)</f>
        <v>7.2799999999999994</v>
      </c>
    </row>
    <row r="13" spans="1:7" ht="23.25" x14ac:dyDescent="0.25">
      <c r="A13" s="5" t="s">
        <v>175</v>
      </c>
      <c r="B13" s="6" t="str">
        <f>VLOOKUP(A13,БАЗА!A:G,2,0)</f>
        <v>68</v>
      </c>
      <c r="C13" s="6" t="str">
        <f>VLOOKUP(A13,БАЗА!A:G,3,0)</f>
        <v>CP-S</v>
      </c>
      <c r="D13" s="7" t="str">
        <f>VLOOKUP(A13,БАЗА!A:G,4,0)</f>
        <v xml:space="preserve">Изменение длины  вертикального угла </v>
      </c>
      <c r="E13" s="8" t="str">
        <f>VLOOKUP(A13,БАЗА!A:G,5,0)</f>
        <v>шт.</v>
      </c>
      <c r="F13" s="13">
        <f t="shared" si="1"/>
        <v>0.17857142857142858</v>
      </c>
      <c r="G13" s="5">
        <f>VLOOKUP(A13,БАЗА!A:G,7,0)</f>
        <v>5.6</v>
      </c>
    </row>
    <row r="14" spans="1:7" ht="23.25" x14ac:dyDescent="0.25">
      <c r="A14" s="5" t="s">
        <v>176</v>
      </c>
      <c r="B14" s="6" t="str">
        <f>VLOOKUP(A14,БАЗА!A:G,2,0)</f>
        <v>68</v>
      </c>
      <c r="C14" s="6" t="str">
        <f>VLOOKUP(A14,БАЗА!A:G,3,0)</f>
        <v>FE</v>
      </c>
      <c r="D14" s="7" t="str">
        <f>VLOOKUP(A14,БАЗА!A:G,4,0)</f>
        <v>Разработка Эталона ПМ прямой однопакетной секции ЛШП</v>
      </c>
      <c r="E14" s="8" t="str">
        <f>VLOOKUP(A14,БАЗА!A:G,5,0)</f>
        <v>шт.</v>
      </c>
      <c r="F14" s="13">
        <f t="shared" si="1"/>
        <v>8.9285714285714288E-2</v>
      </c>
      <c r="G14" s="5">
        <f>VLOOKUP(A14,БАЗА!A:G,7,0)</f>
        <v>11.2</v>
      </c>
    </row>
    <row r="15" spans="1:7" ht="23.25" x14ac:dyDescent="0.25">
      <c r="A15" s="5" t="s">
        <v>178</v>
      </c>
      <c r="B15" s="6" t="str">
        <f>VLOOKUP(A15,БАЗА!A:G,2,0)</f>
        <v>68</v>
      </c>
      <c r="C15" s="6" t="str">
        <f>VLOOKUP(A15,БАЗА!A:G,3,0)</f>
        <v>FE-I</v>
      </c>
      <c r="D15" s="7" t="str">
        <f>VLOOKUP(A15,БАЗА!A:G,4,0)</f>
        <v>Изменение номинала прямой  секции ЛШП</v>
      </c>
      <c r="E15" s="8" t="str">
        <f>VLOOKUP(A15,БАЗА!A:G,5,0)</f>
        <v>шт.</v>
      </c>
      <c r="F15" s="13">
        <f t="shared" si="1"/>
        <v>0.35714285714285715</v>
      </c>
      <c r="G15" s="5">
        <f>VLOOKUP(A15,БАЗА!A:G,7,0)</f>
        <v>2.8</v>
      </c>
    </row>
    <row r="16" spans="1:7" ht="23.25" x14ac:dyDescent="0.25">
      <c r="A16" s="5" t="s">
        <v>179</v>
      </c>
      <c r="B16" s="6" t="str">
        <f>VLOOKUP(A16,БАЗА!A:G,2,0)</f>
        <v>68</v>
      </c>
      <c r="C16" s="6" t="str">
        <f>VLOOKUP(A16,БАЗА!A:G,3,0)</f>
        <v>FE-S</v>
      </c>
      <c r="D16" s="7" t="str">
        <f>VLOOKUP(A16,БАЗА!A:G,4,0)</f>
        <v>Изменение длины прямой секции ЛШП</v>
      </c>
      <c r="E16" s="8" t="str">
        <f>VLOOKUP(A16,БАЗА!A:G,5,0)</f>
        <v>шт.</v>
      </c>
      <c r="F16" s="13">
        <f t="shared" si="1"/>
        <v>0.44642857142857145</v>
      </c>
      <c r="G16" s="5">
        <f>VLOOKUP(A16,БАЗА!A:G,7,0)</f>
        <v>2.2399999999999998</v>
      </c>
    </row>
    <row r="17" spans="1:7" ht="23.25" x14ac:dyDescent="0.25">
      <c r="A17" s="5" t="s">
        <v>181</v>
      </c>
      <c r="B17" s="6" t="str">
        <f>VLOOKUP(A17,БАЗА!A:G,2,0)</f>
        <v>68</v>
      </c>
      <c r="C17" s="6" t="str">
        <f>VLOOKUP(A17,БАЗА!A:G,3,0)</f>
        <v>G</v>
      </c>
      <c r="D17" s="7" t="str">
        <f>VLOOKUP(A17,БАЗА!A:G,4,0)</f>
        <v>Разработка КД на стыковочный элемент</v>
      </c>
      <c r="E17" s="8" t="str">
        <f>VLOOKUP(A17,БАЗА!A:G,5,0)</f>
        <v>шт.</v>
      </c>
      <c r="F17" s="13">
        <f t="shared" si="1"/>
        <v>0.22321428571428573</v>
      </c>
      <c r="G17" s="5">
        <f>VLOOKUP(A17,БАЗА!A:G,7,0)</f>
        <v>4.4799999999999995</v>
      </c>
    </row>
    <row r="18" spans="1:7" ht="23.25" x14ac:dyDescent="0.25">
      <c r="A18" s="5" t="s">
        <v>182</v>
      </c>
      <c r="B18" s="6" t="str">
        <f>VLOOKUP(A18,БАЗА!A:G,2,0)</f>
        <v>68</v>
      </c>
      <c r="C18" s="6" t="str">
        <f>VLOOKUP(A18,БАЗА!A:G,3,0)</f>
        <v>G-S</v>
      </c>
      <c r="D18" s="7" t="str">
        <f>VLOOKUP(A18,БАЗА!A:G,4,0)</f>
        <v>Изменение Эталона стыковочного элемента</v>
      </c>
      <c r="E18" s="8" t="str">
        <f>VLOOKUP(A18,БАЗА!A:G,5,0)</f>
        <v>шт.</v>
      </c>
      <c r="F18" s="13">
        <f t="shared" si="1"/>
        <v>0.59523809523809523</v>
      </c>
      <c r="G18" s="5">
        <f>VLOOKUP(A18,БАЗА!A:G,7,0)</f>
        <v>1.6800000000000002</v>
      </c>
    </row>
    <row r="19" spans="1:7" ht="23.25" x14ac:dyDescent="0.25">
      <c r="A19" s="5" t="s">
        <v>183</v>
      </c>
      <c r="B19" s="6" t="str">
        <f>VLOOKUP(A19,БАЗА!A:G,2,0)</f>
        <v>68</v>
      </c>
      <c r="C19" s="6" t="str">
        <f>VLOOKUP(A19,БАЗА!A:G,3,0)</f>
        <v>TD</v>
      </c>
      <c r="D19" s="7" t="str">
        <f>VLOOKUP(A19,БАЗА!A:G,4,0)</f>
        <v>Разработка ПМ горизонтального тройника</v>
      </c>
      <c r="E19" s="8" t="str">
        <f>VLOOKUP(A19,БАЗА!A:G,5,0)</f>
        <v>шт.</v>
      </c>
      <c r="F19" s="13">
        <f t="shared" si="1"/>
        <v>5.5803571428571432E-2</v>
      </c>
      <c r="G19" s="5">
        <f>VLOOKUP(A19,БАЗА!A:G,7,0)</f>
        <v>17.919999999999998</v>
      </c>
    </row>
    <row r="20" spans="1:7" ht="23.25" x14ac:dyDescent="0.25">
      <c r="A20" s="5" t="s">
        <v>184</v>
      </c>
      <c r="B20" s="6" t="str">
        <f>VLOOKUP(A20,БАЗА!A:G,2,0)</f>
        <v>68</v>
      </c>
      <c r="C20" s="6" t="str">
        <f>VLOOKUP(A20,БАЗА!A:G,3,0)</f>
        <v>TD</v>
      </c>
      <c r="D20" s="7" t="str">
        <f>VLOOKUP(A20,БАЗА!A:G,4,0)</f>
        <v>Изменение ПМ горизонтального тройника</v>
      </c>
      <c r="E20" s="8" t="str">
        <f>VLOOKUP(A20,БАЗА!A:G,5,0)</f>
        <v>шт.</v>
      </c>
      <c r="F20" s="13">
        <f t="shared" si="1"/>
        <v>0.14880952380952381</v>
      </c>
      <c r="G20" s="5">
        <f>VLOOKUP(A20,БАЗА!A:G,7,0)</f>
        <v>6.7200000000000006</v>
      </c>
    </row>
    <row r="21" spans="1:7" ht="23.25" x14ac:dyDescent="0.25">
      <c r="A21" s="5" t="s">
        <v>185</v>
      </c>
      <c r="B21" s="6" t="str">
        <f>VLOOKUP(A21,БАЗА!A:G,2,0)</f>
        <v>68</v>
      </c>
      <c r="C21" s="6" t="str">
        <f>VLOOKUP(A21,БАЗА!A:G,3,0)</f>
        <v>ZD</v>
      </c>
      <c r="D21" s="7" t="str">
        <f>VLOOKUP(A21,БАЗА!A:G,4,0)</f>
        <v>Разработка  Z-образной горизонтальной секции</v>
      </c>
      <c r="E21" s="8" t="str">
        <f>VLOOKUP(A21,БАЗА!A:G,5,0)</f>
        <v>шт.</v>
      </c>
      <c r="F21" s="13">
        <f t="shared" si="1"/>
        <v>7.4404761904761904E-2</v>
      </c>
      <c r="G21" s="5">
        <f>VLOOKUP(A21,БАЗА!A:G,7,0)</f>
        <v>13.440000000000001</v>
      </c>
    </row>
    <row r="22" spans="1:7" ht="23.25" x14ac:dyDescent="0.25">
      <c r="A22" s="5" t="s">
        <v>187</v>
      </c>
      <c r="B22" s="6" t="str">
        <f>VLOOKUP(A22,БАЗА!A:G,2,0)</f>
        <v>68</v>
      </c>
      <c r="C22" s="6" t="str">
        <f>VLOOKUP(A22,БАЗА!A:G,3,0)</f>
        <v>ZD-S</v>
      </c>
      <c r="D22" s="7" t="str">
        <f>VLOOKUP(A22,БАЗА!A:G,4,0)</f>
        <v>Изменение длины Z-образной горизонтальной секции</v>
      </c>
      <c r="E22" s="8" t="str">
        <f>VLOOKUP(A22,БАЗА!A:G,5,0)</f>
        <v>шт.</v>
      </c>
      <c r="F22" s="13">
        <f t="shared" si="1"/>
        <v>0.22321428571428573</v>
      </c>
      <c r="G22" s="5">
        <f>VLOOKUP(A22,БАЗА!A:G,7,0)</f>
        <v>4.4799999999999995</v>
      </c>
    </row>
    <row r="23" spans="1:7" ht="23.25" x14ac:dyDescent="0.25">
      <c r="A23" s="5" t="s">
        <v>188</v>
      </c>
      <c r="B23" s="6" t="str">
        <f>VLOOKUP(A23,БАЗА!A:G,2,0)</f>
        <v>68</v>
      </c>
      <c r="C23" s="6" t="str">
        <f>VLOOKUP(A23,БАЗА!A:G,3,0)</f>
        <v>ZP</v>
      </c>
      <c r="D23" s="7" t="str">
        <f>VLOOKUP(A23,БАЗА!A:G,4,0)</f>
        <v>Разработка  Z-образной вертикальнойсекции</v>
      </c>
      <c r="E23" s="8" t="str">
        <f>VLOOKUP(A23,БАЗА!A:G,5,0)</f>
        <v>шт.</v>
      </c>
      <c r="F23" s="13">
        <f t="shared" si="1"/>
        <v>5.9523809523809534E-2</v>
      </c>
      <c r="G23" s="5">
        <f>VLOOKUP(A23,БАЗА!A:G,7,0)</f>
        <v>16.799999999999997</v>
      </c>
    </row>
    <row r="24" spans="1:7" ht="23.25" x14ac:dyDescent="0.25">
      <c r="A24" s="5" t="s">
        <v>230</v>
      </c>
      <c r="B24" s="6" t="str">
        <f>VLOOKUP(A24,БАЗА!A:G,2,0)</f>
        <v>68</v>
      </c>
      <c r="C24" s="6" t="str">
        <f>VLOOKUP(A24,БАЗА!A:G,3,0)</f>
        <v>ZP-S</v>
      </c>
      <c r="D24" s="7" t="str">
        <f>VLOOKUP(A24,БАЗА!A:G,4,0)</f>
        <v>Изменение длины Z-образной вертикальной секции</v>
      </c>
      <c r="E24" s="8" t="str">
        <f>VLOOKUP(A24,БАЗА!A:G,5,0)</f>
        <v>шт.</v>
      </c>
      <c r="F24" s="13">
        <f t="shared" si="1"/>
        <v>0.17857142857142858</v>
      </c>
      <c r="G24" s="5">
        <f>VLOOKUP(A24,БАЗА!A:G,7,0)</f>
        <v>5.6</v>
      </c>
    </row>
    <row r="25" spans="1:7" ht="23.25" x14ac:dyDescent="0.25">
      <c r="A25" s="5" t="s">
        <v>244</v>
      </c>
      <c r="B25" s="6" t="e">
        <f>VLOOKUP(A25,БАЗА!A:G,2,0)</f>
        <v>#N/A</v>
      </c>
      <c r="C25" s="6" t="e">
        <f>VLOOKUP(A25,БАЗА!A:G,3,0)</f>
        <v>#N/A</v>
      </c>
      <c r="D25" s="7" t="e">
        <f>VLOOKUP(A25,БАЗА!A:G,4,0)</f>
        <v>#N/A</v>
      </c>
      <c r="E25" s="8" t="e">
        <f>VLOOKUP(A25,БАЗА!A:G,5,0)</f>
        <v>#N/A</v>
      </c>
      <c r="F25" s="13" t="e">
        <f t="shared" si="1"/>
        <v>#N/A</v>
      </c>
      <c r="G25" s="5" t="e">
        <f>VLOOKUP(A25,БАЗА!A:G,7,0)</f>
        <v>#N/A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275D-3005-446E-BE72-71D7288B12D2}">
  <dimension ref="A1:G19"/>
  <sheetViews>
    <sheetView workbookViewId="0">
      <selection activeCell="D15" sqref="D15"/>
    </sheetView>
  </sheetViews>
  <sheetFormatPr defaultRowHeight="15" x14ac:dyDescent="0.25"/>
  <cols>
    <col min="2" max="2" width="12.28515625" customWidth="1"/>
    <col min="3" max="3" width="12" customWidth="1"/>
    <col min="4" max="4" width="80" customWidth="1"/>
    <col min="6" max="6" width="17.7109375" customWidth="1"/>
    <col min="7" max="7" width="26.5703125" customWidth="1"/>
  </cols>
  <sheetData>
    <row r="1" spans="1:7" ht="47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ht="23.25" x14ac:dyDescent="0.25">
      <c r="A2" s="14">
        <v>8200</v>
      </c>
      <c r="B2" s="6" t="str">
        <f>VLOOKUP(A2,БАЗА!A:G,2,0)</f>
        <v>-</v>
      </c>
      <c r="C2" s="6" t="str">
        <f>VLOOKUP(A2,БАЗА!A:G,3,0)</f>
        <v>-</v>
      </c>
      <c r="D2" s="7" t="str">
        <f>VLOOKUP(A2,БАЗА!A:G,4,0)</f>
        <v>Изменение КД Автомата без ручки управления</v>
      </c>
      <c r="E2" s="8" t="str">
        <f>VLOOKUP(A2,БАЗА!A:G,5,0)</f>
        <v>шт.</v>
      </c>
      <c r="F2" s="13">
        <f t="shared" ref="F2:F3" si="0">1/G2</f>
        <v>1.7857142857142858</v>
      </c>
      <c r="G2" s="5">
        <f>VLOOKUP(A2,БАЗА!A:G,7,0)</f>
        <v>0.55999999999999994</v>
      </c>
    </row>
    <row r="3" spans="1:7" ht="23.25" x14ac:dyDescent="0.25">
      <c r="A3" s="14">
        <v>8201</v>
      </c>
      <c r="B3" s="6" t="str">
        <f>VLOOKUP(A3,БАЗА!A:G,2,0)</f>
        <v>-</v>
      </c>
      <c r="C3" s="6" t="str">
        <f>VLOOKUP(A3,БАЗА!A:G,3,0)</f>
        <v>-</v>
      </c>
      <c r="D3" s="7" t="str">
        <f>VLOOKUP(A3,БАЗА!A:G,4,0)</f>
        <v>Изменение КД Автомата с ручкой управления</v>
      </c>
      <c r="E3" s="8" t="str">
        <f>VLOOKUP(A3,БАЗА!A:G,5,0)</f>
        <v>шт.</v>
      </c>
      <c r="F3" s="13">
        <f t="shared" si="0"/>
        <v>0.35714285714285715</v>
      </c>
      <c r="G3" s="5">
        <f>VLOOKUP(A3,БАЗА!A:G,7,0)</f>
        <v>2.8</v>
      </c>
    </row>
    <row r="4" spans="1:7" ht="23.25" x14ac:dyDescent="0.25">
      <c r="A4" s="14">
        <v>8202</v>
      </c>
      <c r="B4" s="6" t="str">
        <f>VLOOKUP(A4,БАЗА!A:G,2,0)</f>
        <v>-</v>
      </c>
      <c r="C4" s="6" t="str">
        <f>VLOOKUP(A4,БАЗА!A:G,3,0)</f>
        <v>FB</v>
      </c>
      <c r="D4" s="7" t="str">
        <f>VLOOKUP(A4,БАЗА!A:G,4,0)</f>
        <v>Разработка КД Комплекта для огнестойкой проходки ШП</v>
      </c>
      <c r="E4" s="8" t="str">
        <f>VLOOKUP(A4,БАЗА!A:G,5,0)</f>
        <v>шт.</v>
      </c>
      <c r="F4" s="13">
        <f t="shared" ref="F4:F19" si="1">1/G4</f>
        <v>0.44642857142857145</v>
      </c>
      <c r="G4" s="5">
        <f>VLOOKUP(A4,БАЗА!A:G,7,0)</f>
        <v>2.2399999999999998</v>
      </c>
    </row>
    <row r="5" spans="1:7" ht="23.25" x14ac:dyDescent="0.25">
      <c r="A5" s="14">
        <v>8203</v>
      </c>
      <c r="B5" s="6" t="str">
        <f>VLOOKUP(A5,БАЗА!A:G,2,0)</f>
        <v>-</v>
      </c>
      <c r="C5" s="6" t="str">
        <f>VLOOKUP(A5,БАЗА!A:G,3,0)</f>
        <v>FB</v>
      </c>
      <c r="D5" s="7" t="str">
        <f>VLOOKUP(A5,БАЗА!A:G,4,0)</f>
        <v>Изменение КД Комплекта для огнестойкой проходки ШП</v>
      </c>
      <c r="E5" s="8" t="str">
        <f>VLOOKUP(A5,БАЗА!A:G,5,0)</f>
        <v>шт.</v>
      </c>
      <c r="F5" s="13">
        <f t="shared" si="1"/>
        <v>0.8928571428571429</v>
      </c>
      <c r="G5" s="5">
        <f>VLOOKUP(A5,БАЗА!A:G,7,0)</f>
        <v>1.1199999999999999</v>
      </c>
    </row>
    <row r="6" spans="1:7" ht="23.25" x14ac:dyDescent="0.25">
      <c r="A6" s="14">
        <v>8204</v>
      </c>
      <c r="B6" s="6" t="str">
        <f>VLOOKUP(A6,БАЗА!A:G,2,0)</f>
        <v>-</v>
      </c>
      <c r="C6" s="6" t="str">
        <f>VLOOKUP(A6,БАЗА!A:G,3,0)</f>
        <v>-</v>
      </c>
      <c r="D6" s="7" t="str">
        <f>VLOOKUP(A6,БАЗА!A:G,4,0)</f>
        <v>Изменение КД окна отбора мощности</v>
      </c>
      <c r="E6" s="8" t="str">
        <f>VLOOKUP(A6,БАЗА!A:G,5,0)</f>
        <v>шт.</v>
      </c>
      <c r="F6" s="13">
        <f t="shared" si="1"/>
        <v>0.29761904761904762</v>
      </c>
      <c r="G6" s="5">
        <f>VLOOKUP(A6,БАЗА!A:G,7,0)</f>
        <v>3.3600000000000003</v>
      </c>
    </row>
    <row r="7" spans="1:7" ht="23.25" x14ac:dyDescent="0.25">
      <c r="A7" s="14">
        <v>8205</v>
      </c>
      <c r="B7" s="6" t="str">
        <f>VLOOKUP(A7,БАЗА!A:G,2,0)</f>
        <v>-</v>
      </c>
      <c r="C7" s="6" t="str">
        <f>VLOOKUP(A7,БАЗА!A:G,3,0)</f>
        <v>EC</v>
      </c>
      <c r="D7" s="7" t="str">
        <f>VLOOKUP(A7,БАЗА!A:G,4,0)</f>
        <v>Изменение ПМ Концевой заглушки</v>
      </c>
      <c r="E7" s="8" t="str">
        <f>VLOOKUP(A7,БАЗА!A:G,5,0)</f>
        <v>шт.</v>
      </c>
      <c r="F7" s="13">
        <f t="shared" si="1"/>
        <v>0.8928571428571429</v>
      </c>
      <c r="G7" s="5">
        <f>VLOOKUP(A7,БАЗА!A:G,7,0)</f>
        <v>1.1199999999999999</v>
      </c>
    </row>
    <row r="8" spans="1:7" ht="40.5" x14ac:dyDescent="0.25">
      <c r="A8" s="14">
        <v>8206</v>
      </c>
      <c r="B8" s="6" t="str">
        <f>VLOOKUP(A8,БАЗА!A:G,2,0)</f>
        <v>-</v>
      </c>
      <c r="C8" s="6" t="str">
        <f>VLOOKUP(A8,БАЗА!A:G,3,0)</f>
        <v>-</v>
      </c>
      <c r="D8" s="7" t="str">
        <f>VLOOKUP(A8,БАЗА!A:G,4,0)</f>
        <v>Разработка (изменение)  Прижимной решётки для торц. загл.</v>
      </c>
      <c r="E8" s="8" t="str">
        <f>VLOOKUP(A8,БАЗА!A:G,5,0)</f>
        <v>шт.</v>
      </c>
      <c r="F8" s="13">
        <f t="shared" si="1"/>
        <v>0.8928571428571429</v>
      </c>
      <c r="G8" s="5">
        <f>VLOOKUP(A8,БАЗА!A:G,7,0)</f>
        <v>1.1199999999999999</v>
      </c>
    </row>
    <row r="9" spans="1:7" ht="23.25" x14ac:dyDescent="0.25">
      <c r="A9" s="14">
        <v>8207</v>
      </c>
      <c r="B9" s="6" t="str">
        <f>VLOOKUP(A9,БАЗА!A:G,2,0)</f>
        <v>-</v>
      </c>
      <c r="C9" s="6" t="str">
        <f>VLOOKUP(A9,БАЗА!A:G,3,0)</f>
        <v>-</v>
      </c>
      <c r="D9" s="7" t="str">
        <f>VLOOKUP(A9,БАЗА!A:G,4,0)</f>
        <v>Разработка (изменение)  Торцевой заглушки</v>
      </c>
      <c r="E9" s="8" t="str">
        <f>VLOOKUP(A9,БАЗА!A:G,5,0)</f>
        <v>шт.</v>
      </c>
      <c r="F9" s="13">
        <f t="shared" si="1"/>
        <v>1.7857142857142858</v>
      </c>
      <c r="G9" s="5">
        <f>VLOOKUP(A9,БАЗА!A:G,7,0)</f>
        <v>0.55999999999999994</v>
      </c>
    </row>
    <row r="10" spans="1:7" ht="23.25" x14ac:dyDescent="0.25">
      <c r="A10" s="14">
        <v>8208</v>
      </c>
      <c r="B10" s="6" t="str">
        <f>VLOOKUP(A10,БАЗА!A:G,2,0)</f>
        <v>-</v>
      </c>
      <c r="C10" s="6" t="str">
        <f>VLOOKUP(A10,БАЗА!A:G,3,0)</f>
        <v>-</v>
      </c>
      <c r="D10" s="7" t="str">
        <f>VLOOKUP(A10,БАЗА!A:G,4,0)</f>
        <v>Разработка КД Автомата без ручки управления</v>
      </c>
      <c r="E10" s="8" t="str">
        <f>VLOOKUP(A10,БАЗА!A:G,5,0)</f>
        <v>шт.</v>
      </c>
      <c r="F10" s="13">
        <f t="shared" si="1"/>
        <v>1.7857142857142858</v>
      </c>
      <c r="G10" s="5">
        <f>VLOOKUP(A10,БАЗА!A:G,7,0)</f>
        <v>0.55999999999999994</v>
      </c>
    </row>
    <row r="11" spans="1:7" ht="23.25" x14ac:dyDescent="0.25">
      <c r="A11" s="14">
        <v>8209</v>
      </c>
      <c r="B11" s="6" t="str">
        <f>VLOOKUP(A11,БАЗА!A:G,2,0)</f>
        <v>-</v>
      </c>
      <c r="C11" s="6" t="str">
        <f>VLOOKUP(A11,БАЗА!A:G,3,0)</f>
        <v>-</v>
      </c>
      <c r="D11" s="7" t="str">
        <f>VLOOKUP(A11,БАЗА!A:G,4,0)</f>
        <v>Разработка КД Автомата с ручкой управления</v>
      </c>
      <c r="E11" s="8" t="str">
        <f>VLOOKUP(A11,БАЗА!A:G,5,0)</f>
        <v>шт.</v>
      </c>
      <c r="F11" s="13">
        <f t="shared" si="1"/>
        <v>0.44642857142857145</v>
      </c>
      <c r="G11" s="5">
        <f>VLOOKUP(A11,БАЗА!A:G,7,0)</f>
        <v>2.2399999999999998</v>
      </c>
    </row>
    <row r="12" spans="1:7" ht="23.25" x14ac:dyDescent="0.25">
      <c r="A12" s="14">
        <v>8210</v>
      </c>
      <c r="B12" s="6" t="str">
        <f>VLOOKUP(A12,БАЗА!A:G,2,0)</f>
        <v>-</v>
      </c>
      <c r="C12" s="6" t="str">
        <f>VLOOKUP(A12,БАЗА!A:G,3,0)</f>
        <v>-</v>
      </c>
      <c r="D12" s="7" t="str">
        <f>VLOOKUP(A12,БАЗА!A:G,4,0)</f>
        <v>Разработка КД Изолятора</v>
      </c>
      <c r="E12" s="8" t="str">
        <f>VLOOKUP(A12,БАЗА!A:G,5,0)</f>
        <v>шт.</v>
      </c>
      <c r="F12" s="13">
        <f t="shared" si="1"/>
        <v>0.8928571428571429</v>
      </c>
      <c r="G12" s="5">
        <f>VLOOKUP(A12,БАЗА!A:G,7,0)</f>
        <v>1.1199999999999999</v>
      </c>
    </row>
    <row r="13" spans="1:7" ht="23.25" x14ac:dyDescent="0.25">
      <c r="A13" s="14">
        <v>8211</v>
      </c>
      <c r="B13" s="6" t="str">
        <f>VLOOKUP(A13,БАЗА!A:G,2,0)</f>
        <v>-</v>
      </c>
      <c r="C13" s="6" t="str">
        <f>VLOOKUP(A13,БАЗА!A:G,3,0)</f>
        <v>PTC</v>
      </c>
      <c r="D13" s="7" t="str">
        <f>VLOOKUP(A13,БАЗА!A:G,4,0)</f>
        <v>Разработка КД Луженой переходной медной пластины</v>
      </c>
      <c r="E13" s="8" t="str">
        <f>VLOOKUP(A13,БАЗА!A:G,5,0)</f>
        <v>шт.</v>
      </c>
      <c r="F13" s="13">
        <f t="shared" si="1"/>
        <v>0.8928571428571429</v>
      </c>
      <c r="G13" s="5">
        <f>VLOOKUP(A13,БАЗА!A:G,7,0)</f>
        <v>1.1199999999999999</v>
      </c>
    </row>
    <row r="14" spans="1:7" ht="23.25" x14ac:dyDescent="0.25">
      <c r="A14" s="14">
        <v>8212</v>
      </c>
      <c r="B14" s="6" t="str">
        <f>VLOOKUP(A14,БАЗА!A:G,2,0)</f>
        <v>-</v>
      </c>
      <c r="C14" s="6" t="str">
        <f>VLOOKUP(A14,БАЗА!A:G,3,0)</f>
        <v>-</v>
      </c>
      <c r="D14" s="7" t="str">
        <f>VLOOKUP(A14,БАЗА!A:G,4,0)</f>
        <v>Разработка КД окна отбора мощности</v>
      </c>
      <c r="E14" s="8" t="str">
        <f>VLOOKUP(A14,БАЗА!A:G,5,0)</f>
        <v>шт.</v>
      </c>
      <c r="F14" s="13">
        <f t="shared" si="1"/>
        <v>0.44642857142857145</v>
      </c>
      <c r="G14" s="5">
        <f>VLOOKUP(A14,БАЗА!A:G,7,0)</f>
        <v>2.2399999999999998</v>
      </c>
    </row>
    <row r="15" spans="1:7" ht="23.25" x14ac:dyDescent="0.25">
      <c r="A15" s="14">
        <v>8213</v>
      </c>
      <c r="B15" s="6" t="str">
        <f>VLOOKUP(A15,БАЗА!A:G,2,0)</f>
        <v>-</v>
      </c>
      <c r="C15" s="6" t="str">
        <f>VLOOKUP(A15,БАЗА!A:G,3,0)</f>
        <v>CTSC1</v>
      </c>
      <c r="D15" s="7" t="str">
        <f>VLOOKUP(A15,БАЗА!A:G,4,0)</f>
        <v>Разработка КД кожуха 1 категории сложности (простой)</v>
      </c>
      <c r="E15" s="8" t="str">
        <f>VLOOKUP(A15,БАЗА!A:G,5,0)</f>
        <v>шт.</v>
      </c>
      <c r="F15" s="13">
        <f t="shared" si="1"/>
        <v>0.44642857142857145</v>
      </c>
      <c r="G15" s="5">
        <f>VLOOKUP(A15,БАЗА!A:G,7,0)</f>
        <v>2.2399999999999998</v>
      </c>
    </row>
    <row r="16" spans="1:7" ht="23.25" x14ac:dyDescent="0.25">
      <c r="A16" s="14">
        <v>8214</v>
      </c>
      <c r="B16" s="6" t="str">
        <f>VLOOKUP(A16,БАЗА!A:G,2,0)</f>
        <v>-</v>
      </c>
      <c r="C16" s="6" t="str">
        <f>VLOOKUP(A16,БАЗА!A:G,3,0)</f>
        <v>CTSC2</v>
      </c>
      <c r="D16" s="7" t="str">
        <f>VLOOKUP(A16,БАЗА!A:G,4,0)</f>
        <v>Разработка КД кожуха 2 категории сложности (сложный)</v>
      </c>
      <c r="E16" s="8" t="str">
        <f>VLOOKUP(A16,БАЗА!A:G,5,0)</f>
        <v>шт.</v>
      </c>
      <c r="F16" s="13">
        <f t="shared" si="1"/>
        <v>0.22321428571428573</v>
      </c>
      <c r="G16" s="5">
        <f>VLOOKUP(A16,БАЗА!A:G,7,0)</f>
        <v>4.4799999999999995</v>
      </c>
    </row>
    <row r="17" spans="1:7" ht="40.5" x14ac:dyDescent="0.25">
      <c r="A17" s="14">
        <v>8215</v>
      </c>
      <c r="B17" s="6" t="str">
        <f>VLOOKUP(A17,БАЗА!A:G,2,0)</f>
        <v>-</v>
      </c>
      <c r="C17" s="6" t="str">
        <f>VLOOKUP(A17,БАЗА!A:G,3,0)</f>
        <v>-</v>
      </c>
      <c r="D17" s="7" t="str">
        <f>VLOOKUP(A17,БАЗА!A:G,4,0)</f>
        <v>Разработка Эталона ПМ корпуса (ЯОМ, FLX, FEB, СМL, RE)</v>
      </c>
      <c r="E17" s="8" t="str">
        <f>VLOOKUP(A17,БАЗА!A:G,5,0)</f>
        <v>шт.</v>
      </c>
      <c r="F17" s="13">
        <f t="shared" si="1"/>
        <v>0.11160714285714286</v>
      </c>
      <c r="G17" s="5">
        <f>VLOOKUP(A17,БАЗА!A:G,7,0)</f>
        <v>8.9599999999999991</v>
      </c>
    </row>
    <row r="18" spans="1:7" ht="23.25" x14ac:dyDescent="0.25">
      <c r="A18" s="14">
        <v>8216</v>
      </c>
      <c r="B18" s="6" t="str">
        <f>VLOOKUP(A18,БАЗА!A:G,2,0)</f>
        <v>-</v>
      </c>
      <c r="C18" s="6" t="str">
        <f>VLOOKUP(A18,БАЗА!A:G,3,0)</f>
        <v>-</v>
      </c>
      <c r="D18" s="7" t="str">
        <f>VLOOKUP(A18,БАЗА!A:G,4,0)</f>
        <v xml:space="preserve">Изменение Эталона ПМ корпуса </v>
      </c>
      <c r="E18" s="8" t="str">
        <f>VLOOKUP(A18,БАЗА!A:G,5,0)</f>
        <v>шт.</v>
      </c>
      <c r="F18" s="13">
        <f t="shared" si="1"/>
        <v>0.22321428571428573</v>
      </c>
      <c r="G18" s="5">
        <f>VLOOKUP(A18,БАЗА!A:G,7,0)</f>
        <v>4.4799999999999995</v>
      </c>
    </row>
    <row r="19" spans="1:7" ht="23.25" x14ac:dyDescent="0.25">
      <c r="A19" s="14">
        <v>8217</v>
      </c>
      <c r="B19" s="6" t="e">
        <f>VLOOKUP(A19,БАЗА!A:G,2,0)</f>
        <v>#N/A</v>
      </c>
      <c r="C19" s="6" t="e">
        <f>VLOOKUP(A19,БАЗА!A:G,3,0)</f>
        <v>#N/A</v>
      </c>
      <c r="D19" s="7" t="e">
        <f>VLOOKUP(A19,БАЗА!A:G,4,0)</f>
        <v>#N/A</v>
      </c>
      <c r="E19" s="8" t="e">
        <f>VLOOKUP(A19,БАЗА!A:G,5,0)</f>
        <v>#N/A</v>
      </c>
      <c r="F19" s="13" t="e">
        <f t="shared" si="1"/>
        <v>#N/A</v>
      </c>
      <c r="G19" s="5" t="e">
        <f>VLOOKUP(A19,БАЗА!A:G,7,0)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КАТАЛОГ</vt:lpstr>
      <vt:lpstr>БАЗА</vt:lpstr>
      <vt:lpstr>IP 55</vt:lpstr>
      <vt:lpstr>IP 68</vt:lpstr>
      <vt:lpstr>Аксес. и компл.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Шилов</dc:creator>
  <cp:lastModifiedBy>Rinsvid</cp:lastModifiedBy>
  <dcterms:created xsi:type="dcterms:W3CDTF">2015-06-05T18:19:34Z</dcterms:created>
  <dcterms:modified xsi:type="dcterms:W3CDTF">2026-06-01T18:31:22Z</dcterms:modified>
</cp:coreProperties>
</file>