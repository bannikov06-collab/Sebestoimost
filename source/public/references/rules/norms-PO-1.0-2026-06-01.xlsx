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Сергей Шилов\Desktop\ВЕДОМОСТИ\"/>
    </mc:Choice>
  </mc:AlternateContent>
  <xr:revisionPtr revIDLastSave="0" documentId="13_ncr:1_{AECFE160-79D8-424D-86A2-9D5BE8A5A9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Нормы П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F32" i="1"/>
  <c r="E32" i="1" s="1"/>
  <c r="F33" i="1"/>
  <c r="E33" i="1" s="1"/>
  <c r="F34" i="1"/>
  <c r="E34" i="1" s="1"/>
  <c r="F35" i="1"/>
  <c r="E35" i="1" s="1"/>
  <c r="F36" i="1"/>
  <c r="E36" i="1" s="1"/>
  <c r="F37" i="1"/>
  <c r="E37" i="1" s="1"/>
  <c r="F38" i="1"/>
  <c r="E38" i="1" s="1"/>
  <c r="F39" i="1"/>
  <c r="E39" i="1" s="1"/>
  <c r="F40" i="1"/>
  <c r="E40" i="1" s="1"/>
  <c r="F31" i="1"/>
  <c r="E31" i="1" s="1"/>
  <c r="F14" i="1"/>
  <c r="E14" i="1" s="1"/>
  <c r="F15" i="1"/>
  <c r="E15" i="1" s="1"/>
  <c r="F16" i="1"/>
  <c r="E16" i="1" s="1"/>
  <c r="F17" i="1"/>
  <c r="E17" i="1" s="1"/>
  <c r="F18" i="1"/>
  <c r="E18" i="1" s="1"/>
  <c r="F19" i="1"/>
  <c r="E19" i="1" s="1"/>
  <c r="F20" i="1"/>
  <c r="E20" i="1" s="1"/>
  <c r="F21" i="1"/>
  <c r="E21" i="1" s="1"/>
  <c r="F22" i="1"/>
  <c r="E22" i="1" s="1"/>
  <c r="F23" i="1"/>
  <c r="E23" i="1" s="1"/>
  <c r="F24" i="1"/>
  <c r="E24" i="1" s="1"/>
  <c r="F25" i="1"/>
  <c r="E25" i="1" s="1"/>
  <c r="F26" i="1"/>
  <c r="E26" i="1" s="1"/>
  <c r="F27" i="1"/>
  <c r="E27" i="1" s="1"/>
  <c r="F28" i="1"/>
  <c r="E28" i="1" s="1"/>
  <c r="F29" i="1"/>
  <c r="E29" i="1" s="1"/>
  <c r="F13" i="1"/>
  <c r="E13" i="1" s="1"/>
  <c r="F5" i="1"/>
  <c r="E5" i="1" s="1"/>
  <c r="F7" i="1"/>
  <c r="E7" i="1" s="1"/>
  <c r="F8" i="1"/>
  <c r="E8" i="1" s="1"/>
  <c r="F9" i="1"/>
  <c r="E9" i="1" s="1"/>
  <c r="F10" i="1"/>
  <c r="E10" i="1" s="1"/>
  <c r="F11" i="1"/>
  <c r="E11" i="1" s="1"/>
  <c r="F4" i="1"/>
  <c r="E4" i="1" s="1"/>
</calcChain>
</file>

<file path=xl/sharedStrings.xml><?xml version="1.0" encoding="utf-8"?>
<sst xmlns="http://schemas.openxmlformats.org/spreadsheetml/2006/main" count="83" uniqueCount="51">
  <si>
    <t>Код</t>
  </si>
  <si>
    <t>Норма выработки за час, шт.</t>
  </si>
  <si>
    <t>Трудоем-кость, чел/час 
(часы на разработку)</t>
  </si>
  <si>
    <t>Оценка ТЗ: первичный анализ требований, состава задания и рисков</t>
  </si>
  <si>
    <t>Оценка проекта: проверка наличия исходных данных, объема работ и полноты задания</t>
  </si>
  <si>
    <t>Перебивка спецификации шинопровода KLM</t>
  </si>
  <si>
    <t>Подготовка к перебивке спецификации шинопровода конкурентов</t>
  </si>
  <si>
    <t>Перебивка спецификации шинопровода конкурентов</t>
  </si>
  <si>
    <t>Перебивка спецификации КНС</t>
  </si>
  <si>
    <t>Перебивка спецификации троллейного шинопровода</t>
  </si>
  <si>
    <t>Отрисовка одной линии порядка 6 м в масштабе</t>
  </si>
  <si>
    <t>Отрисовка одной линии одного номинала порядка 50 м с 3-6 поворотами/переходами высот</t>
  </si>
  <si>
    <t>Отрисовка двух линий порядка 50 м с 3-6 поворотами/переходами высот</t>
  </si>
  <si>
    <t>Отрисовка двух линий порядка 50 м разных номиналов с 3-6 поворотами/переходами высот</t>
  </si>
  <si>
    <t>Отрисовка одной линии одного номинала порядка 150 м с 6+ поворотами/переходами высот</t>
  </si>
  <si>
    <t>Отрисовка двух линий порядка 150 м с 6+ поворотами/переходами высот</t>
  </si>
  <si>
    <t>Отрисовка двух линий порядка 150 м разных номиналов с 6+ поворотами/переходами высот</t>
  </si>
  <si>
    <t>Отрисовка четырех линий порядка 150 м с 6+ поворотами/переходами высот</t>
  </si>
  <si>
    <t>Отрисовка четырех линий порядка 150 м разных номиналов с 6+ поворотами/переходами высот</t>
  </si>
  <si>
    <t>Оформление размещения элемента ШП, гибкой связи, КОМ или нестандартного узла</t>
  </si>
  <si>
    <t>Сборочная таблица одного шинопровода порядка 6 м</t>
  </si>
  <si>
    <t>Сборочная таблица одного шинопровода порядка 50 м</t>
  </si>
  <si>
    <t>Сборочная таблица одного шинопровода порядка 150 м</t>
  </si>
  <si>
    <t>Отрисовка видов ШП для проекта без разрезов из расчета на один ШП</t>
  </si>
  <si>
    <t>Отрисовка видов ШП для проекта с разрезами из расчета на один ШП</t>
  </si>
  <si>
    <t>Нормы ПО 1.0 от 01.06.2026</t>
  </si>
  <si>
    <t>Разработка ПД</t>
  </si>
  <si>
    <t>Вид работ</t>
  </si>
  <si>
    <t>Разработка ПД (описание)</t>
  </si>
  <si>
    <t>Оценка и подготовка.</t>
  </si>
  <si>
    <t>Размещение и изменения</t>
  </si>
  <si>
    <t>Размещение заказа в производство на 1 элемент</t>
  </si>
  <si>
    <t>минут</t>
  </si>
  <si>
    <t>штук в час</t>
  </si>
  <si>
    <t>часов на 1 шт.</t>
  </si>
  <si>
    <t>Обработка одного входящего замечания/вопроса заказчика с фиксацией решения</t>
  </si>
  <si>
    <t>Финальная самопроверка проекта перед передачей в КО/производство</t>
  </si>
  <si>
    <t>Сверка спецификации проекта с каталогом секций и номенклатурой производства</t>
  </si>
  <si>
    <t>Эскиз нестандартного решения для предварительного согласования</t>
  </si>
  <si>
    <t>Архивация, именование и размещение финального комплекта проектных файлов</t>
  </si>
  <si>
    <t>Заполнение реестра проектных решений и статусов по заказу</t>
  </si>
  <si>
    <t>Подготовка ТЗ на запуск в производство по готовому проекту</t>
  </si>
  <si>
    <t>1. Оценка и подготовка.</t>
  </si>
  <si>
    <t>2. Разработка ПД</t>
  </si>
  <si>
    <t>3. Размещение и изменения</t>
  </si>
  <si>
    <t>Дополнительное время ввиду сложности проекта, многоэтажность здания, большое количество изгибов, элементов, трасс, номиналов в одном проекте.</t>
  </si>
  <si>
    <t>Оценка проекта или ТЗ высокой сложность (объем, ЦОД, комплексное здание)</t>
  </si>
  <si>
    <t>Отрисовка двух параллельных линий одного неоминала, порядка 6 м, в масштабе.</t>
  </si>
  <si>
    <t>Внесение 1 изменения в готовую трассу без изменения состава секций</t>
  </si>
  <si>
    <t>Отрисовка с позиционированием одного КШИ/ШМГИ на одном трансформаторе от 4 шт. (1 флажок)</t>
  </si>
  <si>
    <t>Норма выработки, мин.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</si>
</sst>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sz val="11"/>
      <name val="Carlito"/>
    </font>
    <font>
      <b/>
      <sz val="12"/>
      <name val="Carlito"/>
      <charset val="204"/>
    </font>
    <font>
      <b/>
      <sz val="12"/>
      <color rgb="FF000000"/>
      <name val="Carlito"/>
    </font>
    <font>
      <sz val="12"/>
      <name val="Carlito"/>
    </font>
    <font>
      <b/>
      <sz val="12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2" fillId="3" borderId="1" xfId="1" applyFont="1" applyFill="1" applyBorder="1" applyAlignment="1">
      <alignment horizontal="center" vertical="top" wrapText="1"/>
    </xf>
    <xf numFmtId="0" fontId="2" fillId="4" borderId="1" xfId="1" applyFont="1" applyFill="1" applyBorder="1" applyAlignment="1">
      <alignment horizontal="center" vertical="top" wrapText="1"/>
    </xf>
    <xf numFmtId="0" fontId="4" fillId="4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horizontal="center" vertical="top" wrapText="1"/>
    </xf>
    <xf numFmtId="0" fontId="5" fillId="4" borderId="1" xfId="1" applyFont="1" applyFill="1" applyBorder="1" applyAlignment="1">
      <alignment horizontal="center" vertical="top" wrapText="1"/>
    </xf>
    <xf numFmtId="1" fontId="6" fillId="0" borderId="1" xfId="1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1" fontId="6" fillId="4" borderId="1" xfId="1" applyNumberFormat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horizontal="left" vertical="top" wrapText="1"/>
    </xf>
    <xf numFmtId="164" fontId="4" fillId="0" borderId="1" xfId="1" applyNumberFormat="1" applyFont="1" applyBorder="1" applyAlignment="1">
      <alignment horizontal="center" vertical="center" wrapText="1"/>
    </xf>
    <xf numFmtId="164" fontId="4" fillId="4" borderId="1" xfId="1" applyNumberFormat="1" applyFont="1" applyFill="1" applyBorder="1" applyAlignment="1">
      <alignment horizontal="center" vertical="center" wrapText="1"/>
    </xf>
    <xf numFmtId="1" fontId="6" fillId="5" borderId="1" xfId="1" applyNumberFormat="1" applyFont="1" applyFill="1" applyBorder="1" applyAlignment="1">
      <alignment horizontal="left"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0"/>
    <xf numFmtId="164" fontId="4" fillId="5" borderId="1" xfId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4.25"/>
  <cols>
    <col min="1" max="1" width="6.375" customWidth="1"/>
    <col min="2" max="2" width="20.125" customWidth="1"/>
    <col min="3" max="3" width="98.625" customWidth="1"/>
    <col min="4" max="5" width="19.875" customWidth="1"/>
    <col min="6" max="6" width="24" customWidth="1"/>
  </cols>
  <sheetData>
    <row r="1" spans="1:6" ht="27.95" customHeight="1">
      <c r="A1" s="16" t="s">
        <v>25</v>
      </c>
      <c r="B1" s="17"/>
      <c r="C1" s="17"/>
      <c r="D1" s="17"/>
      <c r="E1" s="17"/>
      <c r="F1" s="17"/>
    </row>
    <row r="2" spans="1:6" ht="36" customHeight="1">
      <c r="A2" s="19" t="s">
        <v>0</v>
      </c>
      <c r="B2" s="19" t="s">
        <v>27</v>
      </c>
      <c r="C2" s="19" t="s">
        <v>28</v>
      </c>
      <c r="D2" s="1" t="s">
        <v>50</v>
      </c>
      <c r="E2" s="1" t="s">
        <v>1</v>
      </c>
      <c r="F2" s="1" t="s">
        <v>2</v>
      </c>
    </row>
    <row r="3" spans="1:6" ht="21.75" customHeight="1">
      <c r="A3" s="2"/>
      <c r="B3" s="3"/>
      <c r="C3" s="10" t="s">
        <v>42</v>
      </c>
      <c r="D3" s="4" t="s">
        <v>32</v>
      </c>
      <c r="E3" s="5" t="s">
        <v>33</v>
      </c>
      <c r="F3" s="5" t="s">
        <v>34</v>
      </c>
    </row>
    <row r="4" spans="1:6" ht="33" customHeight="1">
      <c r="A4" s="6">
        <v>9000</v>
      </c>
      <c r="B4" s="7" t="s">
        <v>29</v>
      </c>
      <c r="C4" s="7" t="s">
        <v>3</v>
      </c>
      <c r="D4" s="11">
        <v>30</v>
      </c>
      <c r="E4" s="11">
        <f>1/F4</f>
        <v>2</v>
      </c>
      <c r="F4" s="11">
        <f>D4/60</f>
        <v>0.5</v>
      </c>
    </row>
    <row r="5" spans="1:6" ht="33" customHeight="1">
      <c r="A5" s="6">
        <v>9001</v>
      </c>
      <c r="B5" s="7" t="s">
        <v>29</v>
      </c>
      <c r="C5" s="7" t="s">
        <v>4</v>
      </c>
      <c r="D5" s="11">
        <v>30</v>
      </c>
      <c r="E5" s="11">
        <f t="shared" ref="E5:E40" si="0">1/F5</f>
        <v>2</v>
      </c>
      <c r="F5" s="11">
        <f>D5/60</f>
        <v>0.5</v>
      </c>
    </row>
    <row r="6" spans="1:6" s="15" customFormat="1" ht="33" customHeight="1">
      <c r="A6" s="6">
        <v>9002</v>
      </c>
      <c r="B6" s="7" t="s">
        <v>29</v>
      </c>
      <c r="C6" s="7" t="s">
        <v>46</v>
      </c>
      <c r="D6" s="11">
        <v>150</v>
      </c>
      <c r="E6" s="11">
        <f t="shared" ref="E6" si="1">1/F6</f>
        <v>0.4</v>
      </c>
      <c r="F6" s="11">
        <f t="shared" ref="F6" si="2">D6/60</f>
        <v>2.5</v>
      </c>
    </row>
    <row r="7" spans="1:6" ht="33" customHeight="1">
      <c r="A7" s="6">
        <v>9003</v>
      </c>
      <c r="B7" s="7" t="s">
        <v>29</v>
      </c>
      <c r="C7" s="7" t="s">
        <v>5</v>
      </c>
      <c r="D7" s="11">
        <v>1.2</v>
      </c>
      <c r="E7" s="11">
        <f t="shared" si="0"/>
        <v>50</v>
      </c>
      <c r="F7" s="11">
        <f>D7/60</f>
        <v>0.02</v>
      </c>
    </row>
    <row r="8" spans="1:6" ht="33" customHeight="1">
      <c r="A8" s="6">
        <v>9004</v>
      </c>
      <c r="B8" s="7" t="s">
        <v>29</v>
      </c>
      <c r="C8" s="7" t="s">
        <v>6</v>
      </c>
      <c r="D8" s="11">
        <v>20</v>
      </c>
      <c r="E8" s="11">
        <f t="shared" si="0"/>
        <v>3</v>
      </c>
      <c r="F8" s="11">
        <f>D8/60</f>
        <v>0.33333333333333331</v>
      </c>
    </row>
    <row r="9" spans="1:6" ht="33" customHeight="1">
      <c r="A9" s="6">
        <v>9005</v>
      </c>
      <c r="B9" s="7" t="s">
        <v>29</v>
      </c>
      <c r="C9" s="7" t="s">
        <v>7</v>
      </c>
      <c r="D9" s="11">
        <v>7</v>
      </c>
      <c r="E9" s="11">
        <f t="shared" si="0"/>
        <v>8.5714285714285712</v>
      </c>
      <c r="F9" s="11">
        <f>D9/60</f>
        <v>0.11666666666666667</v>
      </c>
    </row>
    <row r="10" spans="1:6" ht="33" customHeight="1">
      <c r="A10" s="6">
        <v>9006</v>
      </c>
      <c r="B10" s="7" t="s">
        <v>29</v>
      </c>
      <c r="C10" s="7" t="s">
        <v>8</v>
      </c>
      <c r="D10" s="11">
        <v>5</v>
      </c>
      <c r="E10" s="11">
        <f t="shared" si="0"/>
        <v>12</v>
      </c>
      <c r="F10" s="11">
        <f>D10/60</f>
        <v>8.3333333333333329E-2</v>
      </c>
    </row>
    <row r="11" spans="1:6" ht="33" customHeight="1">
      <c r="A11" s="6">
        <v>9007</v>
      </c>
      <c r="B11" s="7" t="s">
        <v>29</v>
      </c>
      <c r="C11" s="7" t="s">
        <v>9</v>
      </c>
      <c r="D11" s="11">
        <v>5</v>
      </c>
      <c r="E11" s="11">
        <f t="shared" si="0"/>
        <v>12</v>
      </c>
      <c r="F11" s="11">
        <f>D11/60</f>
        <v>8.3333333333333329E-2</v>
      </c>
    </row>
    <row r="12" spans="1:6" ht="33" customHeight="1">
      <c r="A12" s="8"/>
      <c r="B12" s="9"/>
      <c r="C12" s="9" t="s">
        <v>43</v>
      </c>
      <c r="D12" s="12"/>
      <c r="E12" s="12"/>
      <c r="F12" s="12"/>
    </row>
    <row r="13" spans="1:6" ht="33" customHeight="1">
      <c r="A13" s="13">
        <v>9200</v>
      </c>
      <c r="B13" s="14" t="s">
        <v>26</v>
      </c>
      <c r="C13" s="14" t="s">
        <v>10</v>
      </c>
      <c r="D13" s="18">
        <v>25</v>
      </c>
      <c r="E13" s="18">
        <f t="shared" si="0"/>
        <v>2.4</v>
      </c>
      <c r="F13" s="18">
        <f t="shared" ref="F13" si="3">D13/60</f>
        <v>0.41666666666666669</v>
      </c>
    </row>
    <row r="14" spans="1:6" ht="33" customHeight="1">
      <c r="A14" s="13">
        <v>9201</v>
      </c>
      <c r="B14" s="14" t="s">
        <v>26</v>
      </c>
      <c r="C14" s="14" t="s">
        <v>47</v>
      </c>
      <c r="D14" s="18">
        <v>40</v>
      </c>
      <c r="E14" s="18">
        <f t="shared" si="0"/>
        <v>1.5</v>
      </c>
      <c r="F14" s="18">
        <f t="shared" ref="F14:F29" si="4">D14/60</f>
        <v>0.66666666666666663</v>
      </c>
    </row>
    <row r="15" spans="1:6" ht="33" customHeight="1">
      <c r="A15" s="13">
        <v>9202</v>
      </c>
      <c r="B15" s="14" t="s">
        <v>26</v>
      </c>
      <c r="C15" s="14" t="s">
        <v>11</v>
      </c>
      <c r="D15" s="18">
        <v>50</v>
      </c>
      <c r="E15" s="18">
        <f t="shared" si="0"/>
        <v>1.2</v>
      </c>
      <c r="F15" s="18">
        <f t="shared" si="4"/>
        <v>0.83333333333333337</v>
      </c>
    </row>
    <row r="16" spans="1:6" ht="33" customHeight="1">
      <c r="A16" s="13">
        <v>9203</v>
      </c>
      <c r="B16" s="14" t="s">
        <v>26</v>
      </c>
      <c r="C16" s="14" t="s">
        <v>12</v>
      </c>
      <c r="D16" s="18">
        <v>100</v>
      </c>
      <c r="E16" s="18">
        <f t="shared" si="0"/>
        <v>0.6</v>
      </c>
      <c r="F16" s="18">
        <f t="shared" si="4"/>
        <v>1.6666666666666667</v>
      </c>
    </row>
    <row r="17" spans="1:6" ht="33" customHeight="1">
      <c r="A17" s="13">
        <v>9204</v>
      </c>
      <c r="B17" s="14" t="s">
        <v>26</v>
      </c>
      <c r="C17" s="14" t="s">
        <v>13</v>
      </c>
      <c r="D17" s="18">
        <v>200</v>
      </c>
      <c r="E17" s="18">
        <f t="shared" si="0"/>
        <v>0.3</v>
      </c>
      <c r="F17" s="18">
        <f t="shared" si="4"/>
        <v>3.3333333333333335</v>
      </c>
    </row>
    <row r="18" spans="1:6" ht="33" customHeight="1">
      <c r="A18" s="13">
        <v>9205</v>
      </c>
      <c r="B18" s="14" t="s">
        <v>26</v>
      </c>
      <c r="C18" s="14" t="s">
        <v>14</v>
      </c>
      <c r="D18" s="18">
        <v>150</v>
      </c>
      <c r="E18" s="18">
        <f t="shared" si="0"/>
        <v>0.4</v>
      </c>
      <c r="F18" s="18">
        <f t="shared" si="4"/>
        <v>2.5</v>
      </c>
    </row>
    <row r="19" spans="1:6" ht="33" customHeight="1">
      <c r="A19" s="13">
        <v>9206</v>
      </c>
      <c r="B19" s="14" t="s">
        <v>26</v>
      </c>
      <c r="C19" s="14" t="s">
        <v>15</v>
      </c>
      <c r="D19" s="18">
        <v>300</v>
      </c>
      <c r="E19" s="18">
        <f t="shared" si="0"/>
        <v>0.2</v>
      </c>
      <c r="F19" s="18">
        <f t="shared" si="4"/>
        <v>5</v>
      </c>
    </row>
    <row r="20" spans="1:6" ht="33" customHeight="1">
      <c r="A20" s="13">
        <v>9207</v>
      </c>
      <c r="B20" s="14" t="s">
        <v>26</v>
      </c>
      <c r="C20" s="14" t="s">
        <v>16</v>
      </c>
      <c r="D20" s="18">
        <v>480</v>
      </c>
      <c r="E20" s="18">
        <f t="shared" si="0"/>
        <v>0.125</v>
      </c>
      <c r="F20" s="18">
        <f t="shared" si="4"/>
        <v>8</v>
      </c>
    </row>
    <row r="21" spans="1:6" ht="33" customHeight="1">
      <c r="A21" s="13">
        <v>9208</v>
      </c>
      <c r="B21" s="14" t="s">
        <v>26</v>
      </c>
      <c r="C21" s="14" t="s">
        <v>17</v>
      </c>
      <c r="D21" s="18">
        <v>720</v>
      </c>
      <c r="E21" s="18">
        <f t="shared" si="0"/>
        <v>8.3333333333333329E-2</v>
      </c>
      <c r="F21" s="18">
        <f t="shared" si="4"/>
        <v>12</v>
      </c>
    </row>
    <row r="22" spans="1:6" ht="33" customHeight="1">
      <c r="A22" s="13">
        <v>9209</v>
      </c>
      <c r="B22" s="14" t="s">
        <v>26</v>
      </c>
      <c r="C22" s="14" t="s">
        <v>18</v>
      </c>
      <c r="D22" s="18">
        <v>960</v>
      </c>
      <c r="E22" s="18">
        <f t="shared" si="0"/>
        <v>6.25E-2</v>
      </c>
      <c r="F22" s="18">
        <f t="shared" si="4"/>
        <v>16</v>
      </c>
    </row>
    <row r="23" spans="1:6" ht="33" customHeight="1">
      <c r="A23" s="13">
        <v>9210</v>
      </c>
      <c r="B23" s="14" t="s">
        <v>26</v>
      </c>
      <c r="C23" s="14" t="s">
        <v>49</v>
      </c>
      <c r="D23" s="18">
        <v>40</v>
      </c>
      <c r="E23" s="18">
        <f t="shared" si="0"/>
        <v>1.5</v>
      </c>
      <c r="F23" s="18">
        <f t="shared" si="4"/>
        <v>0.66666666666666663</v>
      </c>
    </row>
    <row r="24" spans="1:6" ht="33" customHeight="1">
      <c r="A24" s="13">
        <v>9211</v>
      </c>
      <c r="B24" s="14" t="s">
        <v>26</v>
      </c>
      <c r="C24" s="14" t="s">
        <v>19</v>
      </c>
      <c r="D24" s="18">
        <v>15</v>
      </c>
      <c r="E24" s="18">
        <f t="shared" si="0"/>
        <v>4</v>
      </c>
      <c r="F24" s="18">
        <f t="shared" si="4"/>
        <v>0.25</v>
      </c>
    </row>
    <row r="25" spans="1:6" ht="33" customHeight="1">
      <c r="A25" s="13">
        <v>9212</v>
      </c>
      <c r="B25" s="14" t="s">
        <v>26</v>
      </c>
      <c r="C25" s="14" t="s">
        <v>20</v>
      </c>
      <c r="D25" s="18">
        <v>10</v>
      </c>
      <c r="E25" s="18">
        <f t="shared" si="0"/>
        <v>6</v>
      </c>
      <c r="F25" s="18">
        <f t="shared" si="4"/>
        <v>0.16666666666666666</v>
      </c>
    </row>
    <row r="26" spans="1:6" ht="33" customHeight="1">
      <c r="A26" s="13">
        <v>9213</v>
      </c>
      <c r="B26" s="14" t="s">
        <v>26</v>
      </c>
      <c r="C26" s="14" t="s">
        <v>21</v>
      </c>
      <c r="D26" s="18">
        <v>50</v>
      </c>
      <c r="E26" s="18">
        <f t="shared" si="0"/>
        <v>1.2</v>
      </c>
      <c r="F26" s="18">
        <f t="shared" si="4"/>
        <v>0.83333333333333337</v>
      </c>
    </row>
    <row r="27" spans="1:6" ht="33" customHeight="1">
      <c r="A27" s="13">
        <v>9214</v>
      </c>
      <c r="B27" s="14" t="s">
        <v>26</v>
      </c>
      <c r="C27" s="14" t="s">
        <v>22</v>
      </c>
      <c r="D27" s="18">
        <v>150</v>
      </c>
      <c r="E27" s="18">
        <f t="shared" si="0"/>
        <v>0.4</v>
      </c>
      <c r="F27" s="18">
        <f t="shared" si="4"/>
        <v>2.5</v>
      </c>
    </row>
    <row r="28" spans="1:6" ht="33" customHeight="1">
      <c r="A28" s="13">
        <v>9215</v>
      </c>
      <c r="B28" s="14" t="s">
        <v>26</v>
      </c>
      <c r="C28" s="14" t="s">
        <v>23</v>
      </c>
      <c r="D28" s="18">
        <v>70</v>
      </c>
      <c r="E28" s="18">
        <f t="shared" si="0"/>
        <v>0.8571428571428571</v>
      </c>
      <c r="F28" s="18">
        <f t="shared" si="4"/>
        <v>1.1666666666666667</v>
      </c>
    </row>
    <row r="29" spans="1:6" ht="33" customHeight="1">
      <c r="A29" s="13">
        <v>9216</v>
      </c>
      <c r="B29" s="14" t="s">
        <v>26</v>
      </c>
      <c r="C29" s="14" t="s">
        <v>24</v>
      </c>
      <c r="D29" s="18">
        <v>140</v>
      </c>
      <c r="E29" s="18">
        <f t="shared" si="0"/>
        <v>0.42857142857142855</v>
      </c>
      <c r="F29" s="18">
        <f t="shared" si="4"/>
        <v>2.3333333333333335</v>
      </c>
    </row>
    <row r="30" spans="1:6" ht="33" customHeight="1">
      <c r="A30" s="8"/>
      <c r="B30" s="9"/>
      <c r="C30" s="9" t="s">
        <v>44</v>
      </c>
      <c r="D30" s="12"/>
      <c r="E30" s="12"/>
      <c r="F30" s="12"/>
    </row>
    <row r="31" spans="1:6" ht="33" customHeight="1">
      <c r="A31" s="13">
        <v>9500</v>
      </c>
      <c r="B31" s="20" t="s">
        <v>30</v>
      </c>
      <c r="C31" s="7" t="s">
        <v>31</v>
      </c>
      <c r="D31" s="11">
        <v>5</v>
      </c>
      <c r="E31" s="11">
        <f t="shared" si="0"/>
        <v>12</v>
      </c>
      <c r="F31" s="11">
        <f t="shared" ref="F31" si="5">D31/60</f>
        <v>8.3333333333333329E-2</v>
      </c>
    </row>
    <row r="32" spans="1:6" ht="33" customHeight="1">
      <c r="A32" s="13">
        <v>9501</v>
      </c>
      <c r="B32" s="20" t="s">
        <v>30</v>
      </c>
      <c r="C32" s="14" t="s">
        <v>35</v>
      </c>
      <c r="D32" s="11">
        <v>50</v>
      </c>
      <c r="E32" s="11">
        <f t="shared" si="0"/>
        <v>1.2</v>
      </c>
      <c r="F32" s="11">
        <f>D32/60</f>
        <v>0.83333333333333337</v>
      </c>
    </row>
    <row r="33" spans="1:6" ht="33" customHeight="1">
      <c r="A33" s="13">
        <v>9502</v>
      </c>
      <c r="B33" s="20" t="s">
        <v>30</v>
      </c>
      <c r="C33" s="14" t="s">
        <v>48</v>
      </c>
      <c r="D33" s="11">
        <v>60</v>
      </c>
      <c r="E33" s="11">
        <f t="shared" si="0"/>
        <v>1</v>
      </c>
      <c r="F33" s="11">
        <f>D33/60</f>
        <v>1</v>
      </c>
    </row>
    <row r="34" spans="1:6" ht="33" customHeight="1">
      <c r="A34" s="13">
        <v>9503</v>
      </c>
      <c r="B34" s="20" t="s">
        <v>30</v>
      </c>
      <c r="C34" s="14" t="s">
        <v>36</v>
      </c>
      <c r="D34" s="11">
        <v>30</v>
      </c>
      <c r="E34" s="11">
        <f t="shared" si="0"/>
        <v>2</v>
      </c>
      <c r="F34" s="11">
        <f>D34/60</f>
        <v>0.5</v>
      </c>
    </row>
    <row r="35" spans="1:6" ht="33" customHeight="1">
      <c r="A35" s="13">
        <v>9504</v>
      </c>
      <c r="B35" s="20" t="s">
        <v>30</v>
      </c>
      <c r="C35" s="14" t="s">
        <v>37</v>
      </c>
      <c r="D35" s="11">
        <v>45</v>
      </c>
      <c r="E35" s="11">
        <f t="shared" si="0"/>
        <v>1.3333333333333333</v>
      </c>
      <c r="F35" s="11">
        <f>D35/60</f>
        <v>0.75</v>
      </c>
    </row>
    <row r="36" spans="1:6" ht="33" customHeight="1">
      <c r="A36" s="13">
        <v>9505</v>
      </c>
      <c r="B36" s="20" t="s">
        <v>30</v>
      </c>
      <c r="C36" s="14" t="s">
        <v>41</v>
      </c>
      <c r="D36" s="11">
        <v>60</v>
      </c>
      <c r="E36" s="11">
        <f t="shared" si="0"/>
        <v>1</v>
      </c>
      <c r="F36" s="11">
        <f>D36/60</f>
        <v>1</v>
      </c>
    </row>
    <row r="37" spans="1:6" ht="33" customHeight="1">
      <c r="A37" s="13">
        <v>9506</v>
      </c>
      <c r="B37" s="20" t="s">
        <v>30</v>
      </c>
      <c r="C37" s="14" t="s">
        <v>38</v>
      </c>
      <c r="D37" s="11">
        <v>100</v>
      </c>
      <c r="E37" s="11">
        <f t="shared" si="0"/>
        <v>0.6</v>
      </c>
      <c r="F37" s="11">
        <f>D37/60</f>
        <v>1.6666666666666667</v>
      </c>
    </row>
    <row r="38" spans="1:6" ht="33" customHeight="1">
      <c r="A38" s="13">
        <v>9507</v>
      </c>
      <c r="B38" s="20" t="s">
        <v>30</v>
      </c>
      <c r="C38" s="14" t="s">
        <v>39</v>
      </c>
      <c r="D38" s="11">
        <v>30</v>
      </c>
      <c r="E38" s="11">
        <f t="shared" si="0"/>
        <v>2</v>
      </c>
      <c r="F38" s="11">
        <f>D38/60</f>
        <v>0.5</v>
      </c>
    </row>
    <row r="39" spans="1:6" ht="33" customHeight="1">
      <c r="A39" s="13">
        <v>9508</v>
      </c>
      <c r="B39" s="20" t="s">
        <v>30</v>
      </c>
      <c r="C39" s="14" t="s">
        <v>40</v>
      </c>
      <c r="D39" s="11">
        <v>20</v>
      </c>
      <c r="E39" s="11">
        <f t="shared" si="0"/>
        <v>3</v>
      </c>
      <c r="F39" s="11">
        <f>D39/60</f>
        <v>0.33333333333333331</v>
      </c>
    </row>
    <row r="40" spans="1:6" ht="33" customHeight="1">
      <c r="A40" s="13">
        <v>9509</v>
      </c>
      <c r="B40" s="20" t="s">
        <v>30</v>
      </c>
      <c r="C40" s="14" t="s">
        <v>45</v>
      </c>
      <c r="D40" s="11">
        <v>120</v>
      </c>
      <c r="E40" s="11">
        <f t="shared" si="0"/>
        <v>0.5</v>
      </c>
      <c r="F40" s="11">
        <f>D40/60</f>
        <v>2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Нормы ПО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Шилов</dc:creator>
  <cp:lastModifiedBy>Сергей Шилов</cp:lastModifiedBy>
  <dcterms:created xsi:type="dcterms:W3CDTF">2026-05-21T11:34:05Z</dcterms:created>
  <dcterms:modified xsi:type="dcterms:W3CDTF">2026-05-25T06:57:15Z</dcterms:modified>
</cp:coreProperties>
</file>