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-KLM\Desktop\КОСЫ\"/>
    </mc:Choice>
  </mc:AlternateContent>
  <bookViews>
    <workbookView xWindow="0" yWindow="0" windowWidth="28800" windowHeight="11730" activeTab="1"/>
  </bookViews>
  <sheets>
    <sheet name="Для проектировщиков" sheetId="1" r:id="rId1"/>
    <sheet name="Для производства" sheetId="2" r:id="rId2"/>
    <sheet name="Лаборатория" sheetId="3" r:id="rId3"/>
    <sheet name="косичка 450 кв.мм. H=100 мм." sheetId="4" r:id="rId4"/>
    <sheet name="косичка 800 кв.мм. H=160 мм." sheetId="5" r:id="rId5"/>
    <sheet name="косичка 800 кв.мм. сравнение L " sheetId="6" r:id="rId6"/>
    <sheet name="КША 160х10 L=200мм гибкая часть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2" i="1" l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41" i="1"/>
  <c r="H16" i="1"/>
  <c r="H14" i="1" l="1"/>
  <c r="D55" i="1" l="1"/>
  <c r="H55" i="1" s="1"/>
  <c r="D54" i="1"/>
  <c r="H54" i="1" s="1"/>
  <c r="D53" i="1"/>
  <c r="H53" i="1" s="1"/>
  <c r="D52" i="1"/>
  <c r="H52" i="1" s="1"/>
  <c r="D51" i="1"/>
  <c r="H51" i="1" s="1"/>
  <c r="D50" i="1"/>
  <c r="H50" i="1" s="1"/>
  <c r="D49" i="1"/>
  <c r="H49" i="1" s="1"/>
  <c r="D48" i="1"/>
  <c r="H48" i="1" s="1"/>
  <c r="D47" i="1"/>
  <c r="H47" i="1" s="1"/>
  <c r="D46" i="1"/>
  <c r="H46" i="1" s="1"/>
  <c r="D45" i="1"/>
  <c r="H45" i="1" s="1"/>
  <c r="D44" i="1"/>
  <c r="H44" i="1" s="1"/>
  <c r="D43" i="1"/>
  <c r="H43" i="1" s="1"/>
  <c r="D42" i="1"/>
  <c r="H42" i="1" s="1"/>
  <c r="D41" i="1"/>
  <c r="H41" i="1" s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H25" i="1" l="1"/>
  <c r="D23" i="1"/>
  <c r="H23" i="1" s="1"/>
  <c r="D24" i="1"/>
  <c r="H24" i="1" s="1"/>
  <c r="D25" i="1"/>
  <c r="D26" i="1"/>
  <c r="H26" i="1" s="1"/>
  <c r="D27" i="1"/>
  <c r="H27" i="1" s="1"/>
  <c r="D28" i="1"/>
  <c r="H28" i="1" s="1"/>
  <c r="D29" i="1"/>
  <c r="H29" i="1" s="1"/>
  <c r="D30" i="1"/>
  <c r="H30" i="1" s="1"/>
  <c r="D31" i="1"/>
  <c r="D32" i="1"/>
  <c r="H32" i="1" s="1"/>
  <c r="D33" i="1"/>
  <c r="D34" i="1"/>
  <c r="D35" i="1"/>
  <c r="D36" i="1"/>
  <c r="D22" i="1"/>
  <c r="H22" i="1" s="1"/>
  <c r="H31" i="1" l="1"/>
  <c r="H36" i="1"/>
  <c r="H35" i="1"/>
  <c r="H34" i="1"/>
  <c r="H33" i="1"/>
  <c r="Q117" i="5"/>
  <c r="R117" i="5"/>
  <c r="P117" i="5"/>
  <c r="AQ129" i="5"/>
  <c r="AQ157" i="5"/>
  <c r="AQ187" i="5"/>
  <c r="N176" i="5"/>
  <c r="N144" i="5"/>
  <c r="N120" i="5"/>
  <c r="C24" i="3" l="1"/>
  <c r="E24" i="3" s="1"/>
  <c r="C23" i="3"/>
  <c r="E23" i="3" s="1"/>
  <c r="G20" i="2"/>
  <c r="H20" i="2" s="1"/>
  <c r="H19" i="2"/>
  <c r="G19" i="2"/>
  <c r="G18" i="2"/>
  <c r="H18" i="2" s="1"/>
  <c r="G17" i="2"/>
  <c r="H17" i="2" s="1"/>
  <c r="G16" i="2"/>
  <c r="H16" i="2" s="1"/>
  <c r="H15" i="2"/>
  <c r="G15" i="2"/>
  <c r="G14" i="2"/>
  <c r="H14" i="2" s="1"/>
  <c r="G13" i="2"/>
  <c r="H13" i="2" s="1"/>
  <c r="G12" i="2"/>
  <c r="H12" i="2" s="1"/>
  <c r="H11" i="2"/>
  <c r="G11" i="2"/>
  <c r="G10" i="2"/>
  <c r="H10" i="2" s="1"/>
  <c r="G9" i="2"/>
  <c r="H9" i="2" s="1"/>
  <c r="G8" i="2"/>
  <c r="H8" i="2" s="1"/>
  <c r="H7" i="2"/>
  <c r="G7" i="2"/>
  <c r="G6" i="2"/>
  <c r="H6" i="2" s="1"/>
  <c r="H18" i="1"/>
  <c r="H17" i="1"/>
  <c r="H15" i="1"/>
  <c r="H13" i="1"/>
  <c r="H12" i="1"/>
  <c r="H11" i="1"/>
  <c r="H10" i="1"/>
  <c r="H9" i="1"/>
  <c r="H8" i="1"/>
  <c r="H7" i="1"/>
  <c r="H6" i="1"/>
  <c r="H5" i="1"/>
  <c r="H4" i="1"/>
  <c r="Q30" i="7" l="1"/>
  <c r="R30" i="7"/>
  <c r="P30" i="7"/>
  <c r="Q11" i="7"/>
  <c r="R11" i="7"/>
  <c r="P11" i="7"/>
  <c r="AO102" i="7"/>
  <c r="AO74" i="7"/>
  <c r="AO37" i="7"/>
  <c r="N79" i="7"/>
  <c r="N27" i="7"/>
  <c r="V29" i="6" l="1"/>
  <c r="V11" i="6"/>
  <c r="R18" i="6" l="1"/>
  <c r="S18" i="6"/>
  <c r="T18" i="6"/>
  <c r="U18" i="6"/>
  <c r="Q18" i="6"/>
  <c r="R17" i="6"/>
  <c r="S17" i="6"/>
  <c r="T17" i="6"/>
  <c r="U17" i="6"/>
  <c r="Q17" i="6"/>
  <c r="R11" i="6"/>
  <c r="S11" i="6"/>
  <c r="T11" i="6"/>
  <c r="U11" i="6"/>
  <c r="Q11" i="6"/>
  <c r="R29" i="6"/>
  <c r="S29" i="6"/>
  <c r="T29" i="6"/>
  <c r="U29" i="6"/>
  <c r="Q29" i="6"/>
  <c r="AT33" i="6"/>
  <c r="AS33" i="6"/>
  <c r="AT56" i="6"/>
  <c r="AS56" i="6"/>
  <c r="AT92" i="6"/>
  <c r="AS92" i="6"/>
  <c r="O60" i="6"/>
  <c r="N60" i="6"/>
  <c r="O33" i="6"/>
  <c r="N33" i="6"/>
  <c r="T10" i="5" l="1"/>
  <c r="U10" i="5"/>
  <c r="V10" i="5"/>
  <c r="Z81" i="4" l="1"/>
  <c r="AA81" i="4"/>
  <c r="Y81" i="4"/>
  <c r="W4" i="4" l="1"/>
  <c r="X4" i="4"/>
  <c r="Y4" i="4"/>
  <c r="AA170" i="4" l="1"/>
  <c r="AB170" i="4"/>
  <c r="Z170" i="4"/>
  <c r="S42" i="3" l="1"/>
  <c r="R42" i="3"/>
  <c r="G42" i="3"/>
  <c r="G41" i="3"/>
  <c r="H41" i="3" s="1"/>
  <c r="S41" i="3"/>
  <c r="R41" i="3"/>
  <c r="H42" i="3" l="1"/>
  <c r="I165" i="4"/>
  <c r="I140" i="4"/>
  <c r="I108" i="4"/>
  <c r="H77" i="4"/>
  <c r="H49" i="4"/>
  <c r="H30" i="4"/>
  <c r="G20" i="3" l="1"/>
  <c r="H20" i="3" s="1"/>
  <c r="G19" i="3"/>
  <c r="G18" i="3"/>
  <c r="G17" i="3"/>
  <c r="G16" i="3"/>
  <c r="H16" i="3" s="1"/>
  <c r="G15" i="3"/>
  <c r="H15" i="3" s="1"/>
  <c r="G14" i="3"/>
  <c r="H14" i="3" s="1"/>
  <c r="G13" i="3"/>
  <c r="G12" i="3"/>
  <c r="H12" i="3" s="1"/>
  <c r="G11" i="3"/>
  <c r="H11" i="3" s="1"/>
  <c r="G10" i="3"/>
  <c r="G9" i="3"/>
  <c r="G8" i="3"/>
  <c r="H8" i="3" s="1"/>
  <c r="G7" i="3"/>
  <c r="G6" i="3"/>
  <c r="H6" i="3" s="1"/>
  <c r="H7" i="3" l="1"/>
  <c r="H19" i="3"/>
  <c r="H13" i="3"/>
  <c r="H9" i="3"/>
  <c r="H17" i="3"/>
  <c r="H10" i="3"/>
  <c r="H18" i="3"/>
</calcChain>
</file>

<file path=xl/sharedStrings.xml><?xml version="1.0" encoding="utf-8"?>
<sst xmlns="http://schemas.openxmlformats.org/spreadsheetml/2006/main" count="373" uniqueCount="122">
  <si>
    <t>Ток, А</t>
  </si>
  <si>
    <t>кол-во пакетов</t>
  </si>
  <si>
    <t>ширина, мм</t>
  </si>
  <si>
    <t>стандарт</t>
  </si>
  <si>
    <t>кол-во на фазу</t>
  </si>
  <si>
    <t>ширина одной шины, мм</t>
  </si>
  <si>
    <r>
      <t>сечение одной шины, мм</t>
    </r>
    <r>
      <rPr>
        <sz val="11"/>
        <color theme="1"/>
        <rFont val="Calibri"/>
        <family val="2"/>
        <charset val="204"/>
      </rPr>
      <t>²</t>
    </r>
  </si>
  <si>
    <t>ШП АЛЮМИНИЙ</t>
  </si>
  <si>
    <t>плетеная шина (стандарт 500 мм)</t>
  </si>
  <si>
    <t>Для проектировщиков</t>
  </si>
  <si>
    <t>Для производства</t>
  </si>
  <si>
    <t>∆50</t>
  </si>
  <si>
    <t>трубка</t>
  </si>
  <si>
    <t>медь</t>
  </si>
  <si>
    <t>лист</t>
  </si>
  <si>
    <t>толщина, мм</t>
  </si>
  <si>
    <t>-</t>
  </si>
  <si>
    <t>длина разветки, мм</t>
  </si>
  <si>
    <t>аналог - труба</t>
  </si>
  <si>
    <t>109*3</t>
  </si>
  <si>
    <t>22*1,5</t>
  </si>
  <si>
    <t>трубка или лист</t>
  </si>
  <si>
    <t>∆30, А</t>
  </si>
  <si>
    <t>∆50, А</t>
  </si>
  <si>
    <t>∆70, А</t>
  </si>
  <si>
    <t>на фазу</t>
  </si>
  <si>
    <t>Лаборатория</t>
  </si>
  <si>
    <t>Дата/Время</t>
  </si>
  <si>
    <t>Icp</t>
  </si>
  <si>
    <t>Датчик 6</t>
  </si>
  <si>
    <t>Датчик 11</t>
  </si>
  <si>
    <t>Датчик 12</t>
  </si>
  <si>
    <t>Датчик 14</t>
  </si>
  <si>
    <t>Датчик 15</t>
  </si>
  <si>
    <t>∆</t>
  </si>
  <si>
    <t>Датчик 13</t>
  </si>
  <si>
    <t>1 штука</t>
  </si>
  <si>
    <t>2 штуки с двух сторон флажка</t>
  </si>
  <si>
    <t>расчет</t>
  </si>
  <si>
    <t>Расчетные данные по результатам измерений 1 штука</t>
  </si>
  <si>
    <t>Расчетные данные по результатам измерений 2 штуки с двух сторон</t>
  </si>
  <si>
    <t>одна штука</t>
  </si>
  <si>
    <t>две штуки</t>
  </si>
  <si>
    <t>2 штуки с одной стороны в ряд (не друга на друга)</t>
  </si>
  <si>
    <t>Ra</t>
  </si>
  <si>
    <t>Rb</t>
  </si>
  <si>
    <t>Rc</t>
  </si>
  <si>
    <t>Датчик 3</t>
  </si>
  <si>
    <t>Датчик 4</t>
  </si>
  <si>
    <t>y = 306,23x0,5498</t>
  </si>
  <si>
    <t>Расчетные данные по результатам измерений 2 штуки с одной стороны в ряд</t>
  </si>
  <si>
    <t>y = 239,87x0,5137</t>
  </si>
  <si>
    <t>y = 320,4x0,5251</t>
  </si>
  <si>
    <t>Датчик 1</t>
  </si>
  <si>
    <t>Датчик 16</t>
  </si>
  <si>
    <t>y = 357,26x0,5012</t>
  </si>
  <si>
    <t>Ток шины 1070 мм.</t>
  </si>
  <si>
    <t>IinB</t>
  </si>
  <si>
    <t>Ток шины 630 мм.</t>
  </si>
  <si>
    <t>самый горячий датчик 1070 мм.</t>
  </si>
  <si>
    <t>окр. Среда</t>
  </si>
  <si>
    <t>самый горячий датчик 630 мм.</t>
  </si>
  <si>
    <t>первый день испытания (две точки)</t>
  </si>
  <si>
    <t>дельта по 1070 мм</t>
  </si>
  <si>
    <t>дельта по 630 мм</t>
  </si>
  <si>
    <t>IinA</t>
  </si>
  <si>
    <t>IinC</t>
  </si>
  <si>
    <t>второй день испытания 3 точки</t>
  </si>
  <si>
    <t>630 мм. 800 кв.мм. Расчет</t>
  </si>
  <si>
    <t>1070 мм. 800 кв.мм. Расчет</t>
  </si>
  <si>
    <r>
      <t>y = 330,24x</t>
    </r>
    <r>
      <rPr>
        <vertAlign val="superscript"/>
        <sz val="9"/>
        <color rgb="FF595959"/>
        <rFont val="Calibri"/>
        <family val="2"/>
        <charset val="204"/>
        <scheme val="minor"/>
      </rPr>
      <t>0,5148</t>
    </r>
  </si>
  <si>
    <r>
      <t>y = 308,34x</t>
    </r>
    <r>
      <rPr>
        <vertAlign val="superscript"/>
        <sz val="9"/>
        <color rgb="FF595959"/>
        <rFont val="Calibri"/>
        <family val="2"/>
        <charset val="204"/>
        <scheme val="minor"/>
      </rPr>
      <t>0,5571</t>
    </r>
  </si>
  <si>
    <t>Разница тока от длины в Амперах и процентах</t>
  </si>
  <si>
    <t>А</t>
  </si>
  <si>
    <t>%</t>
  </si>
  <si>
    <t>Вывод: в среднем разница между длиной 630мм и 1070мм от 7 до 11, то есть 9% по току</t>
  </si>
  <si>
    <t>630 мм. 800 кв.мм. Замеры</t>
  </si>
  <si>
    <t>1070 мм. 800 кв.мм. Замеры</t>
  </si>
  <si>
    <t>КША 160х10 длина гибкой части 200 мм 1 штука БЕЗ изоляции!!!</t>
  </si>
  <si>
    <t>КША 160х10 длина гибкой части 200 мм продолжение</t>
  </si>
  <si>
    <r>
      <t>y = 331,88x</t>
    </r>
    <r>
      <rPr>
        <vertAlign val="superscript"/>
        <sz val="9"/>
        <color rgb="FF595959"/>
        <rFont val="Calibri"/>
        <family val="2"/>
        <charset val="204"/>
        <scheme val="minor"/>
      </rPr>
      <t>0,5339</t>
    </r>
  </si>
  <si>
    <r>
      <t>y = 291,34x</t>
    </r>
    <r>
      <rPr>
        <vertAlign val="superscript"/>
        <sz val="9"/>
        <color rgb="FF595959"/>
        <rFont val="Calibri"/>
        <family val="2"/>
        <charset val="204"/>
        <scheme val="minor"/>
      </rPr>
      <t>0,5621</t>
    </r>
  </si>
  <si>
    <t>замеры по 5 точкам (с подогревом и без)</t>
  </si>
  <si>
    <t>Расчет по 5 точкам</t>
  </si>
  <si>
    <t>замеры по 3 точкам без подошрева</t>
  </si>
  <si>
    <t>Расчет по 3 точкам</t>
  </si>
  <si>
    <t>стандарт ШП Алюминий</t>
  </si>
  <si>
    <t>компенсатор (стандарт 500 мм)</t>
  </si>
  <si>
    <t>Номинальный ток компенсаторов (БЕЗ ТЕРМОУСАДКИ)</t>
  </si>
  <si>
    <t>кол-во компенсаторов на фазу</t>
  </si>
  <si>
    <t>минимальная ширина одного компенсатора, мм</t>
  </si>
  <si>
    <r>
      <t>сечение одного компенсатора, мм</t>
    </r>
    <r>
      <rPr>
        <sz val="11"/>
        <color theme="1"/>
        <rFont val="Calibri"/>
        <family val="2"/>
        <charset val="204"/>
      </rPr>
      <t>²</t>
    </r>
  </si>
  <si>
    <t>толщина (зависит от ширины) одного наконечника, мм</t>
  </si>
  <si>
    <r>
      <t>общее сечение компенсаторов, мм</t>
    </r>
    <r>
      <rPr>
        <sz val="11"/>
        <color theme="1"/>
        <rFont val="Calibri"/>
        <family val="2"/>
        <charset val="204"/>
      </rPr>
      <t>²</t>
    </r>
  </si>
  <si>
    <t>∆70</t>
  </si>
  <si>
    <t>Сборка компенсаторов</t>
  </si>
  <si>
    <t>косичек на один компенсатор</t>
  </si>
  <si>
    <t>всего косичек на фазу</t>
  </si>
  <si>
    <t>30*1,5</t>
  </si>
  <si>
    <t>42*1,5</t>
  </si>
  <si>
    <t>70*3</t>
  </si>
  <si>
    <t>размер стренги, жилы и диаметр</t>
  </si>
  <si>
    <r>
      <t>сечение стренги, мм</t>
    </r>
    <r>
      <rPr>
        <sz val="11"/>
        <color theme="1"/>
        <rFont val="Calibri"/>
        <family val="2"/>
        <charset val="204"/>
      </rPr>
      <t>²</t>
    </r>
  </si>
  <si>
    <r>
      <t>сечение косички, мм</t>
    </r>
    <r>
      <rPr>
        <sz val="11"/>
        <color theme="1"/>
        <rFont val="Calibri"/>
        <family val="2"/>
        <charset val="204"/>
      </rPr>
      <t>²</t>
    </r>
  </si>
  <si>
    <t>ширина компенсатора, мм</t>
  </si>
  <si>
    <r>
      <t>сечение компенсатора, мм</t>
    </r>
    <r>
      <rPr>
        <sz val="11"/>
        <color theme="1"/>
        <rFont val="Calibri"/>
        <family val="2"/>
        <charset val="204"/>
      </rPr>
      <t>²</t>
    </r>
  </si>
  <si>
    <t>всего заготовок нужно нарубить на 1 шт.</t>
  </si>
  <si>
    <t>2 штуки длиной 630 мм</t>
  </si>
  <si>
    <r>
      <t>y = 392,3x</t>
    </r>
    <r>
      <rPr>
        <vertAlign val="superscript"/>
        <sz val="9"/>
        <color rgb="FF595959"/>
        <rFont val="Calibri"/>
        <family val="2"/>
        <charset val="204"/>
        <scheme val="minor"/>
      </rPr>
      <t>0,5519</t>
    </r>
  </si>
  <si>
    <t>плетеный компенсатор (стандарт 500 мм) окр. cр. +40</t>
  </si>
  <si>
    <t>Размер трубки и листа зависит от ширины наконечника (уточнять)</t>
  </si>
  <si>
    <t xml:space="preserve"> минимальная толщина гибкой части, мм</t>
  </si>
  <si>
    <t>При использовании термоусадки обязательно использовать шину 10 мм.</t>
  </si>
  <si>
    <t>КША, окр. ср. +40</t>
  </si>
  <si>
    <t>ШМГИ, окр. ср. +40</t>
  </si>
  <si>
    <t>минимальная ширина одного компенсатора B, мм</t>
  </si>
  <si>
    <t>Номинальный ток компенсаторов (С УЧЕТОМ ТЕРМОУСАДКИ)</t>
  </si>
  <si>
    <t>количество пластин по 1 мм, шт</t>
  </si>
  <si>
    <t>Данные по ШМГИ ТРЕБУЮТ ОБЯЗАТЕЛЬНОЙ ПРОВЕРКИ ИСПЫТАНИЯМИ</t>
  </si>
  <si>
    <t>96*3</t>
  </si>
  <si>
    <t>134*3</t>
  </si>
  <si>
    <t>83*3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</si>
</sst>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17" x14ac:knownFonts="1">
    <font>
      <sz val="11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36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rgb="FF595959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name val="Calibri"/>
      <family val="2"/>
      <charset val="204"/>
    </font>
    <font>
      <vertAlign val="superscript"/>
      <sz val="9"/>
      <color rgb="FF595959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FF0000"/>
      <name val="Calibri"/>
      <family val="2"/>
      <charset val="204"/>
    </font>
    <font>
      <sz val="11"/>
      <color rgb="FF000000"/>
      <name val="Calibri"/>
      <family val="2"/>
      <charset val="204"/>
      <scheme val="minor"/>
    </font>
    <font>
      <sz val="22"/>
      <color theme="1"/>
      <name val="Calibri"/>
      <family val="2"/>
      <charset val="204"/>
      <scheme val="minor"/>
    </font>
    <font>
      <sz val="22"/>
      <color rgb="FFFF0000"/>
      <name val="Calibri"/>
      <family val="2"/>
      <charset val="204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5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5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</cellStyleXfs>
  <cellXfs count="187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9" borderId="0" xfId="0" applyFill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" fontId="0" fillId="0" borderId="0" xfId="0" applyNumberFormat="1"/>
    <xf numFmtId="0" fontId="0" fillId="1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1" borderId="0" xfId="0" applyFill="1"/>
    <xf numFmtId="0" fontId="2" fillId="0" borderId="0" xfId="0" applyFont="1"/>
    <xf numFmtId="0" fontId="0" fillId="0" borderId="0" xfId="0" applyFill="1"/>
    <xf numFmtId="0" fontId="8" fillId="0" borderId="0" xfId="0" applyFont="1" applyAlignment="1">
      <alignment vertical="center" readingOrder="1"/>
    </xf>
    <xf numFmtId="0" fontId="9" fillId="0" borderId="0" xfId="1" applyFont="1" applyFill="1" applyBorder="1" applyAlignment="1"/>
    <xf numFmtId="0" fontId="9" fillId="0" borderId="0" xfId="0" applyFont="1" applyFill="1" applyBorder="1"/>
    <xf numFmtId="0" fontId="9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Fill="1" applyBorder="1" applyAlignment="1">
      <alignment horizontal="center" vertical="center"/>
    </xf>
    <xf numFmtId="0" fontId="7" fillId="0" borderId="0" xfId="3" applyFill="1"/>
    <xf numFmtId="0" fontId="0" fillId="15" borderId="0" xfId="0" applyFill="1"/>
    <xf numFmtId="0" fontId="9" fillId="15" borderId="0" xfId="0" applyFont="1" applyFill="1" applyBorder="1" applyAlignment="1">
      <alignment horizontal="center"/>
    </xf>
    <xf numFmtId="2" fontId="0" fillId="0" borderId="0" xfId="0" applyNumberFormat="1"/>
    <xf numFmtId="0" fontId="10" fillId="3" borderId="0" xfId="0" applyFont="1" applyFill="1" applyBorder="1" applyAlignment="1">
      <alignment horizontal="center"/>
    </xf>
    <xf numFmtId="1" fontId="9" fillId="11" borderId="0" xfId="0" applyNumberFormat="1" applyFont="1" applyFill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wrapText="1"/>
    </xf>
    <xf numFmtId="0" fontId="9" fillId="11" borderId="0" xfId="0" applyFont="1" applyFill="1"/>
    <xf numFmtId="1" fontId="9" fillId="11" borderId="0" xfId="0" applyNumberFormat="1" applyFont="1" applyFill="1"/>
    <xf numFmtId="0" fontId="9" fillId="4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5" fillId="0" borderId="0" xfId="1" applyFill="1"/>
    <xf numFmtId="0" fontId="6" fillId="0" borderId="0" xfId="2" applyFill="1"/>
    <xf numFmtId="164" fontId="0" fillId="0" borderId="0" xfId="0" applyNumberFormat="1"/>
    <xf numFmtId="164" fontId="0" fillId="11" borderId="0" xfId="0" applyNumberFormat="1" applyFill="1"/>
    <xf numFmtId="1" fontId="9" fillId="4" borderId="0" xfId="0" applyNumberFormat="1" applyFont="1" applyFill="1" applyBorder="1" applyAlignment="1">
      <alignment horizontal="center"/>
    </xf>
    <xf numFmtId="165" fontId="0" fillId="0" borderId="0" xfId="0" applyNumberFormat="1" applyFill="1" applyBorder="1" applyAlignment="1">
      <alignment horizontal="center" vertical="center"/>
    </xf>
    <xf numFmtId="0" fontId="8" fillId="0" borderId="0" xfId="0" applyFont="1" applyAlignment="1">
      <alignment horizontal="center" vertical="center" readingOrder="1"/>
    </xf>
    <xf numFmtId="0" fontId="0" fillId="0" borderId="0" xfId="0" applyNumberFormat="1"/>
    <xf numFmtId="0" fontId="0" fillId="11" borderId="0" xfId="0" applyNumberFormat="1" applyFill="1"/>
    <xf numFmtId="0" fontId="0" fillId="17" borderId="0" xfId="0" applyFill="1" applyAlignment="1">
      <alignment wrapText="1"/>
    </xf>
    <xf numFmtId="0" fontId="0" fillId="17" borderId="0" xfId="0" applyFill="1"/>
    <xf numFmtId="0" fontId="0" fillId="4" borderId="0" xfId="0" applyFill="1"/>
    <xf numFmtId="0" fontId="0" fillId="4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readingOrder="1"/>
    </xf>
    <xf numFmtId="0" fontId="2" fillId="17" borderId="0" xfId="0" applyFont="1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1" fontId="0" fillId="4" borderId="0" xfId="0" applyNumberFormat="1" applyFill="1"/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11" borderId="18" xfId="0" applyFill="1" applyBorder="1" applyAlignment="1">
      <alignment horizontal="center" vertical="center" wrapText="1"/>
    </xf>
    <xf numFmtId="0" fontId="13" fillId="0" borderId="1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0" fillId="15" borderId="16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0" fontId="0" fillId="15" borderId="0" xfId="0" applyFill="1" applyBorder="1" applyAlignment="1">
      <alignment horizontal="center" vertical="center"/>
    </xf>
    <xf numFmtId="1" fontId="0" fillId="15" borderId="18" xfId="0" applyNumberFormat="1" applyFill="1" applyBorder="1" applyAlignment="1">
      <alignment horizontal="center" vertical="center"/>
    </xf>
    <xf numFmtId="0" fontId="12" fillId="15" borderId="19" xfId="0" applyNumberFormat="1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2" fillId="0" borderId="23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3" fillId="0" borderId="0" xfId="0" applyFont="1" applyFill="1" applyBorder="1" applyAlignment="1">
      <alignment vertical="center"/>
    </xf>
    <xf numFmtId="0" fontId="0" fillId="0" borderId="0" xfId="0" applyFill="1" applyBorder="1" applyAlignment="1"/>
    <xf numFmtId="0" fontId="0" fillId="0" borderId="0" xfId="0" applyFill="1" applyBorder="1" applyAlignment="1">
      <alignment vertical="center" wrapText="1"/>
    </xf>
    <xf numFmtId="0" fontId="0" fillId="10" borderId="7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0" xfId="0" applyFill="1" applyBorder="1"/>
    <xf numFmtId="0" fontId="5" fillId="0" borderId="0" xfId="1" applyFill="1" applyBorder="1"/>
    <xf numFmtId="0" fontId="7" fillId="0" borderId="0" xfId="3" applyFill="1" applyBorder="1"/>
    <xf numFmtId="0" fontId="6" fillId="0" borderId="0" xfId="2" applyFill="1" applyBorder="1"/>
    <xf numFmtId="0" fontId="0" fillId="17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2" fontId="0" fillId="0" borderId="0" xfId="0" applyNumberFormat="1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8" fillId="0" borderId="0" xfId="0" applyFont="1" applyAlignment="1">
      <alignment horizontal="center" vertical="center" readingOrder="1"/>
    </xf>
    <xf numFmtId="0" fontId="2" fillId="11" borderId="0" xfId="0" applyFont="1" applyFill="1" applyAlignment="1">
      <alignment horizontal="center" vertical="center"/>
    </xf>
    <xf numFmtId="0" fontId="0" fillId="15" borderId="18" xfId="0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" fontId="0" fillId="11" borderId="0" xfId="0" applyNumberFormat="1" applyFill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0" borderId="0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1" fontId="0" fillId="0" borderId="18" xfId="0" applyNumberFormat="1" applyFill="1" applyBorder="1" applyAlignment="1">
      <alignment horizontal="center" vertical="center"/>
    </xf>
    <xf numFmtId="0" fontId="0" fillId="0" borderId="18" xfId="0" applyNumberFormat="1" applyFill="1" applyBorder="1" applyAlignment="1">
      <alignment horizontal="center" vertical="center"/>
    </xf>
    <xf numFmtId="0" fontId="0" fillId="11" borderId="18" xfId="0" applyNumberForma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 wrapText="1"/>
    </xf>
    <xf numFmtId="0" fontId="2" fillId="0" borderId="37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 wrapText="1"/>
    </xf>
    <xf numFmtId="0" fontId="14" fillId="20" borderId="30" xfId="0" applyFont="1" applyFill="1" applyBorder="1" applyAlignment="1">
      <alignment horizontal="center" vertical="center" wrapText="1"/>
    </xf>
    <xf numFmtId="0" fontId="14" fillId="20" borderId="31" xfId="0" applyFont="1" applyFill="1" applyBorder="1" applyAlignment="1">
      <alignment horizontal="center" vertical="center" wrapText="1"/>
    </xf>
    <xf numFmtId="0" fontId="16" fillId="21" borderId="0" xfId="0" applyFont="1" applyFill="1" applyBorder="1" applyAlignment="1">
      <alignment horizontal="center" vertical="center"/>
    </xf>
    <xf numFmtId="0" fontId="15" fillId="18" borderId="33" xfId="0" applyFont="1" applyFill="1" applyBorder="1" applyAlignment="1">
      <alignment horizontal="center" vertical="center"/>
    </xf>
    <xf numFmtId="0" fontId="15" fillId="18" borderId="32" xfId="0" applyFont="1" applyFill="1" applyBorder="1" applyAlignment="1">
      <alignment horizontal="center" vertical="center"/>
    </xf>
    <xf numFmtId="0" fontId="15" fillId="18" borderId="31" xfId="0" applyFont="1" applyFill="1" applyBorder="1" applyAlignment="1">
      <alignment horizontal="center" vertical="center"/>
    </xf>
    <xf numFmtId="0" fontId="14" fillId="20" borderId="35" xfId="0" applyFont="1" applyFill="1" applyBorder="1" applyAlignment="1">
      <alignment horizontal="center" vertical="center" wrapText="1"/>
    </xf>
    <xf numFmtId="0" fontId="14" fillId="20" borderId="36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 wrapText="1"/>
    </xf>
    <xf numFmtId="0" fontId="0" fillId="8" borderId="11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19" borderId="10" xfId="0" applyFill="1" applyBorder="1" applyAlignment="1">
      <alignment horizontal="center" wrapText="1"/>
    </xf>
    <xf numFmtId="0" fontId="0" fillId="19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29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11" borderId="1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16" borderId="0" xfId="0" applyFill="1" applyAlignment="1">
      <alignment horizont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15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8" fillId="0" borderId="0" xfId="0" applyFont="1" applyAlignment="1">
      <alignment horizontal="center" vertical="center" readingOrder="1"/>
    </xf>
    <xf numFmtId="0" fontId="0" fillId="17" borderId="0" xfId="0" applyFill="1" applyAlignment="1">
      <alignment horizontal="center"/>
    </xf>
    <xf numFmtId="0" fontId="0" fillId="18" borderId="3" xfId="0" applyFill="1" applyBorder="1" applyAlignment="1">
      <alignment horizontal="center" wrapText="1"/>
    </xf>
    <xf numFmtId="0" fontId="0" fillId="18" borderId="0" xfId="0" applyFill="1" applyBorder="1" applyAlignment="1">
      <alignment horizontal="center" wrapText="1"/>
    </xf>
    <xf numFmtId="0" fontId="0" fillId="4" borderId="0" xfId="0" applyFill="1" applyAlignment="1">
      <alignment horizontal="center"/>
    </xf>
    <xf numFmtId="0" fontId="0" fillId="17" borderId="0" xfId="0" applyFill="1" applyAlignment="1">
      <alignment horizontal="center" wrapText="1"/>
    </xf>
  </cellXfs>
  <cellStyles count="4">
    <cellStyle name="Нейтральный" xfId="3" builtinId="28"/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'косичка 450 кв.мм. H=100 мм.'!$B$2</c:f>
              <c:strCache>
                <c:ptCount val="1"/>
                <c:pt idx="0">
                  <c:v>Icp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'косичка 450 кв.мм. H=100 мм.'!$A$3:$A$77</c:f>
              <c:numCache>
                <c:formatCode>General</c:formatCode>
                <c:ptCount val="7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</c:numCache>
            </c:numRef>
          </c:xVal>
          <c:yVal>
            <c:numRef>
              <c:f>'косичка 450 кв.мм. H=100 мм.'!$B$3:$B$77</c:f>
              <c:numCache>
                <c:formatCode>General</c:formatCode>
                <c:ptCount val="75"/>
                <c:pt idx="1">
                  <c:v>1012</c:v>
                </c:pt>
                <c:pt idx="2">
                  <c:v>1010</c:v>
                </c:pt>
                <c:pt idx="3">
                  <c:v>1011</c:v>
                </c:pt>
                <c:pt idx="4">
                  <c:v>1012</c:v>
                </c:pt>
                <c:pt idx="5">
                  <c:v>1012</c:v>
                </c:pt>
                <c:pt idx="6">
                  <c:v>1014</c:v>
                </c:pt>
                <c:pt idx="7">
                  <c:v>1013</c:v>
                </c:pt>
                <c:pt idx="8">
                  <c:v>1015</c:v>
                </c:pt>
                <c:pt idx="9">
                  <c:v>1012</c:v>
                </c:pt>
                <c:pt idx="10">
                  <c:v>1013</c:v>
                </c:pt>
                <c:pt idx="11">
                  <c:v>1012</c:v>
                </c:pt>
                <c:pt idx="12">
                  <c:v>1010</c:v>
                </c:pt>
                <c:pt idx="13">
                  <c:v>1014</c:v>
                </c:pt>
                <c:pt idx="14">
                  <c:v>1012</c:v>
                </c:pt>
                <c:pt idx="15">
                  <c:v>985</c:v>
                </c:pt>
                <c:pt idx="16">
                  <c:v>1015</c:v>
                </c:pt>
                <c:pt idx="17">
                  <c:v>1019</c:v>
                </c:pt>
                <c:pt idx="18">
                  <c:v>1021</c:v>
                </c:pt>
                <c:pt idx="19">
                  <c:v>1019</c:v>
                </c:pt>
                <c:pt idx="20">
                  <c:v>1017</c:v>
                </c:pt>
                <c:pt idx="21">
                  <c:v>1018</c:v>
                </c:pt>
                <c:pt idx="22">
                  <c:v>1017</c:v>
                </c:pt>
                <c:pt idx="23">
                  <c:v>1014</c:v>
                </c:pt>
                <c:pt idx="24">
                  <c:v>1014</c:v>
                </c:pt>
                <c:pt idx="25">
                  <c:v>1014</c:v>
                </c:pt>
                <c:pt idx="26">
                  <c:v>1012</c:v>
                </c:pt>
                <c:pt idx="27">
                  <c:v>1013</c:v>
                </c:pt>
                <c:pt idx="28">
                  <c:v>1263</c:v>
                </c:pt>
                <c:pt idx="29">
                  <c:v>1263</c:v>
                </c:pt>
                <c:pt idx="30">
                  <c:v>1259</c:v>
                </c:pt>
                <c:pt idx="31">
                  <c:v>1258</c:v>
                </c:pt>
                <c:pt idx="32">
                  <c:v>1253</c:v>
                </c:pt>
                <c:pt idx="33">
                  <c:v>1251</c:v>
                </c:pt>
                <c:pt idx="34">
                  <c:v>1253</c:v>
                </c:pt>
                <c:pt idx="35">
                  <c:v>1252</c:v>
                </c:pt>
                <c:pt idx="36">
                  <c:v>1260</c:v>
                </c:pt>
                <c:pt idx="37">
                  <c:v>1267</c:v>
                </c:pt>
                <c:pt idx="38">
                  <c:v>1261</c:v>
                </c:pt>
                <c:pt idx="39">
                  <c:v>1258</c:v>
                </c:pt>
                <c:pt idx="40">
                  <c:v>1258</c:v>
                </c:pt>
                <c:pt idx="41">
                  <c:v>1259</c:v>
                </c:pt>
                <c:pt idx="42">
                  <c:v>1261</c:v>
                </c:pt>
                <c:pt idx="43">
                  <c:v>1265</c:v>
                </c:pt>
                <c:pt idx="44">
                  <c:v>1266</c:v>
                </c:pt>
                <c:pt idx="45">
                  <c:v>1264</c:v>
                </c:pt>
                <c:pt idx="46">
                  <c:v>1264</c:v>
                </c:pt>
                <c:pt idx="47">
                  <c:v>1631</c:v>
                </c:pt>
                <c:pt idx="48">
                  <c:v>1630</c:v>
                </c:pt>
                <c:pt idx="49">
                  <c:v>1631</c:v>
                </c:pt>
                <c:pt idx="50">
                  <c:v>1627</c:v>
                </c:pt>
                <c:pt idx="51">
                  <c:v>1624</c:v>
                </c:pt>
                <c:pt idx="52">
                  <c:v>1631</c:v>
                </c:pt>
                <c:pt idx="53">
                  <c:v>1620</c:v>
                </c:pt>
                <c:pt idx="54">
                  <c:v>1625</c:v>
                </c:pt>
                <c:pt idx="55">
                  <c:v>1628</c:v>
                </c:pt>
                <c:pt idx="56">
                  <c:v>1624</c:v>
                </c:pt>
                <c:pt idx="57">
                  <c:v>1629</c:v>
                </c:pt>
                <c:pt idx="58">
                  <c:v>1623</c:v>
                </c:pt>
                <c:pt idx="59">
                  <c:v>1620</c:v>
                </c:pt>
                <c:pt idx="60">
                  <c:v>1612</c:v>
                </c:pt>
                <c:pt idx="61">
                  <c:v>1613</c:v>
                </c:pt>
                <c:pt idx="62">
                  <c:v>1618</c:v>
                </c:pt>
                <c:pt idx="63">
                  <c:v>1628</c:v>
                </c:pt>
                <c:pt idx="64">
                  <c:v>1622</c:v>
                </c:pt>
                <c:pt idx="65">
                  <c:v>1618</c:v>
                </c:pt>
                <c:pt idx="66">
                  <c:v>1619</c:v>
                </c:pt>
                <c:pt idx="67">
                  <c:v>1620</c:v>
                </c:pt>
                <c:pt idx="68">
                  <c:v>1617</c:v>
                </c:pt>
                <c:pt idx="69">
                  <c:v>1622</c:v>
                </c:pt>
                <c:pt idx="70">
                  <c:v>1623</c:v>
                </c:pt>
                <c:pt idx="71">
                  <c:v>1625</c:v>
                </c:pt>
                <c:pt idx="72">
                  <c:v>1623</c:v>
                </c:pt>
                <c:pt idx="73">
                  <c:v>1623</c:v>
                </c:pt>
                <c:pt idx="74">
                  <c:v>1621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6E-4216-84FB-1EF5889ED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262808"/>
        <c:axId val="342258872"/>
      </c:scatterChart>
      <c:valAx>
        <c:axId val="342262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2258872"/>
        <c:crosses val="autoZero"/>
        <c:crossBetween val="midCat"/>
      </c:valAx>
      <c:valAx>
        <c:axId val="342258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2262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'косичка 450 кв.мм. H=100 мм.'!$C$2</c:f>
              <c:strCache>
                <c:ptCount val="1"/>
                <c:pt idx="0">
                  <c:v>Датчик 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'косичка 450 кв.мм. H=100 мм.'!$A$3:$A$77</c:f>
              <c:numCache>
                <c:formatCode>General</c:formatCode>
                <c:ptCount val="7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</c:numCache>
            </c:numRef>
          </c:xVal>
          <c:yVal>
            <c:numRef>
              <c:f>'косичка 450 кв.мм. H=100 мм.'!$C$3:$C$77</c:f>
              <c:numCache>
                <c:formatCode>General</c:formatCode>
                <c:ptCount val="75"/>
                <c:pt idx="0">
                  <c:v>25.5</c:v>
                </c:pt>
                <c:pt idx="1">
                  <c:v>26</c:v>
                </c:pt>
                <c:pt idx="2">
                  <c:v>26.1</c:v>
                </c:pt>
                <c:pt idx="3">
                  <c:v>26.3</c:v>
                </c:pt>
                <c:pt idx="4">
                  <c:v>26.5</c:v>
                </c:pt>
                <c:pt idx="5">
                  <c:v>26.7</c:v>
                </c:pt>
                <c:pt idx="6">
                  <c:v>26.8</c:v>
                </c:pt>
                <c:pt idx="7">
                  <c:v>26.9</c:v>
                </c:pt>
                <c:pt idx="8">
                  <c:v>26.9</c:v>
                </c:pt>
                <c:pt idx="9">
                  <c:v>27</c:v>
                </c:pt>
                <c:pt idx="10">
                  <c:v>27.1</c:v>
                </c:pt>
                <c:pt idx="11">
                  <c:v>27.2</c:v>
                </c:pt>
                <c:pt idx="12">
                  <c:v>27.2</c:v>
                </c:pt>
                <c:pt idx="13">
                  <c:v>27.4</c:v>
                </c:pt>
                <c:pt idx="14">
                  <c:v>27.3</c:v>
                </c:pt>
                <c:pt idx="15">
                  <c:v>27.2</c:v>
                </c:pt>
                <c:pt idx="16">
                  <c:v>27.4</c:v>
                </c:pt>
                <c:pt idx="17">
                  <c:v>27.1</c:v>
                </c:pt>
                <c:pt idx="18">
                  <c:v>26.9</c:v>
                </c:pt>
                <c:pt idx="19">
                  <c:v>26.8</c:v>
                </c:pt>
                <c:pt idx="20">
                  <c:v>26.9</c:v>
                </c:pt>
                <c:pt idx="21">
                  <c:v>26.8</c:v>
                </c:pt>
                <c:pt idx="22">
                  <c:v>26.9</c:v>
                </c:pt>
                <c:pt idx="23">
                  <c:v>26.9</c:v>
                </c:pt>
                <c:pt idx="24">
                  <c:v>26.9</c:v>
                </c:pt>
                <c:pt idx="25">
                  <c:v>26.8</c:v>
                </c:pt>
                <c:pt idx="26">
                  <c:v>26.8</c:v>
                </c:pt>
                <c:pt idx="27">
                  <c:v>26.9</c:v>
                </c:pt>
                <c:pt idx="28">
                  <c:v>27.2</c:v>
                </c:pt>
                <c:pt idx="29">
                  <c:v>27.3</c:v>
                </c:pt>
                <c:pt idx="30">
                  <c:v>27.3</c:v>
                </c:pt>
                <c:pt idx="31">
                  <c:v>27.3</c:v>
                </c:pt>
                <c:pt idx="32">
                  <c:v>27.4</c:v>
                </c:pt>
                <c:pt idx="33">
                  <c:v>27.3</c:v>
                </c:pt>
                <c:pt idx="34">
                  <c:v>27.2</c:v>
                </c:pt>
                <c:pt idx="35">
                  <c:v>27.2</c:v>
                </c:pt>
                <c:pt idx="36">
                  <c:v>27.5</c:v>
                </c:pt>
                <c:pt idx="37">
                  <c:v>27.5</c:v>
                </c:pt>
                <c:pt idx="38">
                  <c:v>27.5</c:v>
                </c:pt>
                <c:pt idx="39">
                  <c:v>27.6</c:v>
                </c:pt>
                <c:pt idx="40">
                  <c:v>27.6</c:v>
                </c:pt>
                <c:pt idx="41">
                  <c:v>27.6</c:v>
                </c:pt>
                <c:pt idx="42">
                  <c:v>27.8</c:v>
                </c:pt>
                <c:pt idx="43">
                  <c:v>27.8</c:v>
                </c:pt>
                <c:pt idx="44">
                  <c:v>27.6</c:v>
                </c:pt>
                <c:pt idx="45">
                  <c:v>27.5</c:v>
                </c:pt>
                <c:pt idx="46">
                  <c:v>27.4</c:v>
                </c:pt>
                <c:pt idx="47">
                  <c:v>27.5</c:v>
                </c:pt>
                <c:pt idx="48">
                  <c:v>27.5</c:v>
                </c:pt>
                <c:pt idx="49">
                  <c:v>27.5</c:v>
                </c:pt>
                <c:pt idx="50">
                  <c:v>27.5</c:v>
                </c:pt>
                <c:pt idx="51">
                  <c:v>27.4</c:v>
                </c:pt>
                <c:pt idx="52">
                  <c:v>27.4</c:v>
                </c:pt>
                <c:pt idx="53">
                  <c:v>27.4</c:v>
                </c:pt>
                <c:pt idx="54">
                  <c:v>27.6</c:v>
                </c:pt>
                <c:pt idx="55">
                  <c:v>27.6</c:v>
                </c:pt>
                <c:pt idx="56">
                  <c:v>27.6</c:v>
                </c:pt>
                <c:pt idx="57">
                  <c:v>27.7</c:v>
                </c:pt>
                <c:pt idx="58">
                  <c:v>27.8</c:v>
                </c:pt>
                <c:pt idx="59">
                  <c:v>27.9</c:v>
                </c:pt>
                <c:pt idx="60">
                  <c:v>27.9</c:v>
                </c:pt>
                <c:pt idx="61">
                  <c:v>27.9</c:v>
                </c:pt>
                <c:pt idx="62">
                  <c:v>28</c:v>
                </c:pt>
                <c:pt idx="63">
                  <c:v>28</c:v>
                </c:pt>
                <c:pt idx="64">
                  <c:v>28.1</c:v>
                </c:pt>
                <c:pt idx="65">
                  <c:v>28.1</c:v>
                </c:pt>
                <c:pt idx="66">
                  <c:v>28.1</c:v>
                </c:pt>
                <c:pt idx="67">
                  <c:v>28.1</c:v>
                </c:pt>
                <c:pt idx="68">
                  <c:v>28.1</c:v>
                </c:pt>
                <c:pt idx="69">
                  <c:v>28.1</c:v>
                </c:pt>
                <c:pt idx="70">
                  <c:v>28</c:v>
                </c:pt>
                <c:pt idx="71">
                  <c:v>27.9</c:v>
                </c:pt>
                <c:pt idx="72">
                  <c:v>27.8</c:v>
                </c:pt>
                <c:pt idx="73">
                  <c:v>27.7</c:v>
                </c:pt>
                <c:pt idx="74">
                  <c:v>27.6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86-4FC3-98AE-A3B5C615A836}"/>
            </c:ext>
          </c:extLst>
        </c:ser>
        <c:ser>
          <c:idx val="1"/>
          <c:order val="1"/>
          <c:tx>
            <c:strRef>
              <c:f>'косичка 450 кв.мм. H=100 мм.'!$D$2</c:f>
              <c:strCache>
                <c:ptCount val="1"/>
                <c:pt idx="0">
                  <c:v>Датчик 11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'косичка 450 кв.мм. H=100 мм.'!$A$3:$A$77</c:f>
              <c:numCache>
                <c:formatCode>General</c:formatCode>
                <c:ptCount val="7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</c:numCache>
            </c:numRef>
          </c:xVal>
          <c:yVal>
            <c:numRef>
              <c:f>'косичка 450 кв.мм. H=100 мм.'!$D$3:$D$77</c:f>
              <c:numCache>
                <c:formatCode>General</c:formatCode>
                <c:ptCount val="75"/>
                <c:pt idx="0">
                  <c:v>26.5</c:v>
                </c:pt>
                <c:pt idx="1">
                  <c:v>28.8</c:v>
                </c:pt>
                <c:pt idx="2">
                  <c:v>32.9</c:v>
                </c:pt>
                <c:pt idx="3">
                  <c:v>35</c:v>
                </c:pt>
                <c:pt idx="4">
                  <c:v>36.6</c:v>
                </c:pt>
                <c:pt idx="5">
                  <c:v>37.799999999999997</c:v>
                </c:pt>
                <c:pt idx="6">
                  <c:v>38.799999999999997</c:v>
                </c:pt>
                <c:pt idx="7">
                  <c:v>39.5</c:v>
                </c:pt>
                <c:pt idx="8">
                  <c:v>40</c:v>
                </c:pt>
                <c:pt idx="9">
                  <c:v>40.299999999999997</c:v>
                </c:pt>
                <c:pt idx="10">
                  <c:v>40.799999999999997</c:v>
                </c:pt>
                <c:pt idx="11">
                  <c:v>41.3</c:v>
                </c:pt>
                <c:pt idx="12">
                  <c:v>41.6</c:v>
                </c:pt>
                <c:pt idx="13">
                  <c:v>41.8</c:v>
                </c:pt>
                <c:pt idx="14">
                  <c:v>41.9</c:v>
                </c:pt>
                <c:pt idx="15">
                  <c:v>41.8</c:v>
                </c:pt>
                <c:pt idx="16">
                  <c:v>42</c:v>
                </c:pt>
                <c:pt idx="17">
                  <c:v>42</c:v>
                </c:pt>
                <c:pt idx="18">
                  <c:v>41.9</c:v>
                </c:pt>
                <c:pt idx="19">
                  <c:v>41.9</c:v>
                </c:pt>
                <c:pt idx="20">
                  <c:v>42</c:v>
                </c:pt>
                <c:pt idx="21">
                  <c:v>42.1</c:v>
                </c:pt>
                <c:pt idx="22">
                  <c:v>42.2</c:v>
                </c:pt>
                <c:pt idx="23">
                  <c:v>42.2</c:v>
                </c:pt>
                <c:pt idx="24">
                  <c:v>42.3</c:v>
                </c:pt>
                <c:pt idx="25">
                  <c:v>42.1</c:v>
                </c:pt>
                <c:pt idx="26">
                  <c:v>42.2</c:v>
                </c:pt>
                <c:pt idx="27">
                  <c:v>42.3</c:v>
                </c:pt>
                <c:pt idx="28">
                  <c:v>44.5</c:v>
                </c:pt>
                <c:pt idx="29">
                  <c:v>46.3</c:v>
                </c:pt>
                <c:pt idx="30">
                  <c:v>47.4</c:v>
                </c:pt>
                <c:pt idx="31">
                  <c:v>48.1</c:v>
                </c:pt>
                <c:pt idx="32">
                  <c:v>48.5</c:v>
                </c:pt>
                <c:pt idx="33">
                  <c:v>48.9</c:v>
                </c:pt>
                <c:pt idx="34">
                  <c:v>49.2</c:v>
                </c:pt>
                <c:pt idx="35">
                  <c:v>49.5</c:v>
                </c:pt>
                <c:pt idx="36">
                  <c:v>49.7</c:v>
                </c:pt>
                <c:pt idx="37">
                  <c:v>50</c:v>
                </c:pt>
                <c:pt idx="38">
                  <c:v>50.4</c:v>
                </c:pt>
                <c:pt idx="39">
                  <c:v>50.3</c:v>
                </c:pt>
                <c:pt idx="40">
                  <c:v>50.4</c:v>
                </c:pt>
                <c:pt idx="41">
                  <c:v>50.2</c:v>
                </c:pt>
                <c:pt idx="42">
                  <c:v>50.5</c:v>
                </c:pt>
                <c:pt idx="43">
                  <c:v>50.8</c:v>
                </c:pt>
                <c:pt idx="44">
                  <c:v>50.9</c:v>
                </c:pt>
                <c:pt idx="45">
                  <c:v>50.9</c:v>
                </c:pt>
                <c:pt idx="46">
                  <c:v>51</c:v>
                </c:pt>
                <c:pt idx="47">
                  <c:v>51.8</c:v>
                </c:pt>
                <c:pt idx="48">
                  <c:v>56.6</c:v>
                </c:pt>
                <c:pt idx="49">
                  <c:v>58.8</c:v>
                </c:pt>
                <c:pt idx="50">
                  <c:v>60.4</c:v>
                </c:pt>
                <c:pt idx="51">
                  <c:v>61.3</c:v>
                </c:pt>
                <c:pt idx="52">
                  <c:v>62.3</c:v>
                </c:pt>
                <c:pt idx="53">
                  <c:v>62.8</c:v>
                </c:pt>
                <c:pt idx="54">
                  <c:v>63</c:v>
                </c:pt>
                <c:pt idx="55">
                  <c:v>63.4</c:v>
                </c:pt>
                <c:pt idx="56">
                  <c:v>63.8</c:v>
                </c:pt>
                <c:pt idx="57">
                  <c:v>64.2</c:v>
                </c:pt>
                <c:pt idx="58">
                  <c:v>64.599999999999994</c:v>
                </c:pt>
                <c:pt idx="59">
                  <c:v>64.8</c:v>
                </c:pt>
                <c:pt idx="60">
                  <c:v>64.900000000000006</c:v>
                </c:pt>
                <c:pt idx="61">
                  <c:v>65.099999999999994</c:v>
                </c:pt>
                <c:pt idx="62">
                  <c:v>65.099999999999994</c:v>
                </c:pt>
                <c:pt idx="63">
                  <c:v>65.5</c:v>
                </c:pt>
                <c:pt idx="64">
                  <c:v>65.7</c:v>
                </c:pt>
                <c:pt idx="65">
                  <c:v>65.900000000000006</c:v>
                </c:pt>
                <c:pt idx="66">
                  <c:v>66</c:v>
                </c:pt>
                <c:pt idx="67">
                  <c:v>66</c:v>
                </c:pt>
                <c:pt idx="68">
                  <c:v>66.099999999999994</c:v>
                </c:pt>
                <c:pt idx="69">
                  <c:v>66.3</c:v>
                </c:pt>
                <c:pt idx="70">
                  <c:v>66.3</c:v>
                </c:pt>
                <c:pt idx="71">
                  <c:v>66.2</c:v>
                </c:pt>
                <c:pt idx="72">
                  <c:v>65.900000000000006</c:v>
                </c:pt>
                <c:pt idx="73">
                  <c:v>66.2</c:v>
                </c:pt>
                <c:pt idx="74">
                  <c:v>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86-4FC3-98AE-A3B5C615A836}"/>
            </c:ext>
          </c:extLst>
        </c:ser>
        <c:ser>
          <c:idx val="2"/>
          <c:order val="2"/>
          <c:tx>
            <c:strRef>
              <c:f>'косичка 450 кв.мм. H=100 мм.'!$E$2</c:f>
              <c:strCache>
                <c:ptCount val="1"/>
                <c:pt idx="0">
                  <c:v>Датчик 12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'косичка 450 кв.мм. H=100 мм.'!$A$3:$A$77</c:f>
              <c:numCache>
                <c:formatCode>General</c:formatCode>
                <c:ptCount val="7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</c:numCache>
            </c:numRef>
          </c:xVal>
          <c:yVal>
            <c:numRef>
              <c:f>'косичка 450 кв.мм. H=100 мм.'!$E$3:$E$77</c:f>
              <c:numCache>
                <c:formatCode>General</c:formatCode>
                <c:ptCount val="75"/>
                <c:pt idx="0">
                  <c:v>27.2</c:v>
                </c:pt>
                <c:pt idx="1">
                  <c:v>29.5</c:v>
                </c:pt>
                <c:pt idx="2">
                  <c:v>33.299999999999997</c:v>
                </c:pt>
                <c:pt idx="3">
                  <c:v>35.5</c:v>
                </c:pt>
                <c:pt idx="4">
                  <c:v>37.299999999999997</c:v>
                </c:pt>
                <c:pt idx="5">
                  <c:v>38.5</c:v>
                </c:pt>
                <c:pt idx="6">
                  <c:v>39.5</c:v>
                </c:pt>
                <c:pt idx="7">
                  <c:v>40.200000000000003</c:v>
                </c:pt>
                <c:pt idx="8">
                  <c:v>40.5</c:v>
                </c:pt>
                <c:pt idx="9">
                  <c:v>41</c:v>
                </c:pt>
                <c:pt idx="10">
                  <c:v>41.5</c:v>
                </c:pt>
                <c:pt idx="11">
                  <c:v>41.8</c:v>
                </c:pt>
                <c:pt idx="12">
                  <c:v>42</c:v>
                </c:pt>
                <c:pt idx="13">
                  <c:v>42.2</c:v>
                </c:pt>
                <c:pt idx="14">
                  <c:v>42.5</c:v>
                </c:pt>
                <c:pt idx="15">
                  <c:v>42.5</c:v>
                </c:pt>
                <c:pt idx="16">
                  <c:v>42.5</c:v>
                </c:pt>
                <c:pt idx="17">
                  <c:v>42.7</c:v>
                </c:pt>
                <c:pt idx="18">
                  <c:v>42.6</c:v>
                </c:pt>
                <c:pt idx="19">
                  <c:v>42.8</c:v>
                </c:pt>
                <c:pt idx="20">
                  <c:v>42.7</c:v>
                </c:pt>
                <c:pt idx="21">
                  <c:v>42.8</c:v>
                </c:pt>
                <c:pt idx="22">
                  <c:v>42.8</c:v>
                </c:pt>
                <c:pt idx="23">
                  <c:v>43</c:v>
                </c:pt>
                <c:pt idx="24">
                  <c:v>43</c:v>
                </c:pt>
                <c:pt idx="25">
                  <c:v>42.9</c:v>
                </c:pt>
                <c:pt idx="26">
                  <c:v>43</c:v>
                </c:pt>
                <c:pt idx="27">
                  <c:v>43</c:v>
                </c:pt>
                <c:pt idx="28">
                  <c:v>44.9</c:v>
                </c:pt>
                <c:pt idx="29">
                  <c:v>46.8</c:v>
                </c:pt>
                <c:pt idx="30">
                  <c:v>47.9</c:v>
                </c:pt>
                <c:pt idx="31">
                  <c:v>48.8</c:v>
                </c:pt>
                <c:pt idx="32">
                  <c:v>49.3</c:v>
                </c:pt>
                <c:pt idx="33">
                  <c:v>49.8</c:v>
                </c:pt>
                <c:pt idx="34">
                  <c:v>50.2</c:v>
                </c:pt>
                <c:pt idx="35">
                  <c:v>50.5</c:v>
                </c:pt>
                <c:pt idx="36">
                  <c:v>50.6</c:v>
                </c:pt>
                <c:pt idx="37">
                  <c:v>50.9</c:v>
                </c:pt>
                <c:pt idx="38">
                  <c:v>51.5</c:v>
                </c:pt>
                <c:pt idx="39">
                  <c:v>51.8</c:v>
                </c:pt>
                <c:pt idx="40">
                  <c:v>51.6</c:v>
                </c:pt>
                <c:pt idx="41">
                  <c:v>51.6</c:v>
                </c:pt>
                <c:pt idx="42">
                  <c:v>51.7</c:v>
                </c:pt>
                <c:pt idx="43">
                  <c:v>51.9</c:v>
                </c:pt>
                <c:pt idx="44">
                  <c:v>52</c:v>
                </c:pt>
                <c:pt idx="45">
                  <c:v>52.1</c:v>
                </c:pt>
                <c:pt idx="46">
                  <c:v>52.3</c:v>
                </c:pt>
                <c:pt idx="47">
                  <c:v>53.1</c:v>
                </c:pt>
                <c:pt idx="48">
                  <c:v>57.5</c:v>
                </c:pt>
                <c:pt idx="49">
                  <c:v>60.1</c:v>
                </c:pt>
                <c:pt idx="50">
                  <c:v>61.7</c:v>
                </c:pt>
                <c:pt idx="51">
                  <c:v>62.8</c:v>
                </c:pt>
                <c:pt idx="52">
                  <c:v>63.6</c:v>
                </c:pt>
                <c:pt idx="53">
                  <c:v>64.099999999999994</c:v>
                </c:pt>
                <c:pt idx="54">
                  <c:v>64.7</c:v>
                </c:pt>
                <c:pt idx="55">
                  <c:v>65.099999999999994</c:v>
                </c:pt>
                <c:pt idx="56">
                  <c:v>65.599999999999994</c:v>
                </c:pt>
                <c:pt idx="57">
                  <c:v>65.8</c:v>
                </c:pt>
                <c:pt idx="58">
                  <c:v>66.2</c:v>
                </c:pt>
                <c:pt idx="59">
                  <c:v>66.400000000000006</c:v>
                </c:pt>
                <c:pt idx="60">
                  <c:v>66.7</c:v>
                </c:pt>
                <c:pt idx="61">
                  <c:v>66.7</c:v>
                </c:pt>
                <c:pt idx="62">
                  <c:v>66.900000000000006</c:v>
                </c:pt>
                <c:pt idx="63">
                  <c:v>67.2</c:v>
                </c:pt>
                <c:pt idx="64">
                  <c:v>67.5</c:v>
                </c:pt>
                <c:pt idx="65">
                  <c:v>67.7</c:v>
                </c:pt>
                <c:pt idx="66">
                  <c:v>67.599999999999994</c:v>
                </c:pt>
                <c:pt idx="67">
                  <c:v>67.900000000000006</c:v>
                </c:pt>
                <c:pt idx="68">
                  <c:v>67.7</c:v>
                </c:pt>
                <c:pt idx="69">
                  <c:v>67.900000000000006</c:v>
                </c:pt>
                <c:pt idx="70">
                  <c:v>67.900000000000006</c:v>
                </c:pt>
                <c:pt idx="71">
                  <c:v>68</c:v>
                </c:pt>
                <c:pt idx="72">
                  <c:v>67.900000000000006</c:v>
                </c:pt>
                <c:pt idx="73">
                  <c:v>67.8</c:v>
                </c:pt>
                <c:pt idx="74">
                  <c:v>67.8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686-4FC3-98AE-A3B5C615A836}"/>
            </c:ext>
          </c:extLst>
        </c:ser>
        <c:ser>
          <c:idx val="3"/>
          <c:order val="3"/>
          <c:tx>
            <c:strRef>
              <c:f>'косичка 450 кв.мм. H=100 мм.'!$F$2</c:f>
              <c:strCache>
                <c:ptCount val="1"/>
                <c:pt idx="0">
                  <c:v>Датчик 14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'косичка 450 кв.мм. H=100 мм.'!$A$3:$A$77</c:f>
              <c:numCache>
                <c:formatCode>General</c:formatCode>
                <c:ptCount val="7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</c:numCache>
            </c:numRef>
          </c:xVal>
          <c:yVal>
            <c:numRef>
              <c:f>'косичка 450 кв.мм. H=100 мм.'!$F$3:$F$77</c:f>
              <c:numCache>
                <c:formatCode>General</c:formatCode>
                <c:ptCount val="75"/>
                <c:pt idx="0">
                  <c:v>26.9</c:v>
                </c:pt>
                <c:pt idx="1">
                  <c:v>28.2</c:v>
                </c:pt>
                <c:pt idx="2">
                  <c:v>30.9</c:v>
                </c:pt>
                <c:pt idx="3">
                  <c:v>32.9</c:v>
                </c:pt>
                <c:pt idx="4">
                  <c:v>34.4</c:v>
                </c:pt>
                <c:pt idx="5">
                  <c:v>35.5</c:v>
                </c:pt>
                <c:pt idx="6">
                  <c:v>36.5</c:v>
                </c:pt>
                <c:pt idx="7">
                  <c:v>37.200000000000003</c:v>
                </c:pt>
                <c:pt idx="8">
                  <c:v>37.6</c:v>
                </c:pt>
                <c:pt idx="9">
                  <c:v>38.1</c:v>
                </c:pt>
                <c:pt idx="10">
                  <c:v>38.4</c:v>
                </c:pt>
                <c:pt idx="11">
                  <c:v>38.6</c:v>
                </c:pt>
                <c:pt idx="12">
                  <c:v>38.799999999999997</c:v>
                </c:pt>
                <c:pt idx="13">
                  <c:v>39</c:v>
                </c:pt>
                <c:pt idx="14">
                  <c:v>39.200000000000003</c:v>
                </c:pt>
                <c:pt idx="15">
                  <c:v>39.200000000000003</c:v>
                </c:pt>
                <c:pt idx="16">
                  <c:v>39.299999999999997</c:v>
                </c:pt>
                <c:pt idx="17">
                  <c:v>39.299999999999997</c:v>
                </c:pt>
                <c:pt idx="18">
                  <c:v>39.200000000000003</c:v>
                </c:pt>
                <c:pt idx="19">
                  <c:v>39.299999999999997</c:v>
                </c:pt>
                <c:pt idx="20">
                  <c:v>39.299999999999997</c:v>
                </c:pt>
                <c:pt idx="21">
                  <c:v>39.200000000000003</c:v>
                </c:pt>
                <c:pt idx="22">
                  <c:v>39.200000000000003</c:v>
                </c:pt>
                <c:pt idx="23">
                  <c:v>39.299999999999997</c:v>
                </c:pt>
                <c:pt idx="24">
                  <c:v>39.299999999999997</c:v>
                </c:pt>
                <c:pt idx="25">
                  <c:v>39.299999999999997</c:v>
                </c:pt>
                <c:pt idx="26">
                  <c:v>39.299999999999997</c:v>
                </c:pt>
                <c:pt idx="27">
                  <c:v>39.299999999999997</c:v>
                </c:pt>
                <c:pt idx="28">
                  <c:v>40.299999999999997</c:v>
                </c:pt>
                <c:pt idx="29">
                  <c:v>41.8</c:v>
                </c:pt>
                <c:pt idx="30">
                  <c:v>42.7</c:v>
                </c:pt>
                <c:pt idx="31">
                  <c:v>43.4</c:v>
                </c:pt>
                <c:pt idx="32">
                  <c:v>43.9</c:v>
                </c:pt>
                <c:pt idx="33">
                  <c:v>44.3</c:v>
                </c:pt>
                <c:pt idx="34">
                  <c:v>44.6</c:v>
                </c:pt>
                <c:pt idx="35">
                  <c:v>44.9</c:v>
                </c:pt>
                <c:pt idx="36">
                  <c:v>45.1</c:v>
                </c:pt>
                <c:pt idx="37">
                  <c:v>45.3</c:v>
                </c:pt>
                <c:pt idx="38">
                  <c:v>45.5</c:v>
                </c:pt>
                <c:pt idx="39">
                  <c:v>45.7</c:v>
                </c:pt>
                <c:pt idx="40">
                  <c:v>45.8</c:v>
                </c:pt>
                <c:pt idx="41">
                  <c:v>46</c:v>
                </c:pt>
                <c:pt idx="42">
                  <c:v>45.9</c:v>
                </c:pt>
                <c:pt idx="43">
                  <c:v>46.1</c:v>
                </c:pt>
                <c:pt idx="44">
                  <c:v>46.3</c:v>
                </c:pt>
                <c:pt idx="45">
                  <c:v>46.3</c:v>
                </c:pt>
                <c:pt idx="46">
                  <c:v>46.4</c:v>
                </c:pt>
                <c:pt idx="47">
                  <c:v>46.9</c:v>
                </c:pt>
                <c:pt idx="48">
                  <c:v>49.6</c:v>
                </c:pt>
                <c:pt idx="49">
                  <c:v>51.6</c:v>
                </c:pt>
                <c:pt idx="50">
                  <c:v>53</c:v>
                </c:pt>
                <c:pt idx="51">
                  <c:v>53.9</c:v>
                </c:pt>
                <c:pt idx="52">
                  <c:v>54.7</c:v>
                </c:pt>
                <c:pt idx="53">
                  <c:v>55.2</c:v>
                </c:pt>
                <c:pt idx="54">
                  <c:v>55.6</c:v>
                </c:pt>
                <c:pt idx="55">
                  <c:v>55.9</c:v>
                </c:pt>
                <c:pt idx="56">
                  <c:v>56.3</c:v>
                </c:pt>
                <c:pt idx="57">
                  <c:v>56.6</c:v>
                </c:pt>
                <c:pt idx="58">
                  <c:v>57</c:v>
                </c:pt>
                <c:pt idx="59">
                  <c:v>57.1</c:v>
                </c:pt>
                <c:pt idx="60">
                  <c:v>57.3</c:v>
                </c:pt>
                <c:pt idx="61">
                  <c:v>57.5</c:v>
                </c:pt>
                <c:pt idx="62">
                  <c:v>57.6</c:v>
                </c:pt>
                <c:pt idx="63">
                  <c:v>57.8</c:v>
                </c:pt>
                <c:pt idx="64">
                  <c:v>57.9</c:v>
                </c:pt>
                <c:pt idx="65">
                  <c:v>58.2</c:v>
                </c:pt>
                <c:pt idx="66">
                  <c:v>58.2</c:v>
                </c:pt>
                <c:pt idx="67">
                  <c:v>58.3</c:v>
                </c:pt>
                <c:pt idx="68">
                  <c:v>58.3</c:v>
                </c:pt>
                <c:pt idx="69">
                  <c:v>58.3</c:v>
                </c:pt>
                <c:pt idx="70">
                  <c:v>58.5</c:v>
                </c:pt>
                <c:pt idx="71">
                  <c:v>58.5</c:v>
                </c:pt>
                <c:pt idx="72">
                  <c:v>58.4</c:v>
                </c:pt>
                <c:pt idx="73">
                  <c:v>58.4</c:v>
                </c:pt>
                <c:pt idx="74">
                  <c:v>58.3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686-4FC3-98AE-A3B5C615A836}"/>
            </c:ext>
          </c:extLst>
        </c:ser>
        <c:ser>
          <c:idx val="4"/>
          <c:order val="4"/>
          <c:tx>
            <c:strRef>
              <c:f>'косичка 450 кв.мм. H=100 мм.'!$G$2</c:f>
              <c:strCache>
                <c:ptCount val="1"/>
                <c:pt idx="0">
                  <c:v>Датчик 15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'косичка 450 кв.мм. H=100 мм.'!$A$3:$A$77</c:f>
              <c:numCache>
                <c:formatCode>General</c:formatCode>
                <c:ptCount val="7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</c:numCache>
            </c:numRef>
          </c:xVal>
          <c:yVal>
            <c:numRef>
              <c:f>'косичка 450 кв.мм. H=100 мм.'!$G$3:$G$77</c:f>
              <c:numCache>
                <c:formatCode>General</c:formatCode>
                <c:ptCount val="75"/>
                <c:pt idx="0">
                  <c:v>26.7</c:v>
                </c:pt>
                <c:pt idx="1">
                  <c:v>27.9</c:v>
                </c:pt>
                <c:pt idx="2">
                  <c:v>30.8</c:v>
                </c:pt>
                <c:pt idx="3">
                  <c:v>32.799999999999997</c:v>
                </c:pt>
                <c:pt idx="4">
                  <c:v>34.5</c:v>
                </c:pt>
                <c:pt idx="5">
                  <c:v>35.6</c:v>
                </c:pt>
                <c:pt idx="6">
                  <c:v>36.700000000000003</c:v>
                </c:pt>
                <c:pt idx="7">
                  <c:v>37.5</c:v>
                </c:pt>
                <c:pt idx="8">
                  <c:v>38.200000000000003</c:v>
                </c:pt>
                <c:pt idx="9">
                  <c:v>38.799999999999997</c:v>
                </c:pt>
                <c:pt idx="10">
                  <c:v>39.299999999999997</c:v>
                </c:pt>
                <c:pt idx="11">
                  <c:v>39.799999999999997</c:v>
                </c:pt>
                <c:pt idx="12">
                  <c:v>40.299999999999997</c:v>
                </c:pt>
                <c:pt idx="13">
                  <c:v>40.6</c:v>
                </c:pt>
                <c:pt idx="14">
                  <c:v>40.799999999999997</c:v>
                </c:pt>
                <c:pt idx="15">
                  <c:v>41</c:v>
                </c:pt>
                <c:pt idx="16">
                  <c:v>41.1</c:v>
                </c:pt>
                <c:pt idx="17">
                  <c:v>41.3</c:v>
                </c:pt>
                <c:pt idx="18">
                  <c:v>41.3</c:v>
                </c:pt>
                <c:pt idx="19">
                  <c:v>41.5</c:v>
                </c:pt>
                <c:pt idx="20">
                  <c:v>41.6</c:v>
                </c:pt>
                <c:pt idx="21">
                  <c:v>41.6</c:v>
                </c:pt>
                <c:pt idx="22">
                  <c:v>41.8</c:v>
                </c:pt>
                <c:pt idx="23">
                  <c:v>41.8</c:v>
                </c:pt>
                <c:pt idx="24">
                  <c:v>42</c:v>
                </c:pt>
                <c:pt idx="25">
                  <c:v>42</c:v>
                </c:pt>
                <c:pt idx="26">
                  <c:v>42</c:v>
                </c:pt>
                <c:pt idx="27">
                  <c:v>42</c:v>
                </c:pt>
                <c:pt idx="28">
                  <c:v>43.1</c:v>
                </c:pt>
                <c:pt idx="29">
                  <c:v>44.6</c:v>
                </c:pt>
                <c:pt idx="30">
                  <c:v>45.8</c:v>
                </c:pt>
                <c:pt idx="31">
                  <c:v>46.5</c:v>
                </c:pt>
                <c:pt idx="32">
                  <c:v>47.1</c:v>
                </c:pt>
                <c:pt idx="33">
                  <c:v>47.7</c:v>
                </c:pt>
                <c:pt idx="34">
                  <c:v>48</c:v>
                </c:pt>
                <c:pt idx="35">
                  <c:v>48.4</c:v>
                </c:pt>
                <c:pt idx="36">
                  <c:v>48.6</c:v>
                </c:pt>
                <c:pt idx="37">
                  <c:v>48.9</c:v>
                </c:pt>
                <c:pt idx="38">
                  <c:v>49.2</c:v>
                </c:pt>
                <c:pt idx="39">
                  <c:v>49.3</c:v>
                </c:pt>
                <c:pt idx="40">
                  <c:v>49.5</c:v>
                </c:pt>
                <c:pt idx="41">
                  <c:v>49.7</c:v>
                </c:pt>
                <c:pt idx="42">
                  <c:v>49.7</c:v>
                </c:pt>
                <c:pt idx="43">
                  <c:v>49.8</c:v>
                </c:pt>
                <c:pt idx="44">
                  <c:v>50.1</c:v>
                </c:pt>
                <c:pt idx="45">
                  <c:v>50.2</c:v>
                </c:pt>
                <c:pt idx="46">
                  <c:v>50.2</c:v>
                </c:pt>
                <c:pt idx="47">
                  <c:v>50.6</c:v>
                </c:pt>
                <c:pt idx="48">
                  <c:v>53.5</c:v>
                </c:pt>
                <c:pt idx="49">
                  <c:v>55.7</c:v>
                </c:pt>
                <c:pt idx="50">
                  <c:v>57.3</c:v>
                </c:pt>
                <c:pt idx="51">
                  <c:v>58.4</c:v>
                </c:pt>
                <c:pt idx="52">
                  <c:v>59.4</c:v>
                </c:pt>
                <c:pt idx="53">
                  <c:v>60.1</c:v>
                </c:pt>
                <c:pt idx="54">
                  <c:v>60.6</c:v>
                </c:pt>
                <c:pt idx="55">
                  <c:v>61</c:v>
                </c:pt>
                <c:pt idx="56">
                  <c:v>61.5</c:v>
                </c:pt>
                <c:pt idx="57">
                  <c:v>61.9</c:v>
                </c:pt>
                <c:pt idx="58">
                  <c:v>62.3</c:v>
                </c:pt>
                <c:pt idx="59">
                  <c:v>62.6</c:v>
                </c:pt>
                <c:pt idx="60">
                  <c:v>62.8</c:v>
                </c:pt>
                <c:pt idx="61">
                  <c:v>63</c:v>
                </c:pt>
                <c:pt idx="62">
                  <c:v>63.1</c:v>
                </c:pt>
                <c:pt idx="63">
                  <c:v>63.4</c:v>
                </c:pt>
                <c:pt idx="64">
                  <c:v>63.6</c:v>
                </c:pt>
                <c:pt idx="65">
                  <c:v>63.8</c:v>
                </c:pt>
                <c:pt idx="66">
                  <c:v>63.9</c:v>
                </c:pt>
                <c:pt idx="67">
                  <c:v>64</c:v>
                </c:pt>
                <c:pt idx="68">
                  <c:v>64</c:v>
                </c:pt>
                <c:pt idx="69">
                  <c:v>64.2</c:v>
                </c:pt>
                <c:pt idx="70">
                  <c:v>64.2</c:v>
                </c:pt>
                <c:pt idx="71">
                  <c:v>64.2</c:v>
                </c:pt>
                <c:pt idx="72">
                  <c:v>64.099999999999994</c:v>
                </c:pt>
                <c:pt idx="73">
                  <c:v>64</c:v>
                </c:pt>
                <c:pt idx="74">
                  <c:v>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686-4FC3-98AE-A3B5C615A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248648"/>
        <c:axId val="424250616"/>
      </c:scatterChart>
      <c:valAx>
        <c:axId val="424248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4250616"/>
        <c:crosses val="autoZero"/>
        <c:crossBetween val="midCat"/>
      </c:valAx>
      <c:valAx>
        <c:axId val="424250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4248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'косичка 450 кв.мм. H=100 мм.'!$B$79</c:f>
              <c:strCache>
                <c:ptCount val="1"/>
                <c:pt idx="0">
                  <c:v>Icp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'косичка 450 кв.мм. H=100 мм.'!$A$80:$A$165</c:f>
              <c:numCache>
                <c:formatCode>General</c:formatCode>
                <c:ptCount val="8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</c:numCache>
            </c:numRef>
          </c:xVal>
          <c:yVal>
            <c:numRef>
              <c:f>'косичка 450 кв.мм. H=100 мм.'!$B$80:$B$165</c:f>
              <c:numCache>
                <c:formatCode>General</c:formatCode>
                <c:ptCount val="86"/>
                <c:pt idx="0">
                  <c:v>1</c:v>
                </c:pt>
                <c:pt idx="1">
                  <c:v>1252</c:v>
                </c:pt>
                <c:pt idx="2">
                  <c:v>1270</c:v>
                </c:pt>
                <c:pt idx="3">
                  <c:v>1270</c:v>
                </c:pt>
                <c:pt idx="4">
                  <c:v>1268</c:v>
                </c:pt>
                <c:pt idx="5">
                  <c:v>1275</c:v>
                </c:pt>
                <c:pt idx="6">
                  <c:v>1266</c:v>
                </c:pt>
                <c:pt idx="7">
                  <c:v>1267</c:v>
                </c:pt>
                <c:pt idx="8">
                  <c:v>1265</c:v>
                </c:pt>
                <c:pt idx="9">
                  <c:v>1267</c:v>
                </c:pt>
                <c:pt idx="10">
                  <c:v>1267</c:v>
                </c:pt>
                <c:pt idx="11">
                  <c:v>1268</c:v>
                </c:pt>
                <c:pt idx="12">
                  <c:v>1269</c:v>
                </c:pt>
                <c:pt idx="13">
                  <c:v>1274</c:v>
                </c:pt>
                <c:pt idx="14">
                  <c:v>1264</c:v>
                </c:pt>
                <c:pt idx="15">
                  <c:v>1269</c:v>
                </c:pt>
                <c:pt idx="16">
                  <c:v>1262</c:v>
                </c:pt>
                <c:pt idx="17">
                  <c:v>1268</c:v>
                </c:pt>
                <c:pt idx="18">
                  <c:v>1263</c:v>
                </c:pt>
                <c:pt idx="19">
                  <c:v>1262</c:v>
                </c:pt>
                <c:pt idx="20">
                  <c:v>1265</c:v>
                </c:pt>
                <c:pt idx="21">
                  <c:v>1260</c:v>
                </c:pt>
                <c:pt idx="22">
                  <c:v>1261</c:v>
                </c:pt>
                <c:pt idx="23">
                  <c:v>1259</c:v>
                </c:pt>
                <c:pt idx="24">
                  <c:v>1261</c:v>
                </c:pt>
                <c:pt idx="25">
                  <c:v>1262</c:v>
                </c:pt>
                <c:pt idx="26">
                  <c:v>1263</c:v>
                </c:pt>
                <c:pt idx="27">
                  <c:v>1267</c:v>
                </c:pt>
                <c:pt idx="28">
                  <c:v>1265</c:v>
                </c:pt>
                <c:pt idx="29">
                  <c:v>1619</c:v>
                </c:pt>
                <c:pt idx="30">
                  <c:v>1614</c:v>
                </c:pt>
                <c:pt idx="31">
                  <c:v>1612</c:v>
                </c:pt>
                <c:pt idx="32">
                  <c:v>1616</c:v>
                </c:pt>
                <c:pt idx="33">
                  <c:v>1609</c:v>
                </c:pt>
                <c:pt idx="34">
                  <c:v>1614</c:v>
                </c:pt>
                <c:pt idx="35">
                  <c:v>1605</c:v>
                </c:pt>
                <c:pt idx="36">
                  <c:v>1605</c:v>
                </c:pt>
                <c:pt idx="37">
                  <c:v>1612</c:v>
                </c:pt>
                <c:pt idx="38">
                  <c:v>1605</c:v>
                </c:pt>
                <c:pt idx="39">
                  <c:v>1602</c:v>
                </c:pt>
                <c:pt idx="40">
                  <c:v>1587</c:v>
                </c:pt>
                <c:pt idx="41">
                  <c:v>1599</c:v>
                </c:pt>
                <c:pt idx="42">
                  <c:v>1594</c:v>
                </c:pt>
                <c:pt idx="43">
                  <c:v>1598</c:v>
                </c:pt>
                <c:pt idx="44">
                  <c:v>1599</c:v>
                </c:pt>
                <c:pt idx="45">
                  <c:v>1620</c:v>
                </c:pt>
                <c:pt idx="46">
                  <c:v>1619</c:v>
                </c:pt>
                <c:pt idx="47">
                  <c:v>1620</c:v>
                </c:pt>
                <c:pt idx="48">
                  <c:v>1620</c:v>
                </c:pt>
                <c:pt idx="49">
                  <c:v>1620</c:v>
                </c:pt>
                <c:pt idx="50">
                  <c:v>1624</c:v>
                </c:pt>
                <c:pt idx="51">
                  <c:v>1627</c:v>
                </c:pt>
                <c:pt idx="52">
                  <c:v>1626</c:v>
                </c:pt>
                <c:pt idx="53">
                  <c:v>1631</c:v>
                </c:pt>
                <c:pt idx="54">
                  <c:v>1629</c:v>
                </c:pt>
                <c:pt idx="55">
                  <c:v>1626</c:v>
                </c:pt>
                <c:pt idx="56">
                  <c:v>1628</c:v>
                </c:pt>
                <c:pt idx="57">
                  <c:v>1629</c:v>
                </c:pt>
                <c:pt idx="58">
                  <c:v>1628</c:v>
                </c:pt>
                <c:pt idx="59">
                  <c:v>1625</c:v>
                </c:pt>
                <c:pt idx="60">
                  <c:v>1619</c:v>
                </c:pt>
                <c:pt idx="61">
                  <c:v>2002</c:v>
                </c:pt>
                <c:pt idx="62">
                  <c:v>1992</c:v>
                </c:pt>
                <c:pt idx="63">
                  <c:v>1999</c:v>
                </c:pt>
                <c:pt idx="64">
                  <c:v>1996</c:v>
                </c:pt>
                <c:pt idx="65">
                  <c:v>1994</c:v>
                </c:pt>
                <c:pt idx="66">
                  <c:v>1999</c:v>
                </c:pt>
                <c:pt idx="67">
                  <c:v>1991</c:v>
                </c:pt>
                <c:pt idx="68">
                  <c:v>2007</c:v>
                </c:pt>
                <c:pt idx="69">
                  <c:v>2005</c:v>
                </c:pt>
                <c:pt idx="70">
                  <c:v>2002</c:v>
                </c:pt>
                <c:pt idx="71">
                  <c:v>2005</c:v>
                </c:pt>
                <c:pt idx="72">
                  <c:v>2008</c:v>
                </c:pt>
                <c:pt idx="73">
                  <c:v>2002</c:v>
                </c:pt>
                <c:pt idx="74">
                  <c:v>2001</c:v>
                </c:pt>
                <c:pt idx="75">
                  <c:v>2001</c:v>
                </c:pt>
                <c:pt idx="76">
                  <c:v>2007</c:v>
                </c:pt>
                <c:pt idx="77">
                  <c:v>2006</c:v>
                </c:pt>
                <c:pt idx="78">
                  <c:v>2006</c:v>
                </c:pt>
                <c:pt idx="79">
                  <c:v>2006</c:v>
                </c:pt>
                <c:pt idx="80">
                  <c:v>2012</c:v>
                </c:pt>
                <c:pt idx="81">
                  <c:v>2007</c:v>
                </c:pt>
                <c:pt idx="82">
                  <c:v>2009</c:v>
                </c:pt>
                <c:pt idx="83">
                  <c:v>1997</c:v>
                </c:pt>
                <c:pt idx="84">
                  <c:v>1995</c:v>
                </c:pt>
                <c:pt idx="85">
                  <c:v>1997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A0-4C77-9368-54233512A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021016"/>
        <c:axId val="526017408"/>
      </c:scatterChart>
      <c:valAx>
        <c:axId val="526021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6017408"/>
        <c:crosses val="autoZero"/>
        <c:crossBetween val="midCat"/>
      </c:valAx>
      <c:valAx>
        <c:axId val="52601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6021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'косичка 450 кв.мм. H=100 мм.'!$C$79</c:f>
              <c:strCache>
                <c:ptCount val="1"/>
                <c:pt idx="0">
                  <c:v>Датчик 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'косичка 450 кв.мм. H=100 мм.'!$A$80:$A$165</c:f>
              <c:numCache>
                <c:formatCode>General</c:formatCode>
                <c:ptCount val="8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</c:numCache>
            </c:numRef>
          </c:xVal>
          <c:yVal>
            <c:numRef>
              <c:f>'косичка 450 кв.мм. H=100 мм.'!$C$80:$C$165</c:f>
              <c:numCache>
                <c:formatCode>General</c:formatCode>
                <c:ptCount val="86"/>
                <c:pt idx="1">
                  <c:v>27.3</c:v>
                </c:pt>
                <c:pt idx="2">
                  <c:v>27.3</c:v>
                </c:pt>
                <c:pt idx="3">
                  <c:v>27.4</c:v>
                </c:pt>
                <c:pt idx="4">
                  <c:v>27.6</c:v>
                </c:pt>
                <c:pt idx="5">
                  <c:v>27.8</c:v>
                </c:pt>
                <c:pt idx="6">
                  <c:v>28</c:v>
                </c:pt>
                <c:pt idx="7">
                  <c:v>28</c:v>
                </c:pt>
                <c:pt idx="8">
                  <c:v>27.8</c:v>
                </c:pt>
                <c:pt idx="9">
                  <c:v>27.9</c:v>
                </c:pt>
                <c:pt idx="10">
                  <c:v>28</c:v>
                </c:pt>
                <c:pt idx="11">
                  <c:v>28.1</c:v>
                </c:pt>
                <c:pt idx="12">
                  <c:v>28.2</c:v>
                </c:pt>
                <c:pt idx="13">
                  <c:v>28.3</c:v>
                </c:pt>
                <c:pt idx="14">
                  <c:v>28.4</c:v>
                </c:pt>
                <c:pt idx="15">
                  <c:v>28.6</c:v>
                </c:pt>
                <c:pt idx="16">
                  <c:v>28.7</c:v>
                </c:pt>
                <c:pt idx="17">
                  <c:v>28.7</c:v>
                </c:pt>
                <c:pt idx="18">
                  <c:v>28.8</c:v>
                </c:pt>
                <c:pt idx="19">
                  <c:v>28.8</c:v>
                </c:pt>
                <c:pt idx="20">
                  <c:v>28.8</c:v>
                </c:pt>
                <c:pt idx="21">
                  <c:v>28.8</c:v>
                </c:pt>
                <c:pt idx="22">
                  <c:v>28.8</c:v>
                </c:pt>
                <c:pt idx="23">
                  <c:v>28.4</c:v>
                </c:pt>
                <c:pt idx="24">
                  <c:v>28.7</c:v>
                </c:pt>
                <c:pt idx="25">
                  <c:v>28.6</c:v>
                </c:pt>
                <c:pt idx="26">
                  <c:v>28.4</c:v>
                </c:pt>
                <c:pt idx="27">
                  <c:v>28.6</c:v>
                </c:pt>
                <c:pt idx="28">
                  <c:v>28.4</c:v>
                </c:pt>
                <c:pt idx="29">
                  <c:v>28.7</c:v>
                </c:pt>
                <c:pt idx="30">
                  <c:v>28.6</c:v>
                </c:pt>
                <c:pt idx="31">
                  <c:v>28.3</c:v>
                </c:pt>
                <c:pt idx="32">
                  <c:v>28.6</c:v>
                </c:pt>
                <c:pt idx="33">
                  <c:v>28.8</c:v>
                </c:pt>
                <c:pt idx="34">
                  <c:v>28.8</c:v>
                </c:pt>
                <c:pt idx="35">
                  <c:v>28.8</c:v>
                </c:pt>
                <c:pt idx="36">
                  <c:v>28.6</c:v>
                </c:pt>
                <c:pt idx="37">
                  <c:v>28.4</c:v>
                </c:pt>
                <c:pt idx="38">
                  <c:v>28.5</c:v>
                </c:pt>
                <c:pt idx="39">
                  <c:v>28.5</c:v>
                </c:pt>
                <c:pt idx="40">
                  <c:v>28.4</c:v>
                </c:pt>
                <c:pt idx="41">
                  <c:v>28.2</c:v>
                </c:pt>
                <c:pt idx="42">
                  <c:v>28.3</c:v>
                </c:pt>
                <c:pt idx="43">
                  <c:v>28.2</c:v>
                </c:pt>
                <c:pt idx="44">
                  <c:v>28.1</c:v>
                </c:pt>
                <c:pt idx="45">
                  <c:v>28.2</c:v>
                </c:pt>
                <c:pt idx="46">
                  <c:v>28.2</c:v>
                </c:pt>
                <c:pt idx="47">
                  <c:v>28.2</c:v>
                </c:pt>
                <c:pt idx="48">
                  <c:v>28</c:v>
                </c:pt>
                <c:pt idx="49">
                  <c:v>27.8</c:v>
                </c:pt>
                <c:pt idx="50">
                  <c:v>27.7</c:v>
                </c:pt>
                <c:pt idx="51">
                  <c:v>27.7</c:v>
                </c:pt>
                <c:pt idx="52">
                  <c:v>27.7</c:v>
                </c:pt>
                <c:pt idx="53">
                  <c:v>27.7</c:v>
                </c:pt>
                <c:pt idx="54">
                  <c:v>27.6</c:v>
                </c:pt>
                <c:pt idx="55">
                  <c:v>27.6</c:v>
                </c:pt>
                <c:pt idx="56">
                  <c:v>27.7</c:v>
                </c:pt>
                <c:pt idx="57">
                  <c:v>27.6</c:v>
                </c:pt>
                <c:pt idx="58">
                  <c:v>27.6</c:v>
                </c:pt>
                <c:pt idx="59">
                  <c:v>27.5</c:v>
                </c:pt>
                <c:pt idx="60">
                  <c:v>27.5</c:v>
                </c:pt>
                <c:pt idx="61">
                  <c:v>27.5</c:v>
                </c:pt>
                <c:pt idx="62">
                  <c:v>27.6</c:v>
                </c:pt>
                <c:pt idx="63">
                  <c:v>27.6</c:v>
                </c:pt>
                <c:pt idx="64">
                  <c:v>27.6</c:v>
                </c:pt>
                <c:pt idx="65">
                  <c:v>27.6</c:v>
                </c:pt>
                <c:pt idx="66">
                  <c:v>27.5</c:v>
                </c:pt>
                <c:pt idx="67">
                  <c:v>27.5</c:v>
                </c:pt>
                <c:pt idx="68">
                  <c:v>27.6</c:v>
                </c:pt>
                <c:pt idx="69">
                  <c:v>27.5</c:v>
                </c:pt>
                <c:pt idx="70">
                  <c:v>27.5</c:v>
                </c:pt>
                <c:pt idx="71">
                  <c:v>27.8</c:v>
                </c:pt>
                <c:pt idx="72">
                  <c:v>27.9</c:v>
                </c:pt>
                <c:pt idx="73">
                  <c:v>27.7</c:v>
                </c:pt>
                <c:pt idx="74">
                  <c:v>27.8</c:v>
                </c:pt>
                <c:pt idx="75">
                  <c:v>27.6</c:v>
                </c:pt>
                <c:pt idx="76">
                  <c:v>27.7</c:v>
                </c:pt>
                <c:pt idx="77">
                  <c:v>27.8</c:v>
                </c:pt>
                <c:pt idx="78">
                  <c:v>27.8</c:v>
                </c:pt>
                <c:pt idx="79">
                  <c:v>27.8</c:v>
                </c:pt>
                <c:pt idx="80">
                  <c:v>27.8</c:v>
                </c:pt>
                <c:pt idx="81">
                  <c:v>27.7</c:v>
                </c:pt>
                <c:pt idx="82">
                  <c:v>27.8</c:v>
                </c:pt>
                <c:pt idx="83">
                  <c:v>27.8</c:v>
                </c:pt>
                <c:pt idx="84">
                  <c:v>27.8</c:v>
                </c:pt>
                <c:pt idx="85">
                  <c:v>27.9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EF-46A4-B199-E390052B955D}"/>
            </c:ext>
          </c:extLst>
        </c:ser>
        <c:ser>
          <c:idx val="1"/>
          <c:order val="1"/>
          <c:tx>
            <c:strRef>
              <c:f>'косичка 450 кв.мм. H=100 мм.'!$D$79</c:f>
              <c:strCache>
                <c:ptCount val="1"/>
                <c:pt idx="0">
                  <c:v>Датчик 11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'косичка 450 кв.мм. H=100 мм.'!$A$80:$A$165</c:f>
              <c:numCache>
                <c:formatCode>General</c:formatCode>
                <c:ptCount val="8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</c:numCache>
            </c:numRef>
          </c:xVal>
          <c:yVal>
            <c:numRef>
              <c:f>'косичка 450 кв.мм. H=100 мм.'!$D$80:$D$165</c:f>
              <c:numCache>
                <c:formatCode>General</c:formatCode>
                <c:ptCount val="86"/>
                <c:pt idx="1">
                  <c:v>30</c:v>
                </c:pt>
                <c:pt idx="2">
                  <c:v>31.9</c:v>
                </c:pt>
                <c:pt idx="3">
                  <c:v>33.5</c:v>
                </c:pt>
                <c:pt idx="4">
                  <c:v>35</c:v>
                </c:pt>
                <c:pt idx="5">
                  <c:v>36.5</c:v>
                </c:pt>
                <c:pt idx="6">
                  <c:v>37.700000000000003</c:v>
                </c:pt>
                <c:pt idx="7">
                  <c:v>38.799999999999997</c:v>
                </c:pt>
                <c:pt idx="8">
                  <c:v>39.6</c:v>
                </c:pt>
                <c:pt idx="9">
                  <c:v>40.1</c:v>
                </c:pt>
                <c:pt idx="10">
                  <c:v>40.799999999999997</c:v>
                </c:pt>
                <c:pt idx="11">
                  <c:v>41.5</c:v>
                </c:pt>
                <c:pt idx="12">
                  <c:v>42</c:v>
                </c:pt>
                <c:pt idx="13">
                  <c:v>42.5</c:v>
                </c:pt>
                <c:pt idx="14">
                  <c:v>42.9</c:v>
                </c:pt>
                <c:pt idx="15">
                  <c:v>43.3</c:v>
                </c:pt>
                <c:pt idx="16">
                  <c:v>43.6</c:v>
                </c:pt>
                <c:pt idx="17">
                  <c:v>43.8</c:v>
                </c:pt>
                <c:pt idx="18">
                  <c:v>44</c:v>
                </c:pt>
                <c:pt idx="19">
                  <c:v>44.1</c:v>
                </c:pt>
                <c:pt idx="20">
                  <c:v>44.3</c:v>
                </c:pt>
                <c:pt idx="21">
                  <c:v>44.3</c:v>
                </c:pt>
                <c:pt idx="22">
                  <c:v>44.5</c:v>
                </c:pt>
                <c:pt idx="23">
                  <c:v>44.4</c:v>
                </c:pt>
                <c:pt idx="24">
                  <c:v>44.4</c:v>
                </c:pt>
                <c:pt idx="25">
                  <c:v>44.4</c:v>
                </c:pt>
                <c:pt idx="26">
                  <c:v>44.4</c:v>
                </c:pt>
                <c:pt idx="27">
                  <c:v>44.4</c:v>
                </c:pt>
                <c:pt idx="28">
                  <c:v>44.5</c:v>
                </c:pt>
                <c:pt idx="29">
                  <c:v>45.7</c:v>
                </c:pt>
                <c:pt idx="30">
                  <c:v>47</c:v>
                </c:pt>
                <c:pt idx="31">
                  <c:v>47.9</c:v>
                </c:pt>
                <c:pt idx="32">
                  <c:v>48.9</c:v>
                </c:pt>
                <c:pt idx="33">
                  <c:v>49.6</c:v>
                </c:pt>
                <c:pt idx="34">
                  <c:v>50.2</c:v>
                </c:pt>
                <c:pt idx="35">
                  <c:v>50.8</c:v>
                </c:pt>
                <c:pt idx="36">
                  <c:v>51.2</c:v>
                </c:pt>
                <c:pt idx="37">
                  <c:v>51.6</c:v>
                </c:pt>
                <c:pt idx="38">
                  <c:v>51.8</c:v>
                </c:pt>
                <c:pt idx="39">
                  <c:v>52.1</c:v>
                </c:pt>
                <c:pt idx="40">
                  <c:v>52.3</c:v>
                </c:pt>
                <c:pt idx="41">
                  <c:v>52.4</c:v>
                </c:pt>
                <c:pt idx="42">
                  <c:v>52.6</c:v>
                </c:pt>
                <c:pt idx="43">
                  <c:v>52.5</c:v>
                </c:pt>
                <c:pt idx="44">
                  <c:v>52.7</c:v>
                </c:pt>
                <c:pt idx="45">
                  <c:v>52.7</c:v>
                </c:pt>
                <c:pt idx="46">
                  <c:v>52.7</c:v>
                </c:pt>
                <c:pt idx="47">
                  <c:v>52.8</c:v>
                </c:pt>
                <c:pt idx="48">
                  <c:v>53</c:v>
                </c:pt>
                <c:pt idx="49">
                  <c:v>53.1</c:v>
                </c:pt>
                <c:pt idx="50">
                  <c:v>53.1</c:v>
                </c:pt>
                <c:pt idx="51">
                  <c:v>53.1</c:v>
                </c:pt>
                <c:pt idx="52">
                  <c:v>53.2</c:v>
                </c:pt>
                <c:pt idx="53">
                  <c:v>53.2</c:v>
                </c:pt>
                <c:pt idx="54">
                  <c:v>53.3</c:v>
                </c:pt>
                <c:pt idx="55">
                  <c:v>53.3</c:v>
                </c:pt>
                <c:pt idx="56">
                  <c:v>53.4</c:v>
                </c:pt>
                <c:pt idx="57">
                  <c:v>53.4</c:v>
                </c:pt>
                <c:pt idx="58">
                  <c:v>53.4</c:v>
                </c:pt>
                <c:pt idx="59">
                  <c:v>53.4</c:v>
                </c:pt>
                <c:pt idx="60">
                  <c:v>53.4</c:v>
                </c:pt>
                <c:pt idx="61">
                  <c:v>53.8</c:v>
                </c:pt>
                <c:pt idx="62">
                  <c:v>55.8</c:v>
                </c:pt>
                <c:pt idx="63">
                  <c:v>57.4</c:v>
                </c:pt>
                <c:pt idx="64">
                  <c:v>58.7</c:v>
                </c:pt>
                <c:pt idx="65">
                  <c:v>59.9</c:v>
                </c:pt>
                <c:pt idx="66">
                  <c:v>60.7</c:v>
                </c:pt>
                <c:pt idx="67">
                  <c:v>61.6</c:v>
                </c:pt>
                <c:pt idx="68">
                  <c:v>62.2</c:v>
                </c:pt>
                <c:pt idx="69">
                  <c:v>62.8</c:v>
                </c:pt>
                <c:pt idx="70">
                  <c:v>63.2</c:v>
                </c:pt>
                <c:pt idx="71">
                  <c:v>63.6</c:v>
                </c:pt>
                <c:pt idx="72">
                  <c:v>63.9</c:v>
                </c:pt>
                <c:pt idx="73">
                  <c:v>64.099999999999994</c:v>
                </c:pt>
                <c:pt idx="74">
                  <c:v>64.2</c:v>
                </c:pt>
                <c:pt idx="75">
                  <c:v>64.599999999999994</c:v>
                </c:pt>
                <c:pt idx="76">
                  <c:v>65</c:v>
                </c:pt>
                <c:pt idx="77">
                  <c:v>65.2</c:v>
                </c:pt>
                <c:pt idx="78">
                  <c:v>65.400000000000006</c:v>
                </c:pt>
                <c:pt idx="79">
                  <c:v>65.599999999999994</c:v>
                </c:pt>
                <c:pt idx="80">
                  <c:v>65.599999999999994</c:v>
                </c:pt>
                <c:pt idx="81">
                  <c:v>65.8</c:v>
                </c:pt>
                <c:pt idx="82">
                  <c:v>65.8</c:v>
                </c:pt>
                <c:pt idx="83">
                  <c:v>65.900000000000006</c:v>
                </c:pt>
                <c:pt idx="84">
                  <c:v>65.900000000000006</c:v>
                </c:pt>
                <c:pt idx="85">
                  <c:v>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EF-46A4-B199-E390052B955D}"/>
            </c:ext>
          </c:extLst>
        </c:ser>
        <c:ser>
          <c:idx val="2"/>
          <c:order val="2"/>
          <c:tx>
            <c:strRef>
              <c:f>'косичка 450 кв.мм. H=100 мм.'!$E$79</c:f>
              <c:strCache>
                <c:ptCount val="1"/>
                <c:pt idx="0">
                  <c:v>Датчик 12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'косичка 450 кв.мм. H=100 мм.'!$A$80:$A$165</c:f>
              <c:numCache>
                <c:formatCode>General</c:formatCode>
                <c:ptCount val="8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</c:numCache>
            </c:numRef>
          </c:xVal>
          <c:yVal>
            <c:numRef>
              <c:f>'косичка 450 кв.мм. H=100 мм.'!$E$80:$E$165</c:f>
              <c:numCache>
                <c:formatCode>General</c:formatCode>
                <c:ptCount val="86"/>
                <c:pt idx="1">
                  <c:v>29.9</c:v>
                </c:pt>
                <c:pt idx="2">
                  <c:v>31.8</c:v>
                </c:pt>
                <c:pt idx="3">
                  <c:v>33.5</c:v>
                </c:pt>
                <c:pt idx="4">
                  <c:v>35.299999999999997</c:v>
                </c:pt>
                <c:pt idx="5">
                  <c:v>36.799999999999997</c:v>
                </c:pt>
                <c:pt idx="6">
                  <c:v>38.1</c:v>
                </c:pt>
                <c:pt idx="7">
                  <c:v>39.1</c:v>
                </c:pt>
                <c:pt idx="8">
                  <c:v>39.6</c:v>
                </c:pt>
                <c:pt idx="9">
                  <c:v>40.299999999999997</c:v>
                </c:pt>
                <c:pt idx="10">
                  <c:v>41.1</c:v>
                </c:pt>
                <c:pt idx="11">
                  <c:v>41.8</c:v>
                </c:pt>
                <c:pt idx="12">
                  <c:v>42.3</c:v>
                </c:pt>
                <c:pt idx="13">
                  <c:v>42.9</c:v>
                </c:pt>
                <c:pt idx="14">
                  <c:v>43.3</c:v>
                </c:pt>
                <c:pt idx="15">
                  <c:v>43.6</c:v>
                </c:pt>
                <c:pt idx="16">
                  <c:v>43.8</c:v>
                </c:pt>
                <c:pt idx="17">
                  <c:v>44</c:v>
                </c:pt>
                <c:pt idx="18">
                  <c:v>44.2</c:v>
                </c:pt>
                <c:pt idx="19">
                  <c:v>44.3</c:v>
                </c:pt>
                <c:pt idx="20">
                  <c:v>44.4</c:v>
                </c:pt>
                <c:pt idx="21">
                  <c:v>44.5</c:v>
                </c:pt>
                <c:pt idx="22">
                  <c:v>44.5</c:v>
                </c:pt>
                <c:pt idx="23">
                  <c:v>44.4</c:v>
                </c:pt>
                <c:pt idx="24">
                  <c:v>44.5</c:v>
                </c:pt>
                <c:pt idx="25">
                  <c:v>44.5</c:v>
                </c:pt>
                <c:pt idx="26">
                  <c:v>44.5</c:v>
                </c:pt>
                <c:pt idx="27">
                  <c:v>44.5</c:v>
                </c:pt>
                <c:pt idx="28">
                  <c:v>44.6</c:v>
                </c:pt>
                <c:pt idx="29">
                  <c:v>45.6</c:v>
                </c:pt>
                <c:pt idx="30">
                  <c:v>46.8</c:v>
                </c:pt>
                <c:pt idx="31">
                  <c:v>47.8</c:v>
                </c:pt>
                <c:pt idx="32">
                  <c:v>48.8</c:v>
                </c:pt>
                <c:pt idx="33">
                  <c:v>49.5</c:v>
                </c:pt>
                <c:pt idx="34">
                  <c:v>50.1</c:v>
                </c:pt>
                <c:pt idx="35">
                  <c:v>50.7</c:v>
                </c:pt>
                <c:pt idx="36">
                  <c:v>51.2</c:v>
                </c:pt>
                <c:pt idx="37">
                  <c:v>51.5</c:v>
                </c:pt>
                <c:pt idx="38">
                  <c:v>51.9</c:v>
                </c:pt>
                <c:pt idx="39">
                  <c:v>52.1</c:v>
                </c:pt>
                <c:pt idx="40">
                  <c:v>52.2</c:v>
                </c:pt>
                <c:pt idx="41">
                  <c:v>52.4</c:v>
                </c:pt>
                <c:pt idx="42">
                  <c:v>52.5</c:v>
                </c:pt>
                <c:pt idx="43">
                  <c:v>52.7</c:v>
                </c:pt>
                <c:pt idx="44">
                  <c:v>52.7</c:v>
                </c:pt>
                <c:pt idx="45">
                  <c:v>52.7</c:v>
                </c:pt>
                <c:pt idx="46">
                  <c:v>52.6</c:v>
                </c:pt>
                <c:pt idx="47">
                  <c:v>52.9</c:v>
                </c:pt>
                <c:pt idx="48">
                  <c:v>53</c:v>
                </c:pt>
                <c:pt idx="49">
                  <c:v>53</c:v>
                </c:pt>
                <c:pt idx="50">
                  <c:v>53.1</c:v>
                </c:pt>
                <c:pt idx="51">
                  <c:v>53.2</c:v>
                </c:pt>
                <c:pt idx="52">
                  <c:v>53.2</c:v>
                </c:pt>
                <c:pt idx="53">
                  <c:v>53.3</c:v>
                </c:pt>
                <c:pt idx="54">
                  <c:v>53.3</c:v>
                </c:pt>
                <c:pt idx="55">
                  <c:v>53.3</c:v>
                </c:pt>
                <c:pt idx="56">
                  <c:v>53.4</c:v>
                </c:pt>
                <c:pt idx="57">
                  <c:v>53.4</c:v>
                </c:pt>
                <c:pt idx="58">
                  <c:v>53.4</c:v>
                </c:pt>
                <c:pt idx="59">
                  <c:v>53.5</c:v>
                </c:pt>
                <c:pt idx="60">
                  <c:v>53.4</c:v>
                </c:pt>
                <c:pt idx="61">
                  <c:v>53.7</c:v>
                </c:pt>
                <c:pt idx="62">
                  <c:v>55.4</c:v>
                </c:pt>
                <c:pt idx="63">
                  <c:v>57.1</c:v>
                </c:pt>
                <c:pt idx="64">
                  <c:v>58.4</c:v>
                </c:pt>
                <c:pt idx="65">
                  <c:v>59.6</c:v>
                </c:pt>
                <c:pt idx="66">
                  <c:v>60.6</c:v>
                </c:pt>
                <c:pt idx="67">
                  <c:v>61.4</c:v>
                </c:pt>
                <c:pt idx="68">
                  <c:v>62.2</c:v>
                </c:pt>
                <c:pt idx="69">
                  <c:v>62.6</c:v>
                </c:pt>
                <c:pt idx="70">
                  <c:v>63.1</c:v>
                </c:pt>
                <c:pt idx="71">
                  <c:v>63.6</c:v>
                </c:pt>
                <c:pt idx="72">
                  <c:v>63.8</c:v>
                </c:pt>
                <c:pt idx="73">
                  <c:v>64.099999999999994</c:v>
                </c:pt>
                <c:pt idx="74">
                  <c:v>64.2</c:v>
                </c:pt>
                <c:pt idx="75">
                  <c:v>64.599999999999994</c:v>
                </c:pt>
                <c:pt idx="76">
                  <c:v>64.8</c:v>
                </c:pt>
                <c:pt idx="77">
                  <c:v>65.099999999999994</c:v>
                </c:pt>
                <c:pt idx="78">
                  <c:v>65.3</c:v>
                </c:pt>
                <c:pt idx="79">
                  <c:v>65.5</c:v>
                </c:pt>
                <c:pt idx="80">
                  <c:v>65.5</c:v>
                </c:pt>
                <c:pt idx="81">
                  <c:v>65.7</c:v>
                </c:pt>
                <c:pt idx="82">
                  <c:v>65.900000000000006</c:v>
                </c:pt>
                <c:pt idx="83">
                  <c:v>65.900000000000006</c:v>
                </c:pt>
                <c:pt idx="84">
                  <c:v>65.900000000000006</c:v>
                </c:pt>
                <c:pt idx="85">
                  <c:v>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2EF-46A4-B199-E390052B955D}"/>
            </c:ext>
          </c:extLst>
        </c:ser>
        <c:ser>
          <c:idx val="3"/>
          <c:order val="3"/>
          <c:tx>
            <c:strRef>
              <c:f>'косичка 450 кв.мм. H=100 мм.'!$F$79</c:f>
              <c:strCache>
                <c:ptCount val="1"/>
                <c:pt idx="0">
                  <c:v>Датчик 13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'косичка 450 кв.мм. H=100 мм.'!$A$80:$A$165</c:f>
              <c:numCache>
                <c:formatCode>General</c:formatCode>
                <c:ptCount val="8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</c:numCache>
            </c:numRef>
          </c:xVal>
          <c:yVal>
            <c:numRef>
              <c:f>'косичка 450 кв.мм. H=100 мм.'!$F$80:$F$165</c:f>
              <c:numCache>
                <c:formatCode>General</c:formatCode>
                <c:ptCount val="86"/>
                <c:pt idx="1">
                  <c:v>30.4</c:v>
                </c:pt>
                <c:pt idx="2">
                  <c:v>32.4</c:v>
                </c:pt>
                <c:pt idx="3">
                  <c:v>34.200000000000003</c:v>
                </c:pt>
                <c:pt idx="4">
                  <c:v>36.1</c:v>
                </c:pt>
                <c:pt idx="5">
                  <c:v>37.700000000000003</c:v>
                </c:pt>
                <c:pt idx="6">
                  <c:v>39.1</c:v>
                </c:pt>
                <c:pt idx="7">
                  <c:v>40</c:v>
                </c:pt>
                <c:pt idx="8">
                  <c:v>40.5</c:v>
                </c:pt>
                <c:pt idx="9">
                  <c:v>41.1</c:v>
                </c:pt>
                <c:pt idx="10">
                  <c:v>42.2</c:v>
                </c:pt>
                <c:pt idx="11">
                  <c:v>42.8</c:v>
                </c:pt>
                <c:pt idx="12">
                  <c:v>43.2</c:v>
                </c:pt>
                <c:pt idx="13">
                  <c:v>44</c:v>
                </c:pt>
                <c:pt idx="14">
                  <c:v>44.4</c:v>
                </c:pt>
                <c:pt idx="15">
                  <c:v>44.6</c:v>
                </c:pt>
                <c:pt idx="16">
                  <c:v>44.7</c:v>
                </c:pt>
                <c:pt idx="17">
                  <c:v>44.9</c:v>
                </c:pt>
                <c:pt idx="18">
                  <c:v>45.1</c:v>
                </c:pt>
                <c:pt idx="19">
                  <c:v>45.3</c:v>
                </c:pt>
                <c:pt idx="20">
                  <c:v>45.5</c:v>
                </c:pt>
                <c:pt idx="21">
                  <c:v>45.5</c:v>
                </c:pt>
                <c:pt idx="22">
                  <c:v>45.5</c:v>
                </c:pt>
                <c:pt idx="23">
                  <c:v>45.2</c:v>
                </c:pt>
                <c:pt idx="24">
                  <c:v>45.2</c:v>
                </c:pt>
                <c:pt idx="25">
                  <c:v>45.2</c:v>
                </c:pt>
                <c:pt idx="26">
                  <c:v>45.2</c:v>
                </c:pt>
                <c:pt idx="27">
                  <c:v>45.3</c:v>
                </c:pt>
                <c:pt idx="28">
                  <c:v>45.3</c:v>
                </c:pt>
                <c:pt idx="29">
                  <c:v>46.3</c:v>
                </c:pt>
                <c:pt idx="30">
                  <c:v>47.7</c:v>
                </c:pt>
                <c:pt idx="31">
                  <c:v>48.7</c:v>
                </c:pt>
                <c:pt idx="32">
                  <c:v>49.7</c:v>
                </c:pt>
                <c:pt idx="33">
                  <c:v>50.5</c:v>
                </c:pt>
                <c:pt idx="34">
                  <c:v>51.1</c:v>
                </c:pt>
                <c:pt idx="35">
                  <c:v>51.6</c:v>
                </c:pt>
                <c:pt idx="36">
                  <c:v>52.1</c:v>
                </c:pt>
                <c:pt idx="37">
                  <c:v>52.5</c:v>
                </c:pt>
                <c:pt idx="38">
                  <c:v>52.8</c:v>
                </c:pt>
                <c:pt idx="39">
                  <c:v>53</c:v>
                </c:pt>
                <c:pt idx="40">
                  <c:v>53.3</c:v>
                </c:pt>
                <c:pt idx="41">
                  <c:v>53.4</c:v>
                </c:pt>
                <c:pt idx="42">
                  <c:v>53.5</c:v>
                </c:pt>
                <c:pt idx="43">
                  <c:v>53.6</c:v>
                </c:pt>
                <c:pt idx="44">
                  <c:v>53.7</c:v>
                </c:pt>
                <c:pt idx="45">
                  <c:v>53.7</c:v>
                </c:pt>
                <c:pt idx="46">
                  <c:v>53.7</c:v>
                </c:pt>
                <c:pt idx="47">
                  <c:v>53.9</c:v>
                </c:pt>
                <c:pt idx="48">
                  <c:v>54</c:v>
                </c:pt>
                <c:pt idx="49">
                  <c:v>54.1</c:v>
                </c:pt>
                <c:pt idx="50">
                  <c:v>54.1</c:v>
                </c:pt>
                <c:pt idx="51">
                  <c:v>54.2</c:v>
                </c:pt>
                <c:pt idx="52">
                  <c:v>54.2</c:v>
                </c:pt>
                <c:pt idx="53">
                  <c:v>54.3</c:v>
                </c:pt>
                <c:pt idx="54">
                  <c:v>54.3</c:v>
                </c:pt>
                <c:pt idx="55">
                  <c:v>54.3</c:v>
                </c:pt>
                <c:pt idx="56">
                  <c:v>54.4</c:v>
                </c:pt>
                <c:pt idx="57">
                  <c:v>54.4</c:v>
                </c:pt>
                <c:pt idx="58">
                  <c:v>54.5</c:v>
                </c:pt>
                <c:pt idx="59">
                  <c:v>54.5</c:v>
                </c:pt>
                <c:pt idx="60">
                  <c:v>54.4</c:v>
                </c:pt>
                <c:pt idx="61">
                  <c:v>54.7</c:v>
                </c:pt>
                <c:pt idx="62">
                  <c:v>56.7</c:v>
                </c:pt>
                <c:pt idx="63">
                  <c:v>58.3</c:v>
                </c:pt>
                <c:pt idx="64">
                  <c:v>59.8</c:v>
                </c:pt>
                <c:pt idx="65">
                  <c:v>61</c:v>
                </c:pt>
                <c:pt idx="66">
                  <c:v>61.9</c:v>
                </c:pt>
                <c:pt idx="67">
                  <c:v>62.8</c:v>
                </c:pt>
                <c:pt idx="68">
                  <c:v>63.5</c:v>
                </c:pt>
                <c:pt idx="69">
                  <c:v>64</c:v>
                </c:pt>
                <c:pt idx="70">
                  <c:v>64.599999999999994</c:v>
                </c:pt>
                <c:pt idx="71">
                  <c:v>65</c:v>
                </c:pt>
                <c:pt idx="72">
                  <c:v>65.3</c:v>
                </c:pt>
                <c:pt idx="73">
                  <c:v>65.599999999999994</c:v>
                </c:pt>
                <c:pt idx="74">
                  <c:v>65.8</c:v>
                </c:pt>
                <c:pt idx="75">
                  <c:v>66.099999999999994</c:v>
                </c:pt>
                <c:pt idx="76">
                  <c:v>66.400000000000006</c:v>
                </c:pt>
                <c:pt idx="77">
                  <c:v>66.599999999999994</c:v>
                </c:pt>
                <c:pt idx="78">
                  <c:v>66.8</c:v>
                </c:pt>
                <c:pt idx="79">
                  <c:v>67</c:v>
                </c:pt>
                <c:pt idx="80">
                  <c:v>67.099999999999994</c:v>
                </c:pt>
                <c:pt idx="81">
                  <c:v>67.2</c:v>
                </c:pt>
                <c:pt idx="82">
                  <c:v>67.3</c:v>
                </c:pt>
                <c:pt idx="83">
                  <c:v>67.400000000000006</c:v>
                </c:pt>
                <c:pt idx="84">
                  <c:v>67.400000000000006</c:v>
                </c:pt>
                <c:pt idx="85">
                  <c:v>67.400000000000006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2EF-46A4-B199-E390052B955D}"/>
            </c:ext>
          </c:extLst>
        </c:ser>
        <c:ser>
          <c:idx val="4"/>
          <c:order val="4"/>
          <c:tx>
            <c:strRef>
              <c:f>'косичка 450 кв.мм. H=100 мм.'!$G$79</c:f>
              <c:strCache>
                <c:ptCount val="1"/>
                <c:pt idx="0">
                  <c:v>Датчик 14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'косичка 450 кв.мм. H=100 мм.'!$A$80:$A$165</c:f>
              <c:numCache>
                <c:formatCode>General</c:formatCode>
                <c:ptCount val="8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</c:numCache>
            </c:numRef>
          </c:xVal>
          <c:yVal>
            <c:numRef>
              <c:f>'косичка 450 кв.мм. H=100 мм.'!$G$80:$G$165</c:f>
              <c:numCache>
                <c:formatCode>General</c:formatCode>
                <c:ptCount val="86"/>
                <c:pt idx="1">
                  <c:v>29.7</c:v>
                </c:pt>
                <c:pt idx="2">
                  <c:v>31.5</c:v>
                </c:pt>
                <c:pt idx="3">
                  <c:v>33</c:v>
                </c:pt>
                <c:pt idx="4">
                  <c:v>34.5</c:v>
                </c:pt>
                <c:pt idx="5">
                  <c:v>35.9</c:v>
                </c:pt>
                <c:pt idx="6">
                  <c:v>37.1</c:v>
                </c:pt>
                <c:pt idx="7">
                  <c:v>38.1</c:v>
                </c:pt>
                <c:pt idx="8">
                  <c:v>38.799999999999997</c:v>
                </c:pt>
                <c:pt idx="9">
                  <c:v>39.299999999999997</c:v>
                </c:pt>
                <c:pt idx="10">
                  <c:v>40</c:v>
                </c:pt>
                <c:pt idx="11">
                  <c:v>40.700000000000003</c:v>
                </c:pt>
                <c:pt idx="12">
                  <c:v>41.1</c:v>
                </c:pt>
                <c:pt idx="13">
                  <c:v>41.6</c:v>
                </c:pt>
                <c:pt idx="14">
                  <c:v>42.2</c:v>
                </c:pt>
                <c:pt idx="15">
                  <c:v>42.5</c:v>
                </c:pt>
                <c:pt idx="16">
                  <c:v>42.8</c:v>
                </c:pt>
                <c:pt idx="17">
                  <c:v>43</c:v>
                </c:pt>
                <c:pt idx="18">
                  <c:v>43.1</c:v>
                </c:pt>
                <c:pt idx="19">
                  <c:v>43.2</c:v>
                </c:pt>
                <c:pt idx="20">
                  <c:v>43.3</c:v>
                </c:pt>
                <c:pt idx="21">
                  <c:v>43.3</c:v>
                </c:pt>
                <c:pt idx="22">
                  <c:v>43.4</c:v>
                </c:pt>
                <c:pt idx="23">
                  <c:v>43.3</c:v>
                </c:pt>
                <c:pt idx="24">
                  <c:v>43.3</c:v>
                </c:pt>
                <c:pt idx="25">
                  <c:v>43.3</c:v>
                </c:pt>
                <c:pt idx="26">
                  <c:v>43.2</c:v>
                </c:pt>
                <c:pt idx="27">
                  <c:v>43.3</c:v>
                </c:pt>
                <c:pt idx="28">
                  <c:v>43.3</c:v>
                </c:pt>
                <c:pt idx="29">
                  <c:v>44.2</c:v>
                </c:pt>
                <c:pt idx="30">
                  <c:v>45.4</c:v>
                </c:pt>
                <c:pt idx="31">
                  <c:v>46.3</c:v>
                </c:pt>
                <c:pt idx="32">
                  <c:v>47.2</c:v>
                </c:pt>
                <c:pt idx="33">
                  <c:v>47.8</c:v>
                </c:pt>
                <c:pt idx="34">
                  <c:v>48.4</c:v>
                </c:pt>
                <c:pt idx="35">
                  <c:v>48.9</c:v>
                </c:pt>
                <c:pt idx="36">
                  <c:v>49.2</c:v>
                </c:pt>
                <c:pt idx="37">
                  <c:v>49.6</c:v>
                </c:pt>
                <c:pt idx="38">
                  <c:v>49.9</c:v>
                </c:pt>
                <c:pt idx="39">
                  <c:v>50.1</c:v>
                </c:pt>
                <c:pt idx="40">
                  <c:v>50.3</c:v>
                </c:pt>
                <c:pt idx="41">
                  <c:v>50.4</c:v>
                </c:pt>
                <c:pt idx="42">
                  <c:v>50.5</c:v>
                </c:pt>
                <c:pt idx="43">
                  <c:v>50.6</c:v>
                </c:pt>
                <c:pt idx="44">
                  <c:v>50.7</c:v>
                </c:pt>
                <c:pt idx="45">
                  <c:v>50.7</c:v>
                </c:pt>
                <c:pt idx="46">
                  <c:v>50.7</c:v>
                </c:pt>
                <c:pt idx="47">
                  <c:v>50.8</c:v>
                </c:pt>
                <c:pt idx="48">
                  <c:v>50.9</c:v>
                </c:pt>
                <c:pt idx="49">
                  <c:v>51</c:v>
                </c:pt>
                <c:pt idx="50">
                  <c:v>51.1</c:v>
                </c:pt>
                <c:pt idx="51">
                  <c:v>51.1</c:v>
                </c:pt>
                <c:pt idx="52">
                  <c:v>51.2</c:v>
                </c:pt>
                <c:pt idx="53">
                  <c:v>51.2</c:v>
                </c:pt>
                <c:pt idx="54">
                  <c:v>51.3</c:v>
                </c:pt>
                <c:pt idx="55">
                  <c:v>51.3</c:v>
                </c:pt>
                <c:pt idx="56">
                  <c:v>51.3</c:v>
                </c:pt>
                <c:pt idx="57">
                  <c:v>51.4</c:v>
                </c:pt>
                <c:pt idx="58">
                  <c:v>51.3</c:v>
                </c:pt>
                <c:pt idx="59">
                  <c:v>51.4</c:v>
                </c:pt>
                <c:pt idx="60">
                  <c:v>51.4</c:v>
                </c:pt>
                <c:pt idx="61">
                  <c:v>51.5</c:v>
                </c:pt>
                <c:pt idx="62">
                  <c:v>53.2</c:v>
                </c:pt>
                <c:pt idx="63">
                  <c:v>54.7</c:v>
                </c:pt>
                <c:pt idx="64">
                  <c:v>55.9</c:v>
                </c:pt>
                <c:pt idx="65">
                  <c:v>56.9</c:v>
                </c:pt>
                <c:pt idx="66">
                  <c:v>57.8</c:v>
                </c:pt>
                <c:pt idx="67">
                  <c:v>58.5</c:v>
                </c:pt>
                <c:pt idx="68">
                  <c:v>59.1</c:v>
                </c:pt>
                <c:pt idx="69">
                  <c:v>59.7</c:v>
                </c:pt>
                <c:pt idx="70">
                  <c:v>60.1</c:v>
                </c:pt>
                <c:pt idx="71">
                  <c:v>60.4</c:v>
                </c:pt>
                <c:pt idx="72">
                  <c:v>60.7</c:v>
                </c:pt>
                <c:pt idx="73">
                  <c:v>61</c:v>
                </c:pt>
                <c:pt idx="74">
                  <c:v>61.1</c:v>
                </c:pt>
                <c:pt idx="75">
                  <c:v>61.3</c:v>
                </c:pt>
                <c:pt idx="76">
                  <c:v>61.6</c:v>
                </c:pt>
                <c:pt idx="77">
                  <c:v>61.8</c:v>
                </c:pt>
                <c:pt idx="78">
                  <c:v>62.1</c:v>
                </c:pt>
                <c:pt idx="79">
                  <c:v>62.2</c:v>
                </c:pt>
                <c:pt idx="80">
                  <c:v>62.3</c:v>
                </c:pt>
                <c:pt idx="81">
                  <c:v>62.4</c:v>
                </c:pt>
                <c:pt idx="82">
                  <c:v>62.4</c:v>
                </c:pt>
                <c:pt idx="83">
                  <c:v>62.6</c:v>
                </c:pt>
                <c:pt idx="84">
                  <c:v>62.5</c:v>
                </c:pt>
                <c:pt idx="85">
                  <c:v>62.5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2EF-46A4-B199-E390052B955D}"/>
            </c:ext>
          </c:extLst>
        </c:ser>
        <c:ser>
          <c:idx val="5"/>
          <c:order val="5"/>
          <c:tx>
            <c:strRef>
              <c:f>'косичка 450 кв.мм. H=100 мм.'!$H$79</c:f>
              <c:strCache>
                <c:ptCount val="1"/>
                <c:pt idx="0">
                  <c:v>Датчик 15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'косичка 450 кв.мм. H=100 мм.'!$A$80:$A$165</c:f>
              <c:numCache>
                <c:formatCode>General</c:formatCode>
                <c:ptCount val="8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</c:numCache>
            </c:numRef>
          </c:xVal>
          <c:yVal>
            <c:numRef>
              <c:f>'косичка 450 кв.мм. H=100 мм.'!$H$80:$H$165</c:f>
              <c:numCache>
                <c:formatCode>General</c:formatCode>
                <c:ptCount val="86"/>
                <c:pt idx="1">
                  <c:v>30.1</c:v>
                </c:pt>
                <c:pt idx="2">
                  <c:v>32.1</c:v>
                </c:pt>
                <c:pt idx="3">
                  <c:v>33.9</c:v>
                </c:pt>
                <c:pt idx="4">
                  <c:v>35.700000000000003</c:v>
                </c:pt>
                <c:pt idx="5">
                  <c:v>37.299999999999997</c:v>
                </c:pt>
                <c:pt idx="6">
                  <c:v>38.700000000000003</c:v>
                </c:pt>
                <c:pt idx="7">
                  <c:v>39.799999999999997</c:v>
                </c:pt>
                <c:pt idx="8">
                  <c:v>40.5</c:v>
                </c:pt>
                <c:pt idx="9">
                  <c:v>41.2</c:v>
                </c:pt>
                <c:pt idx="10">
                  <c:v>42</c:v>
                </c:pt>
                <c:pt idx="11">
                  <c:v>42.7</c:v>
                </c:pt>
                <c:pt idx="12">
                  <c:v>43.2</c:v>
                </c:pt>
                <c:pt idx="13">
                  <c:v>43.7</c:v>
                </c:pt>
                <c:pt idx="14">
                  <c:v>44.2</c:v>
                </c:pt>
                <c:pt idx="15">
                  <c:v>44.5</c:v>
                </c:pt>
                <c:pt idx="16">
                  <c:v>44.9</c:v>
                </c:pt>
                <c:pt idx="17">
                  <c:v>45.1</c:v>
                </c:pt>
                <c:pt idx="18">
                  <c:v>45.4</c:v>
                </c:pt>
                <c:pt idx="19">
                  <c:v>45.6</c:v>
                </c:pt>
                <c:pt idx="20">
                  <c:v>45.8</c:v>
                </c:pt>
                <c:pt idx="21">
                  <c:v>45.9</c:v>
                </c:pt>
                <c:pt idx="22">
                  <c:v>46</c:v>
                </c:pt>
                <c:pt idx="23">
                  <c:v>45.9</c:v>
                </c:pt>
                <c:pt idx="24">
                  <c:v>46</c:v>
                </c:pt>
                <c:pt idx="25">
                  <c:v>46</c:v>
                </c:pt>
                <c:pt idx="26">
                  <c:v>46</c:v>
                </c:pt>
                <c:pt idx="27">
                  <c:v>46.1</c:v>
                </c:pt>
                <c:pt idx="28">
                  <c:v>46.1</c:v>
                </c:pt>
                <c:pt idx="29">
                  <c:v>47.1</c:v>
                </c:pt>
                <c:pt idx="30">
                  <c:v>48.4</c:v>
                </c:pt>
                <c:pt idx="31">
                  <c:v>49.5</c:v>
                </c:pt>
                <c:pt idx="32">
                  <c:v>50.5</c:v>
                </c:pt>
                <c:pt idx="33">
                  <c:v>51.2</c:v>
                </c:pt>
                <c:pt idx="34">
                  <c:v>52</c:v>
                </c:pt>
                <c:pt idx="35">
                  <c:v>52.6</c:v>
                </c:pt>
                <c:pt idx="36">
                  <c:v>53.1</c:v>
                </c:pt>
                <c:pt idx="37">
                  <c:v>53.5</c:v>
                </c:pt>
                <c:pt idx="38">
                  <c:v>53.9</c:v>
                </c:pt>
                <c:pt idx="39">
                  <c:v>54.1</c:v>
                </c:pt>
                <c:pt idx="40">
                  <c:v>54.4</c:v>
                </c:pt>
                <c:pt idx="41">
                  <c:v>54.5</c:v>
                </c:pt>
                <c:pt idx="42">
                  <c:v>54.7</c:v>
                </c:pt>
                <c:pt idx="43">
                  <c:v>54.7</c:v>
                </c:pt>
                <c:pt idx="44">
                  <c:v>54.8</c:v>
                </c:pt>
                <c:pt idx="45">
                  <c:v>54.9</c:v>
                </c:pt>
                <c:pt idx="46">
                  <c:v>54.9</c:v>
                </c:pt>
                <c:pt idx="47">
                  <c:v>55</c:v>
                </c:pt>
                <c:pt idx="48">
                  <c:v>55.2</c:v>
                </c:pt>
                <c:pt idx="49">
                  <c:v>55.3</c:v>
                </c:pt>
                <c:pt idx="50">
                  <c:v>55.4</c:v>
                </c:pt>
                <c:pt idx="51">
                  <c:v>55.3</c:v>
                </c:pt>
                <c:pt idx="52">
                  <c:v>55.4</c:v>
                </c:pt>
                <c:pt idx="53">
                  <c:v>55.5</c:v>
                </c:pt>
                <c:pt idx="54">
                  <c:v>55.5</c:v>
                </c:pt>
                <c:pt idx="55">
                  <c:v>55.6</c:v>
                </c:pt>
                <c:pt idx="56">
                  <c:v>55.6</c:v>
                </c:pt>
                <c:pt idx="57">
                  <c:v>55.7</c:v>
                </c:pt>
                <c:pt idx="58">
                  <c:v>55.7</c:v>
                </c:pt>
                <c:pt idx="59">
                  <c:v>55.7</c:v>
                </c:pt>
                <c:pt idx="60">
                  <c:v>55.7</c:v>
                </c:pt>
                <c:pt idx="61">
                  <c:v>55.9</c:v>
                </c:pt>
                <c:pt idx="62">
                  <c:v>57.8</c:v>
                </c:pt>
                <c:pt idx="63">
                  <c:v>59.4</c:v>
                </c:pt>
                <c:pt idx="64">
                  <c:v>60.9</c:v>
                </c:pt>
                <c:pt idx="65">
                  <c:v>62.1</c:v>
                </c:pt>
                <c:pt idx="66">
                  <c:v>63.1</c:v>
                </c:pt>
                <c:pt idx="67">
                  <c:v>64</c:v>
                </c:pt>
                <c:pt idx="68">
                  <c:v>64.8</c:v>
                </c:pt>
                <c:pt idx="69">
                  <c:v>65.400000000000006</c:v>
                </c:pt>
                <c:pt idx="70">
                  <c:v>65.900000000000006</c:v>
                </c:pt>
                <c:pt idx="71">
                  <c:v>66.3</c:v>
                </c:pt>
                <c:pt idx="72">
                  <c:v>66.7</c:v>
                </c:pt>
                <c:pt idx="73">
                  <c:v>67</c:v>
                </c:pt>
                <c:pt idx="74">
                  <c:v>67.2</c:v>
                </c:pt>
                <c:pt idx="75">
                  <c:v>67.599999999999994</c:v>
                </c:pt>
                <c:pt idx="76">
                  <c:v>67.900000000000006</c:v>
                </c:pt>
                <c:pt idx="77">
                  <c:v>68.2</c:v>
                </c:pt>
                <c:pt idx="78">
                  <c:v>68.400000000000006</c:v>
                </c:pt>
                <c:pt idx="79">
                  <c:v>68.599999999999994</c:v>
                </c:pt>
                <c:pt idx="80">
                  <c:v>68.7</c:v>
                </c:pt>
                <c:pt idx="81">
                  <c:v>69</c:v>
                </c:pt>
                <c:pt idx="82">
                  <c:v>69</c:v>
                </c:pt>
                <c:pt idx="83">
                  <c:v>69</c:v>
                </c:pt>
                <c:pt idx="84">
                  <c:v>69.099999999999994</c:v>
                </c:pt>
                <c:pt idx="85">
                  <c:v>69.099999999999994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2EF-46A4-B199-E390052B9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339280"/>
        <c:axId val="416340920"/>
      </c:scatterChart>
      <c:valAx>
        <c:axId val="41633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6340920"/>
        <c:crosses val="autoZero"/>
        <c:crossBetween val="midCat"/>
      </c:valAx>
      <c:valAx>
        <c:axId val="416340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6339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'косичка 450 кв.мм. H=100 мм.'!$R$3:$T$3</c:f>
              <c:numCache>
                <c:formatCode>General</c:formatCode>
                <c:ptCount val="3"/>
                <c:pt idx="0">
                  <c:v>16.100000000000001</c:v>
                </c:pt>
                <c:pt idx="1">
                  <c:v>24.9</c:v>
                </c:pt>
                <c:pt idx="2">
                  <c:v>40.200000000000003</c:v>
                </c:pt>
              </c:numCache>
            </c:numRef>
          </c:xVal>
          <c:yVal>
            <c:numRef>
              <c:f>'косичка 450 кв.мм. H=100 мм.'!$R$4:$T$4</c:f>
              <c:numCache>
                <c:formatCode>General</c:formatCode>
                <c:ptCount val="3"/>
                <c:pt idx="0">
                  <c:v>1000</c:v>
                </c:pt>
                <c:pt idx="1">
                  <c:v>1250</c:v>
                </c:pt>
                <c:pt idx="2">
                  <c:v>1600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AA-40A4-A2E2-C9D193A23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434736"/>
        <c:axId val="431156040"/>
      </c:scatterChart>
      <c:valAx>
        <c:axId val="33543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1156040"/>
        <c:crosses val="autoZero"/>
        <c:crossBetween val="midCat"/>
      </c:valAx>
      <c:valAx>
        <c:axId val="431156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5434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'косичка 450 кв.мм. H=100 мм.'!$B$168</c:f>
              <c:strCache>
                <c:ptCount val="1"/>
                <c:pt idx="0">
                  <c:v>Icp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'косичка 450 кв.мм. H=100 мм.'!$A$169:$A$264</c:f>
              <c:numCache>
                <c:formatCode>General</c:formatCode>
                <c:ptCount val="9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</c:numCache>
            </c:numRef>
          </c:xVal>
          <c:yVal>
            <c:numRef>
              <c:f>'косичка 450 кв.мм. H=100 мм.'!$B$169:$B$264</c:f>
              <c:numCache>
                <c:formatCode>General</c:formatCode>
                <c:ptCount val="96"/>
                <c:pt idx="0">
                  <c:v>1212</c:v>
                </c:pt>
                <c:pt idx="1">
                  <c:v>1259</c:v>
                </c:pt>
                <c:pt idx="2">
                  <c:v>1261</c:v>
                </c:pt>
                <c:pt idx="3">
                  <c:v>1255</c:v>
                </c:pt>
                <c:pt idx="4">
                  <c:v>1262</c:v>
                </c:pt>
                <c:pt idx="5">
                  <c:v>1265</c:v>
                </c:pt>
                <c:pt idx="6">
                  <c:v>1266</c:v>
                </c:pt>
                <c:pt idx="7">
                  <c:v>1268</c:v>
                </c:pt>
                <c:pt idx="8">
                  <c:v>1268</c:v>
                </c:pt>
                <c:pt idx="9">
                  <c:v>1260</c:v>
                </c:pt>
                <c:pt idx="10">
                  <c:v>1259</c:v>
                </c:pt>
                <c:pt idx="11">
                  <c:v>1263</c:v>
                </c:pt>
                <c:pt idx="12">
                  <c:v>1266</c:v>
                </c:pt>
                <c:pt idx="13">
                  <c:v>1266</c:v>
                </c:pt>
                <c:pt idx="14">
                  <c:v>1263</c:v>
                </c:pt>
                <c:pt idx="15">
                  <c:v>1266</c:v>
                </c:pt>
                <c:pt idx="16">
                  <c:v>1262</c:v>
                </c:pt>
                <c:pt idx="17">
                  <c:v>1261</c:v>
                </c:pt>
                <c:pt idx="18">
                  <c:v>1259</c:v>
                </c:pt>
                <c:pt idx="19">
                  <c:v>1257</c:v>
                </c:pt>
                <c:pt idx="20">
                  <c:v>1259</c:v>
                </c:pt>
                <c:pt idx="21">
                  <c:v>1261</c:v>
                </c:pt>
                <c:pt idx="22">
                  <c:v>1255</c:v>
                </c:pt>
                <c:pt idx="23">
                  <c:v>1257</c:v>
                </c:pt>
                <c:pt idx="24">
                  <c:v>1261</c:v>
                </c:pt>
                <c:pt idx="25">
                  <c:v>1263</c:v>
                </c:pt>
                <c:pt idx="26">
                  <c:v>1265</c:v>
                </c:pt>
                <c:pt idx="27">
                  <c:v>1262</c:v>
                </c:pt>
                <c:pt idx="28">
                  <c:v>1620</c:v>
                </c:pt>
                <c:pt idx="29">
                  <c:v>1619</c:v>
                </c:pt>
                <c:pt idx="30">
                  <c:v>1617</c:v>
                </c:pt>
                <c:pt idx="31">
                  <c:v>1623</c:v>
                </c:pt>
                <c:pt idx="32">
                  <c:v>1619</c:v>
                </c:pt>
                <c:pt idx="33">
                  <c:v>1614</c:v>
                </c:pt>
                <c:pt idx="34">
                  <c:v>1619</c:v>
                </c:pt>
                <c:pt idx="35">
                  <c:v>1619</c:v>
                </c:pt>
                <c:pt idx="36">
                  <c:v>1617</c:v>
                </c:pt>
                <c:pt idx="37">
                  <c:v>1622</c:v>
                </c:pt>
                <c:pt idx="38">
                  <c:v>1621</c:v>
                </c:pt>
                <c:pt idx="39">
                  <c:v>1622</c:v>
                </c:pt>
                <c:pt idx="40">
                  <c:v>1611</c:v>
                </c:pt>
                <c:pt idx="41">
                  <c:v>1611</c:v>
                </c:pt>
                <c:pt idx="42">
                  <c:v>1615</c:v>
                </c:pt>
                <c:pt idx="43">
                  <c:v>1623</c:v>
                </c:pt>
                <c:pt idx="44">
                  <c:v>1613</c:v>
                </c:pt>
                <c:pt idx="45">
                  <c:v>1615</c:v>
                </c:pt>
                <c:pt idx="46">
                  <c:v>1618</c:v>
                </c:pt>
                <c:pt idx="47">
                  <c:v>1613</c:v>
                </c:pt>
                <c:pt idx="48">
                  <c:v>1621</c:v>
                </c:pt>
                <c:pt idx="49">
                  <c:v>1619</c:v>
                </c:pt>
                <c:pt idx="50">
                  <c:v>1617</c:v>
                </c:pt>
                <c:pt idx="51">
                  <c:v>1608</c:v>
                </c:pt>
                <c:pt idx="52">
                  <c:v>1614</c:v>
                </c:pt>
                <c:pt idx="53">
                  <c:v>1613</c:v>
                </c:pt>
                <c:pt idx="54">
                  <c:v>1619</c:v>
                </c:pt>
                <c:pt idx="55">
                  <c:v>1618</c:v>
                </c:pt>
                <c:pt idx="56">
                  <c:v>1609</c:v>
                </c:pt>
                <c:pt idx="57">
                  <c:v>1615</c:v>
                </c:pt>
                <c:pt idx="58">
                  <c:v>1619</c:v>
                </c:pt>
                <c:pt idx="59">
                  <c:v>1619</c:v>
                </c:pt>
                <c:pt idx="60">
                  <c:v>1623</c:v>
                </c:pt>
                <c:pt idx="61">
                  <c:v>1623</c:v>
                </c:pt>
                <c:pt idx="62">
                  <c:v>1606</c:v>
                </c:pt>
                <c:pt idx="63">
                  <c:v>1615</c:v>
                </c:pt>
                <c:pt idx="64">
                  <c:v>2014</c:v>
                </c:pt>
                <c:pt idx="65">
                  <c:v>2007</c:v>
                </c:pt>
                <c:pt idx="66">
                  <c:v>2009</c:v>
                </c:pt>
                <c:pt idx="67">
                  <c:v>2015</c:v>
                </c:pt>
                <c:pt idx="68">
                  <c:v>2013</c:v>
                </c:pt>
                <c:pt idx="69">
                  <c:v>2008</c:v>
                </c:pt>
                <c:pt idx="70">
                  <c:v>2018</c:v>
                </c:pt>
                <c:pt idx="71">
                  <c:v>2013</c:v>
                </c:pt>
                <c:pt idx="72">
                  <c:v>2009</c:v>
                </c:pt>
                <c:pt idx="73">
                  <c:v>2012</c:v>
                </c:pt>
                <c:pt idx="74">
                  <c:v>1998</c:v>
                </c:pt>
                <c:pt idx="75">
                  <c:v>2017</c:v>
                </c:pt>
                <c:pt idx="76">
                  <c:v>2009</c:v>
                </c:pt>
                <c:pt idx="77">
                  <c:v>2009</c:v>
                </c:pt>
                <c:pt idx="78">
                  <c:v>2014</c:v>
                </c:pt>
                <c:pt idx="79">
                  <c:v>2012</c:v>
                </c:pt>
                <c:pt idx="80">
                  <c:v>2012</c:v>
                </c:pt>
                <c:pt idx="81">
                  <c:v>2016</c:v>
                </c:pt>
                <c:pt idx="82">
                  <c:v>2012</c:v>
                </c:pt>
                <c:pt idx="83">
                  <c:v>2015</c:v>
                </c:pt>
                <c:pt idx="84">
                  <c:v>2010</c:v>
                </c:pt>
                <c:pt idx="85">
                  <c:v>2009</c:v>
                </c:pt>
                <c:pt idx="86">
                  <c:v>2013</c:v>
                </c:pt>
                <c:pt idx="87">
                  <c:v>2015</c:v>
                </c:pt>
                <c:pt idx="88">
                  <c:v>2015</c:v>
                </c:pt>
                <c:pt idx="89">
                  <c:v>2012</c:v>
                </c:pt>
                <c:pt idx="90">
                  <c:v>2019</c:v>
                </c:pt>
                <c:pt idx="91">
                  <c:v>2016</c:v>
                </c:pt>
                <c:pt idx="92">
                  <c:v>2016</c:v>
                </c:pt>
                <c:pt idx="93">
                  <c:v>2016</c:v>
                </c:pt>
                <c:pt idx="94">
                  <c:v>2012</c:v>
                </c:pt>
                <c:pt idx="95">
                  <c:v>2016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F0-47B7-B064-366DA944A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006480"/>
        <c:axId val="396006808"/>
      </c:scatterChart>
      <c:valAx>
        <c:axId val="39600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6006808"/>
        <c:crosses val="autoZero"/>
        <c:crossBetween val="midCat"/>
      </c:valAx>
      <c:valAx>
        <c:axId val="396006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600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'косичка 450 кв.мм. H=100 мм.'!$F$168</c:f>
              <c:strCache>
                <c:ptCount val="1"/>
                <c:pt idx="0">
                  <c:v>Датчик 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'косичка 450 кв.мм. H=100 мм.'!$A$169:$A$264</c:f>
              <c:numCache>
                <c:formatCode>General</c:formatCode>
                <c:ptCount val="9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</c:numCache>
            </c:numRef>
          </c:xVal>
          <c:yVal>
            <c:numRef>
              <c:f>'косичка 450 кв.мм. H=100 мм.'!$F$169:$F$264</c:f>
              <c:numCache>
                <c:formatCode>General</c:formatCode>
                <c:ptCount val="96"/>
                <c:pt idx="0">
                  <c:v>29.4</c:v>
                </c:pt>
                <c:pt idx="1">
                  <c:v>30.9</c:v>
                </c:pt>
                <c:pt idx="2">
                  <c:v>32.299999999999997</c:v>
                </c:pt>
                <c:pt idx="3">
                  <c:v>33.4</c:v>
                </c:pt>
                <c:pt idx="4">
                  <c:v>34.4</c:v>
                </c:pt>
                <c:pt idx="5">
                  <c:v>35.200000000000003</c:v>
                </c:pt>
                <c:pt idx="6">
                  <c:v>35.700000000000003</c:v>
                </c:pt>
                <c:pt idx="7">
                  <c:v>36.4</c:v>
                </c:pt>
                <c:pt idx="8">
                  <c:v>37.1</c:v>
                </c:pt>
                <c:pt idx="9">
                  <c:v>37.200000000000003</c:v>
                </c:pt>
                <c:pt idx="10">
                  <c:v>37.6</c:v>
                </c:pt>
                <c:pt idx="11">
                  <c:v>38.200000000000003</c:v>
                </c:pt>
                <c:pt idx="12">
                  <c:v>38.6</c:v>
                </c:pt>
                <c:pt idx="13">
                  <c:v>39.1</c:v>
                </c:pt>
                <c:pt idx="14">
                  <c:v>39.1</c:v>
                </c:pt>
                <c:pt idx="15">
                  <c:v>39.5</c:v>
                </c:pt>
                <c:pt idx="16">
                  <c:v>39.700000000000003</c:v>
                </c:pt>
                <c:pt idx="17">
                  <c:v>39.700000000000003</c:v>
                </c:pt>
                <c:pt idx="18">
                  <c:v>39.700000000000003</c:v>
                </c:pt>
                <c:pt idx="19">
                  <c:v>40</c:v>
                </c:pt>
                <c:pt idx="20">
                  <c:v>40.299999999999997</c:v>
                </c:pt>
                <c:pt idx="21">
                  <c:v>40.6</c:v>
                </c:pt>
                <c:pt idx="22">
                  <c:v>40.799999999999997</c:v>
                </c:pt>
                <c:pt idx="23">
                  <c:v>40.799999999999997</c:v>
                </c:pt>
                <c:pt idx="24">
                  <c:v>40.700000000000003</c:v>
                </c:pt>
                <c:pt idx="25">
                  <c:v>40.700000000000003</c:v>
                </c:pt>
                <c:pt idx="26">
                  <c:v>40.9</c:v>
                </c:pt>
                <c:pt idx="27">
                  <c:v>41.1</c:v>
                </c:pt>
                <c:pt idx="28">
                  <c:v>41.3</c:v>
                </c:pt>
                <c:pt idx="29">
                  <c:v>42.3</c:v>
                </c:pt>
                <c:pt idx="30">
                  <c:v>43.1</c:v>
                </c:pt>
                <c:pt idx="31">
                  <c:v>43.9</c:v>
                </c:pt>
                <c:pt idx="32">
                  <c:v>44.5</c:v>
                </c:pt>
                <c:pt idx="33">
                  <c:v>45.1</c:v>
                </c:pt>
                <c:pt idx="34">
                  <c:v>45.3</c:v>
                </c:pt>
                <c:pt idx="35">
                  <c:v>45.5</c:v>
                </c:pt>
                <c:pt idx="36">
                  <c:v>45.9</c:v>
                </c:pt>
                <c:pt idx="37">
                  <c:v>46.1</c:v>
                </c:pt>
                <c:pt idx="38">
                  <c:v>46.2</c:v>
                </c:pt>
                <c:pt idx="39">
                  <c:v>46.5</c:v>
                </c:pt>
                <c:pt idx="40">
                  <c:v>46.6</c:v>
                </c:pt>
                <c:pt idx="41">
                  <c:v>46.6</c:v>
                </c:pt>
                <c:pt idx="42">
                  <c:v>46.7</c:v>
                </c:pt>
                <c:pt idx="43">
                  <c:v>46.9</c:v>
                </c:pt>
                <c:pt idx="44">
                  <c:v>47.1</c:v>
                </c:pt>
                <c:pt idx="45">
                  <c:v>47.1</c:v>
                </c:pt>
                <c:pt idx="46">
                  <c:v>47.3</c:v>
                </c:pt>
                <c:pt idx="47">
                  <c:v>47.3</c:v>
                </c:pt>
                <c:pt idx="48">
                  <c:v>47.4</c:v>
                </c:pt>
                <c:pt idx="49">
                  <c:v>47.4</c:v>
                </c:pt>
                <c:pt idx="50">
                  <c:v>47.5</c:v>
                </c:pt>
                <c:pt idx="51">
                  <c:v>47.6</c:v>
                </c:pt>
                <c:pt idx="52">
                  <c:v>47.7</c:v>
                </c:pt>
                <c:pt idx="53">
                  <c:v>47.6</c:v>
                </c:pt>
                <c:pt idx="54">
                  <c:v>47.6</c:v>
                </c:pt>
                <c:pt idx="55">
                  <c:v>47.6</c:v>
                </c:pt>
                <c:pt idx="56">
                  <c:v>47.7</c:v>
                </c:pt>
                <c:pt idx="57">
                  <c:v>47.7</c:v>
                </c:pt>
                <c:pt idx="58">
                  <c:v>47.6</c:v>
                </c:pt>
                <c:pt idx="59">
                  <c:v>47.6</c:v>
                </c:pt>
                <c:pt idx="60">
                  <c:v>47.6</c:v>
                </c:pt>
                <c:pt idx="61">
                  <c:v>47.6</c:v>
                </c:pt>
                <c:pt idx="62">
                  <c:v>47.6</c:v>
                </c:pt>
                <c:pt idx="63">
                  <c:v>47.6</c:v>
                </c:pt>
                <c:pt idx="64">
                  <c:v>47.8</c:v>
                </c:pt>
                <c:pt idx="65">
                  <c:v>49.4</c:v>
                </c:pt>
                <c:pt idx="66">
                  <c:v>50.4</c:v>
                </c:pt>
                <c:pt idx="67">
                  <c:v>51.4</c:v>
                </c:pt>
                <c:pt idx="68">
                  <c:v>52.1</c:v>
                </c:pt>
                <c:pt idx="69">
                  <c:v>52.7</c:v>
                </c:pt>
                <c:pt idx="70">
                  <c:v>53.2</c:v>
                </c:pt>
                <c:pt idx="71">
                  <c:v>53.7</c:v>
                </c:pt>
                <c:pt idx="72">
                  <c:v>54.1</c:v>
                </c:pt>
                <c:pt idx="73">
                  <c:v>54.3</c:v>
                </c:pt>
                <c:pt idx="74">
                  <c:v>54.7</c:v>
                </c:pt>
                <c:pt idx="75">
                  <c:v>54.9</c:v>
                </c:pt>
                <c:pt idx="76">
                  <c:v>55.1</c:v>
                </c:pt>
                <c:pt idx="77">
                  <c:v>55.3</c:v>
                </c:pt>
                <c:pt idx="78">
                  <c:v>55.4</c:v>
                </c:pt>
                <c:pt idx="79">
                  <c:v>55.4</c:v>
                </c:pt>
                <c:pt idx="80">
                  <c:v>55.6</c:v>
                </c:pt>
                <c:pt idx="81">
                  <c:v>55.8</c:v>
                </c:pt>
                <c:pt idx="82">
                  <c:v>56</c:v>
                </c:pt>
                <c:pt idx="83">
                  <c:v>55.9</c:v>
                </c:pt>
                <c:pt idx="84">
                  <c:v>56.1</c:v>
                </c:pt>
                <c:pt idx="85">
                  <c:v>56.2</c:v>
                </c:pt>
                <c:pt idx="86">
                  <c:v>56.3</c:v>
                </c:pt>
                <c:pt idx="87">
                  <c:v>56.3</c:v>
                </c:pt>
                <c:pt idx="88">
                  <c:v>56.3</c:v>
                </c:pt>
                <c:pt idx="89">
                  <c:v>56.2</c:v>
                </c:pt>
                <c:pt idx="90">
                  <c:v>56.4</c:v>
                </c:pt>
                <c:pt idx="91">
                  <c:v>56.4</c:v>
                </c:pt>
                <c:pt idx="92">
                  <c:v>56.4</c:v>
                </c:pt>
                <c:pt idx="93">
                  <c:v>56.4</c:v>
                </c:pt>
                <c:pt idx="94">
                  <c:v>56.5</c:v>
                </c:pt>
                <c:pt idx="95">
                  <c:v>56.4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87-4AFE-B959-389F7A1D2121}"/>
            </c:ext>
          </c:extLst>
        </c:ser>
        <c:ser>
          <c:idx val="1"/>
          <c:order val="1"/>
          <c:tx>
            <c:strRef>
              <c:f>'косичка 450 кв.мм. H=100 мм.'!$G$168</c:f>
              <c:strCache>
                <c:ptCount val="1"/>
                <c:pt idx="0">
                  <c:v>Датчик 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'косичка 450 кв.мм. H=100 мм.'!$A$169:$A$264</c:f>
              <c:numCache>
                <c:formatCode>General</c:formatCode>
                <c:ptCount val="9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</c:numCache>
            </c:numRef>
          </c:xVal>
          <c:yVal>
            <c:numRef>
              <c:f>'косичка 450 кв.мм. H=100 мм.'!$G$169:$G$264</c:f>
              <c:numCache>
                <c:formatCode>General</c:formatCode>
                <c:ptCount val="96"/>
                <c:pt idx="0">
                  <c:v>30.2</c:v>
                </c:pt>
                <c:pt idx="1">
                  <c:v>32.700000000000003</c:v>
                </c:pt>
                <c:pt idx="2">
                  <c:v>34.1</c:v>
                </c:pt>
                <c:pt idx="3">
                  <c:v>35</c:v>
                </c:pt>
                <c:pt idx="4">
                  <c:v>36</c:v>
                </c:pt>
                <c:pt idx="5">
                  <c:v>36.9</c:v>
                </c:pt>
                <c:pt idx="6">
                  <c:v>37.1</c:v>
                </c:pt>
                <c:pt idx="7">
                  <c:v>38.1</c:v>
                </c:pt>
                <c:pt idx="8">
                  <c:v>38.700000000000003</c:v>
                </c:pt>
                <c:pt idx="9">
                  <c:v>38.5</c:v>
                </c:pt>
                <c:pt idx="10">
                  <c:v>39.1</c:v>
                </c:pt>
                <c:pt idx="11">
                  <c:v>39.700000000000003</c:v>
                </c:pt>
                <c:pt idx="12">
                  <c:v>40.299999999999997</c:v>
                </c:pt>
                <c:pt idx="13">
                  <c:v>40.6</c:v>
                </c:pt>
                <c:pt idx="14">
                  <c:v>40.5</c:v>
                </c:pt>
                <c:pt idx="15">
                  <c:v>40.799999999999997</c:v>
                </c:pt>
                <c:pt idx="16">
                  <c:v>41.1</c:v>
                </c:pt>
                <c:pt idx="17">
                  <c:v>41</c:v>
                </c:pt>
                <c:pt idx="18">
                  <c:v>41.1</c:v>
                </c:pt>
                <c:pt idx="19">
                  <c:v>41.5</c:v>
                </c:pt>
                <c:pt idx="20">
                  <c:v>41.8</c:v>
                </c:pt>
                <c:pt idx="21">
                  <c:v>42</c:v>
                </c:pt>
                <c:pt idx="22">
                  <c:v>42.2</c:v>
                </c:pt>
                <c:pt idx="23">
                  <c:v>42</c:v>
                </c:pt>
                <c:pt idx="24">
                  <c:v>42.1</c:v>
                </c:pt>
                <c:pt idx="25">
                  <c:v>42.3</c:v>
                </c:pt>
                <c:pt idx="26">
                  <c:v>42.4</c:v>
                </c:pt>
                <c:pt idx="27">
                  <c:v>42.5</c:v>
                </c:pt>
                <c:pt idx="28">
                  <c:v>42.8</c:v>
                </c:pt>
                <c:pt idx="29">
                  <c:v>44.1</c:v>
                </c:pt>
                <c:pt idx="30">
                  <c:v>45.2</c:v>
                </c:pt>
                <c:pt idx="31">
                  <c:v>46</c:v>
                </c:pt>
                <c:pt idx="32">
                  <c:v>46.6</c:v>
                </c:pt>
                <c:pt idx="33">
                  <c:v>47.2</c:v>
                </c:pt>
                <c:pt idx="34">
                  <c:v>47.2</c:v>
                </c:pt>
                <c:pt idx="35">
                  <c:v>47.4</c:v>
                </c:pt>
                <c:pt idx="36">
                  <c:v>47.9</c:v>
                </c:pt>
                <c:pt idx="37">
                  <c:v>47.9</c:v>
                </c:pt>
                <c:pt idx="38">
                  <c:v>48.2</c:v>
                </c:pt>
                <c:pt idx="39">
                  <c:v>48.4</c:v>
                </c:pt>
                <c:pt idx="40">
                  <c:v>48.5</c:v>
                </c:pt>
                <c:pt idx="41">
                  <c:v>48.5</c:v>
                </c:pt>
                <c:pt idx="42">
                  <c:v>48.7</c:v>
                </c:pt>
                <c:pt idx="43">
                  <c:v>48.8</c:v>
                </c:pt>
                <c:pt idx="44">
                  <c:v>49.1</c:v>
                </c:pt>
                <c:pt idx="45">
                  <c:v>49</c:v>
                </c:pt>
                <c:pt idx="46">
                  <c:v>49.2</c:v>
                </c:pt>
                <c:pt idx="47">
                  <c:v>49.2</c:v>
                </c:pt>
                <c:pt idx="48">
                  <c:v>49.2</c:v>
                </c:pt>
                <c:pt idx="49">
                  <c:v>49.3</c:v>
                </c:pt>
                <c:pt idx="50">
                  <c:v>49.3</c:v>
                </c:pt>
                <c:pt idx="51">
                  <c:v>49.4</c:v>
                </c:pt>
                <c:pt idx="52">
                  <c:v>49.4</c:v>
                </c:pt>
                <c:pt idx="53">
                  <c:v>49.5</c:v>
                </c:pt>
                <c:pt idx="54">
                  <c:v>49.4</c:v>
                </c:pt>
                <c:pt idx="55">
                  <c:v>49.5</c:v>
                </c:pt>
                <c:pt idx="56">
                  <c:v>49.5</c:v>
                </c:pt>
                <c:pt idx="57">
                  <c:v>49.4</c:v>
                </c:pt>
                <c:pt idx="58">
                  <c:v>49.4</c:v>
                </c:pt>
                <c:pt idx="59">
                  <c:v>49.4</c:v>
                </c:pt>
                <c:pt idx="60">
                  <c:v>49.4</c:v>
                </c:pt>
                <c:pt idx="61">
                  <c:v>49.4</c:v>
                </c:pt>
                <c:pt idx="62">
                  <c:v>49.4</c:v>
                </c:pt>
                <c:pt idx="63">
                  <c:v>49.4</c:v>
                </c:pt>
                <c:pt idx="64">
                  <c:v>49.8</c:v>
                </c:pt>
                <c:pt idx="65">
                  <c:v>52.1</c:v>
                </c:pt>
                <c:pt idx="66">
                  <c:v>53.3</c:v>
                </c:pt>
                <c:pt idx="67">
                  <c:v>54.2</c:v>
                </c:pt>
                <c:pt idx="68">
                  <c:v>54.9</c:v>
                </c:pt>
                <c:pt idx="69">
                  <c:v>55.5</c:v>
                </c:pt>
                <c:pt idx="70">
                  <c:v>56</c:v>
                </c:pt>
                <c:pt idx="71">
                  <c:v>56.5</c:v>
                </c:pt>
                <c:pt idx="72">
                  <c:v>56.9</c:v>
                </c:pt>
                <c:pt idx="73">
                  <c:v>57.2</c:v>
                </c:pt>
                <c:pt idx="74">
                  <c:v>57.5</c:v>
                </c:pt>
                <c:pt idx="75">
                  <c:v>57.7</c:v>
                </c:pt>
                <c:pt idx="76">
                  <c:v>57.9</c:v>
                </c:pt>
                <c:pt idx="77">
                  <c:v>58.1</c:v>
                </c:pt>
                <c:pt idx="78">
                  <c:v>58.2</c:v>
                </c:pt>
                <c:pt idx="79">
                  <c:v>58.2</c:v>
                </c:pt>
                <c:pt idx="80">
                  <c:v>58.4</c:v>
                </c:pt>
                <c:pt idx="81">
                  <c:v>58.5</c:v>
                </c:pt>
                <c:pt idx="82">
                  <c:v>58.7</c:v>
                </c:pt>
                <c:pt idx="83">
                  <c:v>58.7</c:v>
                </c:pt>
                <c:pt idx="84">
                  <c:v>58.9</c:v>
                </c:pt>
                <c:pt idx="85">
                  <c:v>59</c:v>
                </c:pt>
                <c:pt idx="86">
                  <c:v>59</c:v>
                </c:pt>
                <c:pt idx="87">
                  <c:v>59.1</c:v>
                </c:pt>
                <c:pt idx="88">
                  <c:v>59.1</c:v>
                </c:pt>
                <c:pt idx="89">
                  <c:v>59</c:v>
                </c:pt>
                <c:pt idx="90">
                  <c:v>59.1</c:v>
                </c:pt>
                <c:pt idx="91">
                  <c:v>59.1</c:v>
                </c:pt>
                <c:pt idx="92">
                  <c:v>59.2</c:v>
                </c:pt>
                <c:pt idx="93">
                  <c:v>59.2</c:v>
                </c:pt>
                <c:pt idx="94">
                  <c:v>59.3</c:v>
                </c:pt>
                <c:pt idx="95">
                  <c:v>59.3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87-4AFE-B959-389F7A1D2121}"/>
            </c:ext>
          </c:extLst>
        </c:ser>
        <c:ser>
          <c:idx val="2"/>
          <c:order val="2"/>
          <c:tx>
            <c:strRef>
              <c:f>'косичка 450 кв.мм. H=100 мм.'!$H$168</c:f>
              <c:strCache>
                <c:ptCount val="1"/>
                <c:pt idx="0">
                  <c:v>Датчик 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'косичка 450 кв.мм. H=100 мм.'!$A$169:$A$264</c:f>
              <c:numCache>
                <c:formatCode>General</c:formatCode>
                <c:ptCount val="9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</c:numCache>
            </c:numRef>
          </c:xVal>
          <c:yVal>
            <c:numRef>
              <c:f>'косичка 450 кв.мм. H=100 мм.'!$H$169:$H$264</c:f>
              <c:numCache>
                <c:formatCode>General</c:formatCode>
                <c:ptCount val="96"/>
                <c:pt idx="0">
                  <c:v>27.9</c:v>
                </c:pt>
                <c:pt idx="1">
                  <c:v>28</c:v>
                </c:pt>
                <c:pt idx="2">
                  <c:v>28.1</c:v>
                </c:pt>
                <c:pt idx="3">
                  <c:v>28.1</c:v>
                </c:pt>
                <c:pt idx="4">
                  <c:v>28.2</c:v>
                </c:pt>
                <c:pt idx="5">
                  <c:v>28.3</c:v>
                </c:pt>
                <c:pt idx="6">
                  <c:v>27.7</c:v>
                </c:pt>
                <c:pt idx="7">
                  <c:v>28.2</c:v>
                </c:pt>
                <c:pt idx="8">
                  <c:v>28.2</c:v>
                </c:pt>
                <c:pt idx="9">
                  <c:v>27.4</c:v>
                </c:pt>
                <c:pt idx="10">
                  <c:v>28</c:v>
                </c:pt>
                <c:pt idx="11">
                  <c:v>28.4</c:v>
                </c:pt>
                <c:pt idx="12">
                  <c:v>28.8</c:v>
                </c:pt>
                <c:pt idx="13">
                  <c:v>28.7</c:v>
                </c:pt>
                <c:pt idx="14">
                  <c:v>28.1</c:v>
                </c:pt>
                <c:pt idx="15">
                  <c:v>28.3</c:v>
                </c:pt>
                <c:pt idx="16">
                  <c:v>28.6</c:v>
                </c:pt>
                <c:pt idx="17">
                  <c:v>28</c:v>
                </c:pt>
                <c:pt idx="18">
                  <c:v>28.3</c:v>
                </c:pt>
                <c:pt idx="19">
                  <c:v>28.9</c:v>
                </c:pt>
                <c:pt idx="20">
                  <c:v>29.2</c:v>
                </c:pt>
                <c:pt idx="21">
                  <c:v>29.4</c:v>
                </c:pt>
                <c:pt idx="22">
                  <c:v>29.3</c:v>
                </c:pt>
                <c:pt idx="23">
                  <c:v>28.4</c:v>
                </c:pt>
                <c:pt idx="24">
                  <c:v>28.6</c:v>
                </c:pt>
                <c:pt idx="25">
                  <c:v>28.9</c:v>
                </c:pt>
                <c:pt idx="26">
                  <c:v>29</c:v>
                </c:pt>
                <c:pt idx="27">
                  <c:v>29.1</c:v>
                </c:pt>
                <c:pt idx="28">
                  <c:v>29.4</c:v>
                </c:pt>
                <c:pt idx="29">
                  <c:v>28.6</c:v>
                </c:pt>
                <c:pt idx="30">
                  <c:v>29.3</c:v>
                </c:pt>
                <c:pt idx="31">
                  <c:v>29.8</c:v>
                </c:pt>
                <c:pt idx="32">
                  <c:v>29.7</c:v>
                </c:pt>
                <c:pt idx="33">
                  <c:v>30</c:v>
                </c:pt>
                <c:pt idx="34">
                  <c:v>28.9</c:v>
                </c:pt>
                <c:pt idx="35">
                  <c:v>28.9</c:v>
                </c:pt>
                <c:pt idx="36">
                  <c:v>29.7</c:v>
                </c:pt>
                <c:pt idx="37">
                  <c:v>28.9</c:v>
                </c:pt>
                <c:pt idx="38">
                  <c:v>29.3</c:v>
                </c:pt>
                <c:pt idx="39">
                  <c:v>29.6</c:v>
                </c:pt>
                <c:pt idx="40">
                  <c:v>29.5</c:v>
                </c:pt>
                <c:pt idx="41">
                  <c:v>28.8</c:v>
                </c:pt>
                <c:pt idx="42">
                  <c:v>29.2</c:v>
                </c:pt>
                <c:pt idx="43">
                  <c:v>29.6</c:v>
                </c:pt>
                <c:pt idx="44">
                  <c:v>29.8</c:v>
                </c:pt>
                <c:pt idx="45">
                  <c:v>29.4</c:v>
                </c:pt>
                <c:pt idx="46">
                  <c:v>29.7</c:v>
                </c:pt>
                <c:pt idx="47">
                  <c:v>29.3</c:v>
                </c:pt>
                <c:pt idx="48">
                  <c:v>29.8</c:v>
                </c:pt>
                <c:pt idx="49">
                  <c:v>29.7</c:v>
                </c:pt>
                <c:pt idx="50">
                  <c:v>29.9</c:v>
                </c:pt>
                <c:pt idx="51">
                  <c:v>29.7</c:v>
                </c:pt>
                <c:pt idx="52">
                  <c:v>29.6</c:v>
                </c:pt>
                <c:pt idx="53">
                  <c:v>29.4</c:v>
                </c:pt>
                <c:pt idx="54">
                  <c:v>29.7</c:v>
                </c:pt>
                <c:pt idx="55">
                  <c:v>29.8</c:v>
                </c:pt>
                <c:pt idx="56">
                  <c:v>29.7</c:v>
                </c:pt>
                <c:pt idx="57">
                  <c:v>29.8</c:v>
                </c:pt>
                <c:pt idx="58">
                  <c:v>29.6</c:v>
                </c:pt>
                <c:pt idx="59">
                  <c:v>29.7</c:v>
                </c:pt>
                <c:pt idx="60">
                  <c:v>29.6</c:v>
                </c:pt>
                <c:pt idx="61">
                  <c:v>29.4</c:v>
                </c:pt>
                <c:pt idx="62">
                  <c:v>29.5</c:v>
                </c:pt>
                <c:pt idx="63">
                  <c:v>29.5</c:v>
                </c:pt>
                <c:pt idx="64">
                  <c:v>29.4</c:v>
                </c:pt>
                <c:pt idx="65">
                  <c:v>29.4</c:v>
                </c:pt>
                <c:pt idx="66">
                  <c:v>29.5</c:v>
                </c:pt>
                <c:pt idx="67">
                  <c:v>29.4</c:v>
                </c:pt>
                <c:pt idx="68">
                  <c:v>29.3</c:v>
                </c:pt>
                <c:pt idx="69">
                  <c:v>29.4</c:v>
                </c:pt>
                <c:pt idx="70">
                  <c:v>29.3</c:v>
                </c:pt>
                <c:pt idx="71">
                  <c:v>29.4</c:v>
                </c:pt>
                <c:pt idx="72">
                  <c:v>29.6</c:v>
                </c:pt>
                <c:pt idx="73">
                  <c:v>29.6</c:v>
                </c:pt>
                <c:pt idx="74">
                  <c:v>29.5</c:v>
                </c:pt>
                <c:pt idx="75">
                  <c:v>29.5</c:v>
                </c:pt>
                <c:pt idx="76">
                  <c:v>29.6</c:v>
                </c:pt>
                <c:pt idx="77">
                  <c:v>29.8</c:v>
                </c:pt>
                <c:pt idx="78">
                  <c:v>29.7</c:v>
                </c:pt>
                <c:pt idx="79">
                  <c:v>29.5</c:v>
                </c:pt>
                <c:pt idx="80">
                  <c:v>29.7</c:v>
                </c:pt>
                <c:pt idx="81">
                  <c:v>29.8</c:v>
                </c:pt>
                <c:pt idx="82">
                  <c:v>29.9</c:v>
                </c:pt>
                <c:pt idx="83">
                  <c:v>29.7</c:v>
                </c:pt>
                <c:pt idx="84">
                  <c:v>29.8</c:v>
                </c:pt>
                <c:pt idx="85">
                  <c:v>29.8</c:v>
                </c:pt>
                <c:pt idx="86">
                  <c:v>29.7</c:v>
                </c:pt>
                <c:pt idx="87">
                  <c:v>29.8</c:v>
                </c:pt>
                <c:pt idx="88">
                  <c:v>29.8</c:v>
                </c:pt>
                <c:pt idx="89">
                  <c:v>29.8</c:v>
                </c:pt>
                <c:pt idx="90">
                  <c:v>29.8</c:v>
                </c:pt>
                <c:pt idx="91">
                  <c:v>29.8</c:v>
                </c:pt>
                <c:pt idx="92">
                  <c:v>29.8</c:v>
                </c:pt>
                <c:pt idx="93">
                  <c:v>29.8</c:v>
                </c:pt>
                <c:pt idx="94">
                  <c:v>29.9</c:v>
                </c:pt>
                <c:pt idx="95">
                  <c:v>29.9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787-4AFE-B959-389F7A1D2121}"/>
            </c:ext>
          </c:extLst>
        </c:ser>
        <c:ser>
          <c:idx val="3"/>
          <c:order val="3"/>
          <c:tx>
            <c:strRef>
              <c:f>'косичка 450 кв.мм. H=100 мм.'!$I$168</c:f>
              <c:strCache>
                <c:ptCount val="1"/>
                <c:pt idx="0">
                  <c:v>Датчик 12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'косичка 450 кв.мм. H=100 мм.'!$A$169:$A$264</c:f>
              <c:numCache>
                <c:formatCode>General</c:formatCode>
                <c:ptCount val="9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</c:numCache>
            </c:numRef>
          </c:xVal>
          <c:yVal>
            <c:numRef>
              <c:f>'косичка 450 кв.мм. H=100 мм.'!$I$169:$I$264</c:f>
              <c:numCache>
                <c:formatCode>General</c:formatCode>
                <c:ptCount val="96"/>
                <c:pt idx="0">
                  <c:v>28.9</c:v>
                </c:pt>
                <c:pt idx="1">
                  <c:v>30.3</c:v>
                </c:pt>
                <c:pt idx="2">
                  <c:v>31.8</c:v>
                </c:pt>
                <c:pt idx="3">
                  <c:v>32.9</c:v>
                </c:pt>
                <c:pt idx="4">
                  <c:v>33.9</c:v>
                </c:pt>
                <c:pt idx="5">
                  <c:v>34.700000000000003</c:v>
                </c:pt>
                <c:pt idx="6">
                  <c:v>35.299999999999997</c:v>
                </c:pt>
                <c:pt idx="7">
                  <c:v>36</c:v>
                </c:pt>
                <c:pt idx="8">
                  <c:v>36.5</c:v>
                </c:pt>
                <c:pt idx="9">
                  <c:v>36.799999999999997</c:v>
                </c:pt>
                <c:pt idx="10">
                  <c:v>37.200000000000003</c:v>
                </c:pt>
                <c:pt idx="11">
                  <c:v>37.6</c:v>
                </c:pt>
                <c:pt idx="12">
                  <c:v>38</c:v>
                </c:pt>
                <c:pt idx="13">
                  <c:v>38.4</c:v>
                </c:pt>
                <c:pt idx="14">
                  <c:v>38.700000000000003</c:v>
                </c:pt>
                <c:pt idx="15">
                  <c:v>38.9</c:v>
                </c:pt>
                <c:pt idx="16">
                  <c:v>39.200000000000003</c:v>
                </c:pt>
                <c:pt idx="17">
                  <c:v>39.200000000000003</c:v>
                </c:pt>
                <c:pt idx="18">
                  <c:v>39.4</c:v>
                </c:pt>
                <c:pt idx="19">
                  <c:v>39.5</c:v>
                </c:pt>
                <c:pt idx="20">
                  <c:v>39.799999999999997</c:v>
                </c:pt>
                <c:pt idx="21">
                  <c:v>40.1</c:v>
                </c:pt>
                <c:pt idx="22">
                  <c:v>40.299999999999997</c:v>
                </c:pt>
                <c:pt idx="23">
                  <c:v>40.299999999999997</c:v>
                </c:pt>
                <c:pt idx="24">
                  <c:v>40.299999999999997</c:v>
                </c:pt>
                <c:pt idx="25">
                  <c:v>40.299999999999997</c:v>
                </c:pt>
                <c:pt idx="26">
                  <c:v>40.4</c:v>
                </c:pt>
                <c:pt idx="27">
                  <c:v>40.6</c:v>
                </c:pt>
                <c:pt idx="28">
                  <c:v>40.700000000000003</c:v>
                </c:pt>
                <c:pt idx="29">
                  <c:v>41.8</c:v>
                </c:pt>
                <c:pt idx="30">
                  <c:v>42.7</c:v>
                </c:pt>
                <c:pt idx="31">
                  <c:v>43.5</c:v>
                </c:pt>
                <c:pt idx="32">
                  <c:v>44.1</c:v>
                </c:pt>
                <c:pt idx="33">
                  <c:v>44.6</c:v>
                </c:pt>
                <c:pt idx="34">
                  <c:v>44.9</c:v>
                </c:pt>
                <c:pt idx="35">
                  <c:v>45.1</c:v>
                </c:pt>
                <c:pt idx="36">
                  <c:v>45.4</c:v>
                </c:pt>
                <c:pt idx="37">
                  <c:v>45.7</c:v>
                </c:pt>
                <c:pt idx="38">
                  <c:v>45.8</c:v>
                </c:pt>
                <c:pt idx="39">
                  <c:v>46</c:v>
                </c:pt>
                <c:pt idx="40">
                  <c:v>46.2</c:v>
                </c:pt>
                <c:pt idx="41">
                  <c:v>46.3</c:v>
                </c:pt>
                <c:pt idx="42">
                  <c:v>46.3</c:v>
                </c:pt>
                <c:pt idx="43">
                  <c:v>46.4</c:v>
                </c:pt>
                <c:pt idx="44">
                  <c:v>46.6</c:v>
                </c:pt>
                <c:pt idx="45">
                  <c:v>46.7</c:v>
                </c:pt>
                <c:pt idx="46">
                  <c:v>46.8</c:v>
                </c:pt>
                <c:pt idx="47">
                  <c:v>47</c:v>
                </c:pt>
                <c:pt idx="48">
                  <c:v>46.9</c:v>
                </c:pt>
                <c:pt idx="49">
                  <c:v>46.9</c:v>
                </c:pt>
                <c:pt idx="50">
                  <c:v>47.1</c:v>
                </c:pt>
                <c:pt idx="51">
                  <c:v>47.1</c:v>
                </c:pt>
                <c:pt idx="52">
                  <c:v>47.1</c:v>
                </c:pt>
                <c:pt idx="53">
                  <c:v>47.2</c:v>
                </c:pt>
                <c:pt idx="54">
                  <c:v>47.1</c:v>
                </c:pt>
                <c:pt idx="55">
                  <c:v>47.1</c:v>
                </c:pt>
                <c:pt idx="56">
                  <c:v>47.2</c:v>
                </c:pt>
                <c:pt idx="57">
                  <c:v>47.2</c:v>
                </c:pt>
                <c:pt idx="58">
                  <c:v>47.2</c:v>
                </c:pt>
                <c:pt idx="59">
                  <c:v>47.1</c:v>
                </c:pt>
                <c:pt idx="60">
                  <c:v>47.1</c:v>
                </c:pt>
                <c:pt idx="61">
                  <c:v>47.1</c:v>
                </c:pt>
                <c:pt idx="62">
                  <c:v>47.2</c:v>
                </c:pt>
                <c:pt idx="63">
                  <c:v>47.1</c:v>
                </c:pt>
                <c:pt idx="64">
                  <c:v>47.3</c:v>
                </c:pt>
                <c:pt idx="65">
                  <c:v>49</c:v>
                </c:pt>
                <c:pt idx="66">
                  <c:v>50.1</c:v>
                </c:pt>
                <c:pt idx="67">
                  <c:v>51</c:v>
                </c:pt>
                <c:pt idx="68">
                  <c:v>51.7</c:v>
                </c:pt>
                <c:pt idx="69">
                  <c:v>52.3</c:v>
                </c:pt>
                <c:pt idx="70">
                  <c:v>52.8</c:v>
                </c:pt>
                <c:pt idx="71">
                  <c:v>53.2</c:v>
                </c:pt>
                <c:pt idx="72">
                  <c:v>53.6</c:v>
                </c:pt>
                <c:pt idx="73">
                  <c:v>53.9</c:v>
                </c:pt>
                <c:pt idx="74">
                  <c:v>54.2</c:v>
                </c:pt>
                <c:pt idx="75">
                  <c:v>54.5</c:v>
                </c:pt>
                <c:pt idx="76">
                  <c:v>54.6</c:v>
                </c:pt>
                <c:pt idx="77">
                  <c:v>54.8</c:v>
                </c:pt>
                <c:pt idx="78">
                  <c:v>54.9</c:v>
                </c:pt>
                <c:pt idx="79">
                  <c:v>55</c:v>
                </c:pt>
                <c:pt idx="80">
                  <c:v>55.1</c:v>
                </c:pt>
                <c:pt idx="81">
                  <c:v>55.2</c:v>
                </c:pt>
                <c:pt idx="82">
                  <c:v>55.4</c:v>
                </c:pt>
                <c:pt idx="83">
                  <c:v>55.4</c:v>
                </c:pt>
                <c:pt idx="84">
                  <c:v>55.5</c:v>
                </c:pt>
                <c:pt idx="85">
                  <c:v>55.7</c:v>
                </c:pt>
                <c:pt idx="86">
                  <c:v>55.8</c:v>
                </c:pt>
                <c:pt idx="87">
                  <c:v>55.9</c:v>
                </c:pt>
                <c:pt idx="88">
                  <c:v>55.9</c:v>
                </c:pt>
                <c:pt idx="89">
                  <c:v>55.8</c:v>
                </c:pt>
                <c:pt idx="90">
                  <c:v>55.9</c:v>
                </c:pt>
                <c:pt idx="91">
                  <c:v>56</c:v>
                </c:pt>
                <c:pt idx="92">
                  <c:v>56</c:v>
                </c:pt>
                <c:pt idx="93">
                  <c:v>56</c:v>
                </c:pt>
                <c:pt idx="94">
                  <c:v>56</c:v>
                </c:pt>
                <c:pt idx="95">
                  <c:v>56.1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787-4AFE-B959-389F7A1D2121}"/>
            </c:ext>
          </c:extLst>
        </c:ser>
        <c:ser>
          <c:idx val="4"/>
          <c:order val="4"/>
          <c:tx>
            <c:strRef>
              <c:f>'косичка 450 кв.мм. H=100 мм.'!$J$168</c:f>
              <c:strCache>
                <c:ptCount val="1"/>
                <c:pt idx="0">
                  <c:v>Датчик 13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'косичка 450 кв.мм. H=100 мм.'!$A$169:$A$264</c:f>
              <c:numCache>
                <c:formatCode>General</c:formatCode>
                <c:ptCount val="9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</c:numCache>
            </c:numRef>
          </c:xVal>
          <c:yVal>
            <c:numRef>
              <c:f>'косичка 450 кв.мм. H=100 мм.'!$J$169:$J$264</c:f>
              <c:numCache>
                <c:formatCode>General</c:formatCode>
                <c:ptCount val="96"/>
                <c:pt idx="0">
                  <c:v>29.1</c:v>
                </c:pt>
                <c:pt idx="1">
                  <c:v>30.5</c:v>
                </c:pt>
                <c:pt idx="2">
                  <c:v>31.9</c:v>
                </c:pt>
                <c:pt idx="3">
                  <c:v>32.799999999999997</c:v>
                </c:pt>
                <c:pt idx="4">
                  <c:v>33.799999999999997</c:v>
                </c:pt>
                <c:pt idx="5">
                  <c:v>34.5</c:v>
                </c:pt>
                <c:pt idx="6">
                  <c:v>34.9</c:v>
                </c:pt>
                <c:pt idx="7">
                  <c:v>35.700000000000003</c:v>
                </c:pt>
                <c:pt idx="8">
                  <c:v>36.1</c:v>
                </c:pt>
                <c:pt idx="9">
                  <c:v>36.200000000000003</c:v>
                </c:pt>
                <c:pt idx="10">
                  <c:v>36.9</c:v>
                </c:pt>
                <c:pt idx="11">
                  <c:v>37.299999999999997</c:v>
                </c:pt>
                <c:pt idx="12">
                  <c:v>37.9</c:v>
                </c:pt>
                <c:pt idx="13">
                  <c:v>38.1</c:v>
                </c:pt>
                <c:pt idx="14">
                  <c:v>38.1</c:v>
                </c:pt>
                <c:pt idx="15">
                  <c:v>38.299999999999997</c:v>
                </c:pt>
                <c:pt idx="16">
                  <c:v>38.9</c:v>
                </c:pt>
                <c:pt idx="17">
                  <c:v>38.6</c:v>
                </c:pt>
                <c:pt idx="18">
                  <c:v>38.9</c:v>
                </c:pt>
                <c:pt idx="19">
                  <c:v>39.200000000000003</c:v>
                </c:pt>
                <c:pt idx="20">
                  <c:v>39.5</c:v>
                </c:pt>
                <c:pt idx="21">
                  <c:v>39.700000000000003</c:v>
                </c:pt>
                <c:pt idx="22">
                  <c:v>39.700000000000003</c:v>
                </c:pt>
                <c:pt idx="23">
                  <c:v>39.6</c:v>
                </c:pt>
                <c:pt idx="24">
                  <c:v>39.6</c:v>
                </c:pt>
                <c:pt idx="25">
                  <c:v>39.700000000000003</c:v>
                </c:pt>
                <c:pt idx="26">
                  <c:v>39.9</c:v>
                </c:pt>
                <c:pt idx="27">
                  <c:v>40</c:v>
                </c:pt>
                <c:pt idx="28">
                  <c:v>40.1</c:v>
                </c:pt>
                <c:pt idx="29">
                  <c:v>40.9</c:v>
                </c:pt>
                <c:pt idx="30">
                  <c:v>41.9</c:v>
                </c:pt>
                <c:pt idx="31">
                  <c:v>42.7</c:v>
                </c:pt>
                <c:pt idx="32">
                  <c:v>43.3</c:v>
                </c:pt>
                <c:pt idx="33">
                  <c:v>43.8</c:v>
                </c:pt>
                <c:pt idx="34">
                  <c:v>43.9</c:v>
                </c:pt>
                <c:pt idx="35">
                  <c:v>44.1</c:v>
                </c:pt>
                <c:pt idx="36">
                  <c:v>44.5</c:v>
                </c:pt>
                <c:pt idx="37">
                  <c:v>44.6</c:v>
                </c:pt>
                <c:pt idx="38">
                  <c:v>44.8</c:v>
                </c:pt>
                <c:pt idx="39">
                  <c:v>45</c:v>
                </c:pt>
                <c:pt idx="40">
                  <c:v>45.2</c:v>
                </c:pt>
                <c:pt idx="41">
                  <c:v>45.1</c:v>
                </c:pt>
                <c:pt idx="42">
                  <c:v>45.2</c:v>
                </c:pt>
                <c:pt idx="43">
                  <c:v>45.3</c:v>
                </c:pt>
                <c:pt idx="44">
                  <c:v>45.5</c:v>
                </c:pt>
                <c:pt idx="45">
                  <c:v>45.6</c:v>
                </c:pt>
                <c:pt idx="46">
                  <c:v>45.7</c:v>
                </c:pt>
                <c:pt idx="47">
                  <c:v>45.7</c:v>
                </c:pt>
                <c:pt idx="48">
                  <c:v>45.8</c:v>
                </c:pt>
                <c:pt idx="49">
                  <c:v>45.9</c:v>
                </c:pt>
                <c:pt idx="50">
                  <c:v>46</c:v>
                </c:pt>
                <c:pt idx="51">
                  <c:v>46</c:v>
                </c:pt>
                <c:pt idx="52">
                  <c:v>46.1</c:v>
                </c:pt>
                <c:pt idx="53">
                  <c:v>46.1</c:v>
                </c:pt>
                <c:pt idx="54">
                  <c:v>46</c:v>
                </c:pt>
                <c:pt idx="55">
                  <c:v>46</c:v>
                </c:pt>
                <c:pt idx="56">
                  <c:v>46.1</c:v>
                </c:pt>
                <c:pt idx="57">
                  <c:v>46.1</c:v>
                </c:pt>
                <c:pt idx="58">
                  <c:v>46</c:v>
                </c:pt>
                <c:pt idx="59">
                  <c:v>46</c:v>
                </c:pt>
                <c:pt idx="60">
                  <c:v>46</c:v>
                </c:pt>
                <c:pt idx="61">
                  <c:v>46</c:v>
                </c:pt>
                <c:pt idx="62">
                  <c:v>46.1</c:v>
                </c:pt>
                <c:pt idx="63">
                  <c:v>46</c:v>
                </c:pt>
                <c:pt idx="64">
                  <c:v>46.2</c:v>
                </c:pt>
                <c:pt idx="65">
                  <c:v>47.6</c:v>
                </c:pt>
                <c:pt idx="66">
                  <c:v>48.8</c:v>
                </c:pt>
                <c:pt idx="67">
                  <c:v>49.6</c:v>
                </c:pt>
                <c:pt idx="68">
                  <c:v>50.3</c:v>
                </c:pt>
                <c:pt idx="69">
                  <c:v>50.9</c:v>
                </c:pt>
                <c:pt idx="70">
                  <c:v>51.3</c:v>
                </c:pt>
                <c:pt idx="71">
                  <c:v>51.8</c:v>
                </c:pt>
                <c:pt idx="72">
                  <c:v>52.1</c:v>
                </c:pt>
                <c:pt idx="73">
                  <c:v>52.5</c:v>
                </c:pt>
                <c:pt idx="74">
                  <c:v>52.8</c:v>
                </c:pt>
                <c:pt idx="75">
                  <c:v>53</c:v>
                </c:pt>
                <c:pt idx="76">
                  <c:v>53.2</c:v>
                </c:pt>
                <c:pt idx="77">
                  <c:v>53.3</c:v>
                </c:pt>
                <c:pt idx="78">
                  <c:v>53.5</c:v>
                </c:pt>
                <c:pt idx="79">
                  <c:v>53.5</c:v>
                </c:pt>
                <c:pt idx="80">
                  <c:v>53.6</c:v>
                </c:pt>
                <c:pt idx="81">
                  <c:v>53.8</c:v>
                </c:pt>
                <c:pt idx="82">
                  <c:v>53.9</c:v>
                </c:pt>
                <c:pt idx="83">
                  <c:v>53.9</c:v>
                </c:pt>
                <c:pt idx="84">
                  <c:v>54.1</c:v>
                </c:pt>
                <c:pt idx="85">
                  <c:v>54.2</c:v>
                </c:pt>
                <c:pt idx="86">
                  <c:v>54.3</c:v>
                </c:pt>
                <c:pt idx="87">
                  <c:v>54.3</c:v>
                </c:pt>
                <c:pt idx="88">
                  <c:v>54.3</c:v>
                </c:pt>
                <c:pt idx="89">
                  <c:v>54.3</c:v>
                </c:pt>
                <c:pt idx="90">
                  <c:v>54.4</c:v>
                </c:pt>
                <c:pt idx="91">
                  <c:v>54.4</c:v>
                </c:pt>
                <c:pt idx="92">
                  <c:v>54.4</c:v>
                </c:pt>
                <c:pt idx="93">
                  <c:v>54.5</c:v>
                </c:pt>
                <c:pt idx="94">
                  <c:v>54.6</c:v>
                </c:pt>
                <c:pt idx="95">
                  <c:v>54.5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787-4AFE-B959-389F7A1D2121}"/>
            </c:ext>
          </c:extLst>
        </c:ser>
        <c:ser>
          <c:idx val="5"/>
          <c:order val="5"/>
          <c:tx>
            <c:strRef>
              <c:f>'косичка 450 кв.мм. H=100 мм.'!$K$168</c:f>
              <c:strCache>
                <c:ptCount val="1"/>
                <c:pt idx="0">
                  <c:v>Датчик 14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'косичка 450 кв.мм. H=100 мм.'!$A$169:$A$264</c:f>
              <c:numCache>
                <c:formatCode>General</c:formatCode>
                <c:ptCount val="9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  <c:pt idx="84">
                  <c:v>425</c:v>
                </c:pt>
                <c:pt idx="85">
                  <c:v>430</c:v>
                </c:pt>
                <c:pt idx="86">
                  <c:v>435</c:v>
                </c:pt>
                <c:pt idx="87">
                  <c:v>440</c:v>
                </c:pt>
                <c:pt idx="88">
                  <c:v>445</c:v>
                </c:pt>
                <c:pt idx="89">
                  <c:v>450</c:v>
                </c:pt>
                <c:pt idx="90">
                  <c:v>455</c:v>
                </c:pt>
                <c:pt idx="91">
                  <c:v>460</c:v>
                </c:pt>
                <c:pt idx="92">
                  <c:v>465</c:v>
                </c:pt>
                <c:pt idx="93">
                  <c:v>470</c:v>
                </c:pt>
                <c:pt idx="94">
                  <c:v>475</c:v>
                </c:pt>
                <c:pt idx="95">
                  <c:v>480</c:v>
                </c:pt>
              </c:numCache>
            </c:numRef>
          </c:xVal>
          <c:yVal>
            <c:numRef>
              <c:f>'косичка 450 кв.мм. H=100 мм.'!$K$169:$K$264</c:f>
              <c:numCache>
                <c:formatCode>General</c:formatCode>
                <c:ptCount val="96"/>
                <c:pt idx="0">
                  <c:v>29.7</c:v>
                </c:pt>
                <c:pt idx="1">
                  <c:v>30.9</c:v>
                </c:pt>
                <c:pt idx="2">
                  <c:v>32.299999999999997</c:v>
                </c:pt>
                <c:pt idx="3">
                  <c:v>33.299999999999997</c:v>
                </c:pt>
                <c:pt idx="4">
                  <c:v>34.299999999999997</c:v>
                </c:pt>
                <c:pt idx="5">
                  <c:v>35.1</c:v>
                </c:pt>
                <c:pt idx="6">
                  <c:v>35.6</c:v>
                </c:pt>
                <c:pt idx="7">
                  <c:v>36.4</c:v>
                </c:pt>
                <c:pt idx="8">
                  <c:v>36.9</c:v>
                </c:pt>
                <c:pt idx="9">
                  <c:v>37.299999999999997</c:v>
                </c:pt>
                <c:pt idx="10">
                  <c:v>37.700000000000003</c:v>
                </c:pt>
                <c:pt idx="11">
                  <c:v>38.200000000000003</c:v>
                </c:pt>
                <c:pt idx="12">
                  <c:v>38.700000000000003</c:v>
                </c:pt>
                <c:pt idx="13">
                  <c:v>39.1</c:v>
                </c:pt>
                <c:pt idx="14">
                  <c:v>39.200000000000003</c:v>
                </c:pt>
                <c:pt idx="15">
                  <c:v>39.5</c:v>
                </c:pt>
                <c:pt idx="16">
                  <c:v>39.9</c:v>
                </c:pt>
                <c:pt idx="17">
                  <c:v>39.9</c:v>
                </c:pt>
                <c:pt idx="18">
                  <c:v>40.1</c:v>
                </c:pt>
                <c:pt idx="19">
                  <c:v>40.4</c:v>
                </c:pt>
                <c:pt idx="20">
                  <c:v>40.6</c:v>
                </c:pt>
                <c:pt idx="21">
                  <c:v>40.9</c:v>
                </c:pt>
                <c:pt idx="22">
                  <c:v>41.1</c:v>
                </c:pt>
                <c:pt idx="23">
                  <c:v>41</c:v>
                </c:pt>
                <c:pt idx="24">
                  <c:v>41.1</c:v>
                </c:pt>
                <c:pt idx="25">
                  <c:v>41.2</c:v>
                </c:pt>
                <c:pt idx="26">
                  <c:v>41.4</c:v>
                </c:pt>
                <c:pt idx="27">
                  <c:v>41.5</c:v>
                </c:pt>
                <c:pt idx="28">
                  <c:v>41.7</c:v>
                </c:pt>
                <c:pt idx="29">
                  <c:v>42.4</c:v>
                </c:pt>
                <c:pt idx="30">
                  <c:v>43.3</c:v>
                </c:pt>
                <c:pt idx="31">
                  <c:v>44.1</c:v>
                </c:pt>
                <c:pt idx="32">
                  <c:v>44.7</c:v>
                </c:pt>
                <c:pt idx="33">
                  <c:v>45.2</c:v>
                </c:pt>
                <c:pt idx="34">
                  <c:v>45.5</c:v>
                </c:pt>
                <c:pt idx="35">
                  <c:v>45.7</c:v>
                </c:pt>
                <c:pt idx="36">
                  <c:v>46.2</c:v>
                </c:pt>
                <c:pt idx="37">
                  <c:v>46.3</c:v>
                </c:pt>
                <c:pt idx="38">
                  <c:v>46.5</c:v>
                </c:pt>
                <c:pt idx="39">
                  <c:v>46.8</c:v>
                </c:pt>
                <c:pt idx="40">
                  <c:v>46.9</c:v>
                </c:pt>
                <c:pt idx="41">
                  <c:v>46.9</c:v>
                </c:pt>
                <c:pt idx="42">
                  <c:v>47.1</c:v>
                </c:pt>
                <c:pt idx="43">
                  <c:v>47.2</c:v>
                </c:pt>
                <c:pt idx="44">
                  <c:v>47.5</c:v>
                </c:pt>
                <c:pt idx="45">
                  <c:v>47.5</c:v>
                </c:pt>
                <c:pt idx="46">
                  <c:v>47.6</c:v>
                </c:pt>
                <c:pt idx="47">
                  <c:v>47.7</c:v>
                </c:pt>
                <c:pt idx="48">
                  <c:v>47.7</c:v>
                </c:pt>
                <c:pt idx="49">
                  <c:v>47.7</c:v>
                </c:pt>
                <c:pt idx="50">
                  <c:v>47.8</c:v>
                </c:pt>
                <c:pt idx="51">
                  <c:v>47.9</c:v>
                </c:pt>
                <c:pt idx="52">
                  <c:v>48</c:v>
                </c:pt>
                <c:pt idx="53">
                  <c:v>48</c:v>
                </c:pt>
                <c:pt idx="54">
                  <c:v>48</c:v>
                </c:pt>
                <c:pt idx="55">
                  <c:v>48</c:v>
                </c:pt>
                <c:pt idx="56">
                  <c:v>48</c:v>
                </c:pt>
                <c:pt idx="57">
                  <c:v>48.1</c:v>
                </c:pt>
                <c:pt idx="58">
                  <c:v>48</c:v>
                </c:pt>
                <c:pt idx="59">
                  <c:v>47.9</c:v>
                </c:pt>
                <c:pt idx="60">
                  <c:v>48</c:v>
                </c:pt>
                <c:pt idx="61">
                  <c:v>48</c:v>
                </c:pt>
                <c:pt idx="62">
                  <c:v>48</c:v>
                </c:pt>
                <c:pt idx="63">
                  <c:v>48</c:v>
                </c:pt>
                <c:pt idx="64">
                  <c:v>48.2</c:v>
                </c:pt>
                <c:pt idx="65">
                  <c:v>49.4</c:v>
                </c:pt>
                <c:pt idx="66">
                  <c:v>50.4</c:v>
                </c:pt>
                <c:pt idx="67">
                  <c:v>51.3</c:v>
                </c:pt>
                <c:pt idx="68">
                  <c:v>51.9</c:v>
                </c:pt>
                <c:pt idx="69">
                  <c:v>52.6</c:v>
                </c:pt>
                <c:pt idx="70">
                  <c:v>53</c:v>
                </c:pt>
                <c:pt idx="71">
                  <c:v>53.5</c:v>
                </c:pt>
                <c:pt idx="72">
                  <c:v>54</c:v>
                </c:pt>
                <c:pt idx="73">
                  <c:v>54.3</c:v>
                </c:pt>
                <c:pt idx="74">
                  <c:v>54.6</c:v>
                </c:pt>
                <c:pt idx="75">
                  <c:v>54.8</c:v>
                </c:pt>
                <c:pt idx="76">
                  <c:v>55.1</c:v>
                </c:pt>
                <c:pt idx="77">
                  <c:v>55.2</c:v>
                </c:pt>
                <c:pt idx="78">
                  <c:v>55.4</c:v>
                </c:pt>
                <c:pt idx="79">
                  <c:v>55.4</c:v>
                </c:pt>
                <c:pt idx="80">
                  <c:v>55.6</c:v>
                </c:pt>
                <c:pt idx="81">
                  <c:v>55.8</c:v>
                </c:pt>
                <c:pt idx="82">
                  <c:v>55.9</c:v>
                </c:pt>
                <c:pt idx="83">
                  <c:v>56</c:v>
                </c:pt>
                <c:pt idx="84">
                  <c:v>56.1</c:v>
                </c:pt>
                <c:pt idx="85">
                  <c:v>56.2</c:v>
                </c:pt>
                <c:pt idx="86">
                  <c:v>56.3</c:v>
                </c:pt>
                <c:pt idx="87">
                  <c:v>56.3</c:v>
                </c:pt>
                <c:pt idx="88">
                  <c:v>56.3</c:v>
                </c:pt>
                <c:pt idx="89">
                  <c:v>56.3</c:v>
                </c:pt>
                <c:pt idx="90">
                  <c:v>56.3</c:v>
                </c:pt>
                <c:pt idx="91">
                  <c:v>56.4</c:v>
                </c:pt>
                <c:pt idx="92">
                  <c:v>56.5</c:v>
                </c:pt>
                <c:pt idx="93">
                  <c:v>56.4</c:v>
                </c:pt>
                <c:pt idx="94">
                  <c:v>56.5</c:v>
                </c:pt>
                <c:pt idx="95">
                  <c:v>56.5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787-4AFE-B959-389F7A1D2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026160"/>
        <c:axId val="396017632"/>
      </c:scatterChart>
      <c:valAx>
        <c:axId val="39602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6017632"/>
        <c:crosses val="autoZero"/>
        <c:crossBetween val="midCat"/>
      </c:valAx>
      <c:valAx>
        <c:axId val="3960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6026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'косичка 450 кв.мм. H=100 мм.'!$V$173:$AA$173</c:f>
              <c:numCache>
                <c:formatCode>General</c:formatCode>
                <c:ptCount val="6"/>
                <c:pt idx="0">
                  <c:v>13.4</c:v>
                </c:pt>
                <c:pt idx="1">
                  <c:v>19.899999999999999</c:v>
                </c:pt>
                <c:pt idx="2">
                  <c:v>29.3</c:v>
                </c:pt>
                <c:pt idx="3">
                  <c:v>30</c:v>
                </c:pt>
                <c:pt idx="4">
                  <c:v>45.8</c:v>
                </c:pt>
                <c:pt idx="5">
                  <c:v>73</c:v>
                </c:pt>
              </c:numCache>
            </c:numRef>
          </c:xVal>
          <c:yVal>
            <c:numRef>
              <c:f>'косичка 450 кв.мм. H=100 мм.'!$V$174:$AA$174</c:f>
              <c:numCache>
                <c:formatCode>General</c:formatCode>
                <c:ptCount val="6"/>
                <c:pt idx="0">
                  <c:v>1250</c:v>
                </c:pt>
                <c:pt idx="1">
                  <c:v>1600</c:v>
                </c:pt>
                <c:pt idx="2">
                  <c:v>2000</c:v>
                </c:pt>
                <c:pt idx="3">
                  <c:v>2000</c:v>
                </c:pt>
                <c:pt idx="4">
                  <c:v>2500</c:v>
                </c:pt>
                <c:pt idx="5">
                  <c:v>3200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85-4018-B82C-2927B2770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977864"/>
        <c:axId val="463978520"/>
      </c:scatterChart>
      <c:valAx>
        <c:axId val="463977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3978520"/>
        <c:crosses val="autoZero"/>
        <c:crossBetween val="midCat"/>
      </c:valAx>
      <c:valAx>
        <c:axId val="463978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3977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'косичка 450 кв.мм. H=100 мм.'!$M$115:$V$115</c:f>
              <c:numCache>
                <c:formatCode>General</c:formatCode>
                <c:ptCount val="10"/>
                <c:pt idx="4">
                  <c:v>31.8</c:v>
                </c:pt>
                <c:pt idx="5">
                  <c:v>50.1</c:v>
                </c:pt>
                <c:pt idx="6">
                  <c:v>79.900000000000006</c:v>
                </c:pt>
                <c:pt idx="8">
                  <c:v>33.700000000000003</c:v>
                </c:pt>
                <c:pt idx="9">
                  <c:v>49.9</c:v>
                </c:pt>
              </c:numCache>
            </c:numRef>
          </c:xVal>
          <c:yVal>
            <c:numRef>
              <c:f>'косичка 450 кв.мм. H=100 мм.'!$M$116:$V$116</c:f>
              <c:numCache>
                <c:formatCode>General</c:formatCode>
                <c:ptCount val="10"/>
                <c:pt idx="4">
                  <c:v>2000</c:v>
                </c:pt>
                <c:pt idx="5">
                  <c:v>2500</c:v>
                </c:pt>
                <c:pt idx="6">
                  <c:v>3200</c:v>
                </c:pt>
                <c:pt idx="8">
                  <c:v>2000</c:v>
                </c:pt>
                <c:pt idx="9" formatCode="0">
                  <c:v>2500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05-4662-AD5A-6222E5D52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938504"/>
        <c:axId val="463938832"/>
      </c:scatterChart>
      <c:valAx>
        <c:axId val="463938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3938832"/>
        <c:crosses val="autoZero"/>
        <c:crossBetween val="midCat"/>
      </c:valAx>
      <c:valAx>
        <c:axId val="46393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3938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'косичка 800 кв.мм. H=160 мм.'!$B$2</c:f>
              <c:strCache>
                <c:ptCount val="1"/>
                <c:pt idx="0">
                  <c:v>Icp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'косичка 800 кв.мм. H=160 мм.'!$A$3:$A$81</c:f>
              <c:numCache>
                <c:formatCode>General</c:formatCode>
                <c:ptCount val="7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</c:numCache>
            </c:numRef>
          </c:xVal>
          <c:yVal>
            <c:numRef>
              <c:f>'косичка 800 кв.мм. H=160 мм.'!$B$3:$B$81</c:f>
              <c:numCache>
                <c:formatCode>General</c:formatCode>
                <c:ptCount val="79"/>
                <c:pt idx="1">
                  <c:v>1618</c:v>
                </c:pt>
                <c:pt idx="2">
                  <c:v>1621</c:v>
                </c:pt>
                <c:pt idx="3">
                  <c:v>1616</c:v>
                </c:pt>
                <c:pt idx="4">
                  <c:v>1623</c:v>
                </c:pt>
                <c:pt idx="5">
                  <c:v>1623</c:v>
                </c:pt>
                <c:pt idx="6">
                  <c:v>1615</c:v>
                </c:pt>
                <c:pt idx="7">
                  <c:v>1616</c:v>
                </c:pt>
                <c:pt idx="8">
                  <c:v>1615</c:v>
                </c:pt>
                <c:pt idx="9">
                  <c:v>1610</c:v>
                </c:pt>
                <c:pt idx="10">
                  <c:v>1616</c:v>
                </c:pt>
                <c:pt idx="11">
                  <c:v>1608</c:v>
                </c:pt>
                <c:pt idx="12">
                  <c:v>1616</c:v>
                </c:pt>
                <c:pt idx="13">
                  <c:v>1608</c:v>
                </c:pt>
                <c:pt idx="14">
                  <c:v>1615</c:v>
                </c:pt>
                <c:pt idx="15">
                  <c:v>1613</c:v>
                </c:pt>
                <c:pt idx="16">
                  <c:v>1619</c:v>
                </c:pt>
                <c:pt idx="17">
                  <c:v>1619</c:v>
                </c:pt>
                <c:pt idx="18">
                  <c:v>1611</c:v>
                </c:pt>
                <c:pt idx="19">
                  <c:v>1614</c:v>
                </c:pt>
                <c:pt idx="20">
                  <c:v>1613</c:v>
                </c:pt>
                <c:pt idx="21">
                  <c:v>1607</c:v>
                </c:pt>
                <c:pt idx="22">
                  <c:v>1613</c:v>
                </c:pt>
                <c:pt idx="23">
                  <c:v>1602</c:v>
                </c:pt>
                <c:pt idx="24">
                  <c:v>1603</c:v>
                </c:pt>
                <c:pt idx="25">
                  <c:v>2012</c:v>
                </c:pt>
                <c:pt idx="26">
                  <c:v>2004</c:v>
                </c:pt>
                <c:pt idx="27">
                  <c:v>2003</c:v>
                </c:pt>
                <c:pt idx="28">
                  <c:v>2003</c:v>
                </c:pt>
                <c:pt idx="29">
                  <c:v>2005</c:v>
                </c:pt>
                <c:pt idx="30">
                  <c:v>2007</c:v>
                </c:pt>
                <c:pt idx="31">
                  <c:v>2013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1999</c:v>
                </c:pt>
                <c:pt idx="36">
                  <c:v>1992</c:v>
                </c:pt>
                <c:pt idx="37">
                  <c:v>2002</c:v>
                </c:pt>
                <c:pt idx="38">
                  <c:v>1995</c:v>
                </c:pt>
                <c:pt idx="39">
                  <c:v>1996</c:v>
                </c:pt>
                <c:pt idx="40">
                  <c:v>2002</c:v>
                </c:pt>
                <c:pt idx="41">
                  <c:v>2001</c:v>
                </c:pt>
                <c:pt idx="42">
                  <c:v>1994</c:v>
                </c:pt>
                <c:pt idx="43">
                  <c:v>2003</c:v>
                </c:pt>
                <c:pt idx="44">
                  <c:v>2009</c:v>
                </c:pt>
                <c:pt idx="45">
                  <c:v>2005</c:v>
                </c:pt>
                <c:pt idx="46">
                  <c:v>2012</c:v>
                </c:pt>
                <c:pt idx="47">
                  <c:v>2016</c:v>
                </c:pt>
                <c:pt idx="48">
                  <c:v>2014</c:v>
                </c:pt>
                <c:pt idx="49">
                  <c:v>2009</c:v>
                </c:pt>
                <c:pt idx="50">
                  <c:v>2017</c:v>
                </c:pt>
                <c:pt idx="51">
                  <c:v>2123</c:v>
                </c:pt>
                <c:pt idx="52">
                  <c:v>2507</c:v>
                </c:pt>
                <c:pt idx="53">
                  <c:v>2500</c:v>
                </c:pt>
                <c:pt idx="54">
                  <c:v>2492</c:v>
                </c:pt>
                <c:pt idx="55">
                  <c:v>2500</c:v>
                </c:pt>
                <c:pt idx="56">
                  <c:v>2491</c:v>
                </c:pt>
                <c:pt idx="57">
                  <c:v>2493</c:v>
                </c:pt>
                <c:pt idx="58">
                  <c:v>2490</c:v>
                </c:pt>
                <c:pt idx="59">
                  <c:v>2487</c:v>
                </c:pt>
                <c:pt idx="60">
                  <c:v>2510</c:v>
                </c:pt>
                <c:pt idx="61">
                  <c:v>2502</c:v>
                </c:pt>
                <c:pt idx="62">
                  <c:v>2509</c:v>
                </c:pt>
                <c:pt idx="63">
                  <c:v>2494</c:v>
                </c:pt>
                <c:pt idx="64">
                  <c:v>2499</c:v>
                </c:pt>
                <c:pt idx="65">
                  <c:v>2491</c:v>
                </c:pt>
                <c:pt idx="66">
                  <c:v>2481</c:v>
                </c:pt>
                <c:pt idx="67">
                  <c:v>2479</c:v>
                </c:pt>
                <c:pt idx="68">
                  <c:v>2490</c:v>
                </c:pt>
                <c:pt idx="69">
                  <c:v>2482</c:v>
                </c:pt>
                <c:pt idx="70">
                  <c:v>2477</c:v>
                </c:pt>
                <c:pt idx="71">
                  <c:v>2476</c:v>
                </c:pt>
                <c:pt idx="72">
                  <c:v>2477</c:v>
                </c:pt>
                <c:pt idx="73">
                  <c:v>2488</c:v>
                </c:pt>
                <c:pt idx="74">
                  <c:v>2479</c:v>
                </c:pt>
                <c:pt idx="75">
                  <c:v>2483</c:v>
                </c:pt>
                <c:pt idx="76">
                  <c:v>2480</c:v>
                </c:pt>
                <c:pt idx="77">
                  <c:v>2490</c:v>
                </c:pt>
                <c:pt idx="78">
                  <c:v>2488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3C-499F-927C-BA544E191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867496"/>
        <c:axId val="428870120"/>
      </c:scatterChart>
      <c:valAx>
        <c:axId val="428867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8870120"/>
        <c:crosses val="autoZero"/>
        <c:crossBetween val="midCat"/>
      </c:valAx>
      <c:valAx>
        <c:axId val="428870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8867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'косичка 800 кв.мм. H=160 мм.'!$F$2</c:f>
              <c:strCache>
                <c:ptCount val="1"/>
                <c:pt idx="0">
                  <c:v>Датчик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'косичка 800 кв.мм. H=160 мм.'!$A$3:$A$81</c:f>
              <c:numCache>
                <c:formatCode>General</c:formatCode>
                <c:ptCount val="7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</c:numCache>
            </c:numRef>
          </c:xVal>
          <c:yVal>
            <c:numRef>
              <c:f>'косичка 800 кв.мм. H=160 мм.'!$F$3:$F$81</c:f>
              <c:numCache>
                <c:formatCode>General</c:formatCode>
                <c:ptCount val="79"/>
                <c:pt idx="0">
                  <c:v>27.6</c:v>
                </c:pt>
                <c:pt idx="1">
                  <c:v>30.5</c:v>
                </c:pt>
                <c:pt idx="2">
                  <c:v>33.299999999999997</c:v>
                </c:pt>
                <c:pt idx="3">
                  <c:v>35.6</c:v>
                </c:pt>
                <c:pt idx="4">
                  <c:v>37.299999999999997</c:v>
                </c:pt>
                <c:pt idx="5">
                  <c:v>38.9</c:v>
                </c:pt>
                <c:pt idx="6">
                  <c:v>40.200000000000003</c:v>
                </c:pt>
                <c:pt idx="7">
                  <c:v>40.700000000000003</c:v>
                </c:pt>
                <c:pt idx="8">
                  <c:v>40.9</c:v>
                </c:pt>
                <c:pt idx="9">
                  <c:v>41.5</c:v>
                </c:pt>
                <c:pt idx="10">
                  <c:v>41.9</c:v>
                </c:pt>
                <c:pt idx="11">
                  <c:v>42</c:v>
                </c:pt>
                <c:pt idx="12">
                  <c:v>42.2</c:v>
                </c:pt>
                <c:pt idx="13">
                  <c:v>42.5</c:v>
                </c:pt>
                <c:pt idx="14">
                  <c:v>42.6</c:v>
                </c:pt>
                <c:pt idx="15">
                  <c:v>42.8</c:v>
                </c:pt>
                <c:pt idx="16">
                  <c:v>43.1</c:v>
                </c:pt>
                <c:pt idx="17">
                  <c:v>43.7</c:v>
                </c:pt>
                <c:pt idx="18">
                  <c:v>44.2</c:v>
                </c:pt>
                <c:pt idx="19">
                  <c:v>44.6</c:v>
                </c:pt>
                <c:pt idx="20">
                  <c:v>45</c:v>
                </c:pt>
                <c:pt idx="21">
                  <c:v>45.2</c:v>
                </c:pt>
                <c:pt idx="22">
                  <c:v>45.4</c:v>
                </c:pt>
                <c:pt idx="23">
                  <c:v>45.5</c:v>
                </c:pt>
                <c:pt idx="24">
                  <c:v>45.5</c:v>
                </c:pt>
                <c:pt idx="25">
                  <c:v>46.2</c:v>
                </c:pt>
                <c:pt idx="26">
                  <c:v>48.5</c:v>
                </c:pt>
                <c:pt idx="27">
                  <c:v>50.1</c:v>
                </c:pt>
                <c:pt idx="28">
                  <c:v>51.3</c:v>
                </c:pt>
                <c:pt idx="29">
                  <c:v>52.1</c:v>
                </c:pt>
                <c:pt idx="30">
                  <c:v>52.6</c:v>
                </c:pt>
                <c:pt idx="31">
                  <c:v>52.9</c:v>
                </c:pt>
                <c:pt idx="32">
                  <c:v>53.3</c:v>
                </c:pt>
                <c:pt idx="33">
                  <c:v>53.8</c:v>
                </c:pt>
                <c:pt idx="34">
                  <c:v>53.8</c:v>
                </c:pt>
                <c:pt idx="35">
                  <c:v>54.1</c:v>
                </c:pt>
                <c:pt idx="36">
                  <c:v>54.2</c:v>
                </c:pt>
                <c:pt idx="37">
                  <c:v>54.4</c:v>
                </c:pt>
                <c:pt idx="38">
                  <c:v>54.6</c:v>
                </c:pt>
                <c:pt idx="39">
                  <c:v>54.7</c:v>
                </c:pt>
                <c:pt idx="40">
                  <c:v>54.9</c:v>
                </c:pt>
                <c:pt idx="41">
                  <c:v>55.1</c:v>
                </c:pt>
                <c:pt idx="42">
                  <c:v>55.1</c:v>
                </c:pt>
                <c:pt idx="43">
                  <c:v>55.3</c:v>
                </c:pt>
                <c:pt idx="44">
                  <c:v>55.6</c:v>
                </c:pt>
                <c:pt idx="45">
                  <c:v>55.8</c:v>
                </c:pt>
                <c:pt idx="46">
                  <c:v>55.8</c:v>
                </c:pt>
                <c:pt idx="47">
                  <c:v>55.8</c:v>
                </c:pt>
                <c:pt idx="48">
                  <c:v>56</c:v>
                </c:pt>
                <c:pt idx="49">
                  <c:v>56.1</c:v>
                </c:pt>
                <c:pt idx="50">
                  <c:v>56.4</c:v>
                </c:pt>
                <c:pt idx="51">
                  <c:v>56.4</c:v>
                </c:pt>
                <c:pt idx="52">
                  <c:v>59.4</c:v>
                </c:pt>
                <c:pt idx="53">
                  <c:v>61.9</c:v>
                </c:pt>
                <c:pt idx="54">
                  <c:v>63.7</c:v>
                </c:pt>
                <c:pt idx="55">
                  <c:v>64.900000000000006</c:v>
                </c:pt>
                <c:pt idx="56">
                  <c:v>65.900000000000006</c:v>
                </c:pt>
                <c:pt idx="57">
                  <c:v>66.599999999999994</c:v>
                </c:pt>
                <c:pt idx="58">
                  <c:v>67.099999999999994</c:v>
                </c:pt>
                <c:pt idx="59">
                  <c:v>67.5</c:v>
                </c:pt>
                <c:pt idx="60">
                  <c:v>68</c:v>
                </c:pt>
                <c:pt idx="61">
                  <c:v>68.5</c:v>
                </c:pt>
                <c:pt idx="62">
                  <c:v>68.900000000000006</c:v>
                </c:pt>
                <c:pt idx="63">
                  <c:v>69.2</c:v>
                </c:pt>
                <c:pt idx="64">
                  <c:v>69.400000000000006</c:v>
                </c:pt>
                <c:pt idx="65">
                  <c:v>69.7</c:v>
                </c:pt>
                <c:pt idx="66">
                  <c:v>69.7</c:v>
                </c:pt>
                <c:pt idx="67">
                  <c:v>70</c:v>
                </c:pt>
                <c:pt idx="68">
                  <c:v>69.900000000000006</c:v>
                </c:pt>
                <c:pt idx="69">
                  <c:v>69.900000000000006</c:v>
                </c:pt>
                <c:pt idx="70">
                  <c:v>70</c:v>
                </c:pt>
                <c:pt idx="71">
                  <c:v>69.900000000000006</c:v>
                </c:pt>
                <c:pt idx="72">
                  <c:v>69.8</c:v>
                </c:pt>
                <c:pt idx="73">
                  <c:v>69.7</c:v>
                </c:pt>
                <c:pt idx="74">
                  <c:v>69.8</c:v>
                </c:pt>
                <c:pt idx="75">
                  <c:v>70</c:v>
                </c:pt>
                <c:pt idx="76">
                  <c:v>70.2</c:v>
                </c:pt>
                <c:pt idx="77">
                  <c:v>70.099999999999994</c:v>
                </c:pt>
                <c:pt idx="78">
                  <c:v>70.099999999999994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3B-46CA-BB0A-34195E97DFE5}"/>
            </c:ext>
          </c:extLst>
        </c:ser>
        <c:ser>
          <c:idx val="1"/>
          <c:order val="1"/>
          <c:tx>
            <c:strRef>
              <c:f>'косичка 800 кв.мм. H=160 мм.'!$G$2</c:f>
              <c:strCache>
                <c:ptCount val="1"/>
                <c:pt idx="0">
                  <c:v>Датчик 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'косичка 800 кв.мм. H=160 мм.'!$A$3:$A$81</c:f>
              <c:numCache>
                <c:formatCode>General</c:formatCode>
                <c:ptCount val="7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</c:numCache>
            </c:numRef>
          </c:xVal>
          <c:yVal>
            <c:numRef>
              <c:f>'косичка 800 кв.мм. H=160 мм.'!$G$3:$G$81</c:f>
              <c:numCache>
                <c:formatCode>General</c:formatCode>
                <c:ptCount val="79"/>
                <c:pt idx="0">
                  <c:v>28.5</c:v>
                </c:pt>
                <c:pt idx="1">
                  <c:v>33.200000000000003</c:v>
                </c:pt>
                <c:pt idx="2">
                  <c:v>36.6</c:v>
                </c:pt>
                <c:pt idx="3">
                  <c:v>38.799999999999997</c:v>
                </c:pt>
                <c:pt idx="4">
                  <c:v>40.1</c:v>
                </c:pt>
                <c:pt idx="5">
                  <c:v>41.6</c:v>
                </c:pt>
                <c:pt idx="6">
                  <c:v>42.6</c:v>
                </c:pt>
                <c:pt idx="7">
                  <c:v>43.1</c:v>
                </c:pt>
                <c:pt idx="8">
                  <c:v>43.2</c:v>
                </c:pt>
                <c:pt idx="9">
                  <c:v>43.7</c:v>
                </c:pt>
                <c:pt idx="10">
                  <c:v>44.1</c:v>
                </c:pt>
                <c:pt idx="11">
                  <c:v>44.3</c:v>
                </c:pt>
                <c:pt idx="12">
                  <c:v>44.3</c:v>
                </c:pt>
                <c:pt idx="13">
                  <c:v>44.6</c:v>
                </c:pt>
                <c:pt idx="14">
                  <c:v>44.7</c:v>
                </c:pt>
                <c:pt idx="15">
                  <c:v>45</c:v>
                </c:pt>
                <c:pt idx="16">
                  <c:v>45.3</c:v>
                </c:pt>
                <c:pt idx="17">
                  <c:v>45.9</c:v>
                </c:pt>
                <c:pt idx="18">
                  <c:v>46.5</c:v>
                </c:pt>
                <c:pt idx="19">
                  <c:v>46.9</c:v>
                </c:pt>
                <c:pt idx="20">
                  <c:v>47.4</c:v>
                </c:pt>
                <c:pt idx="21">
                  <c:v>47.6</c:v>
                </c:pt>
                <c:pt idx="22">
                  <c:v>47.8</c:v>
                </c:pt>
                <c:pt idx="23">
                  <c:v>47.9</c:v>
                </c:pt>
                <c:pt idx="24">
                  <c:v>47.9</c:v>
                </c:pt>
                <c:pt idx="25">
                  <c:v>49.1</c:v>
                </c:pt>
                <c:pt idx="26">
                  <c:v>51.8</c:v>
                </c:pt>
                <c:pt idx="27">
                  <c:v>53.7</c:v>
                </c:pt>
                <c:pt idx="28">
                  <c:v>54.8</c:v>
                </c:pt>
                <c:pt idx="29">
                  <c:v>55.6</c:v>
                </c:pt>
                <c:pt idx="30">
                  <c:v>56</c:v>
                </c:pt>
                <c:pt idx="31">
                  <c:v>56.4</c:v>
                </c:pt>
                <c:pt idx="32">
                  <c:v>56.7</c:v>
                </c:pt>
                <c:pt idx="33">
                  <c:v>57.1</c:v>
                </c:pt>
                <c:pt idx="34">
                  <c:v>57.2</c:v>
                </c:pt>
                <c:pt idx="35">
                  <c:v>57.6</c:v>
                </c:pt>
                <c:pt idx="36">
                  <c:v>57.7</c:v>
                </c:pt>
                <c:pt idx="37">
                  <c:v>57.8</c:v>
                </c:pt>
                <c:pt idx="38">
                  <c:v>57.9</c:v>
                </c:pt>
                <c:pt idx="39">
                  <c:v>58</c:v>
                </c:pt>
                <c:pt idx="40">
                  <c:v>58.5</c:v>
                </c:pt>
                <c:pt idx="41">
                  <c:v>58.5</c:v>
                </c:pt>
                <c:pt idx="42">
                  <c:v>58.5</c:v>
                </c:pt>
                <c:pt idx="43">
                  <c:v>58.7</c:v>
                </c:pt>
                <c:pt idx="44">
                  <c:v>59</c:v>
                </c:pt>
                <c:pt idx="45">
                  <c:v>59.2</c:v>
                </c:pt>
                <c:pt idx="46">
                  <c:v>59.3</c:v>
                </c:pt>
                <c:pt idx="47">
                  <c:v>59.3</c:v>
                </c:pt>
                <c:pt idx="48">
                  <c:v>59.4</c:v>
                </c:pt>
                <c:pt idx="49">
                  <c:v>59.5</c:v>
                </c:pt>
                <c:pt idx="50">
                  <c:v>59.8</c:v>
                </c:pt>
                <c:pt idx="51">
                  <c:v>59.9</c:v>
                </c:pt>
                <c:pt idx="52">
                  <c:v>64.2</c:v>
                </c:pt>
                <c:pt idx="53">
                  <c:v>66.900000000000006</c:v>
                </c:pt>
                <c:pt idx="54">
                  <c:v>68.7</c:v>
                </c:pt>
                <c:pt idx="55">
                  <c:v>70</c:v>
                </c:pt>
                <c:pt idx="56">
                  <c:v>70.8</c:v>
                </c:pt>
                <c:pt idx="57">
                  <c:v>71.599999999999994</c:v>
                </c:pt>
                <c:pt idx="58">
                  <c:v>72</c:v>
                </c:pt>
                <c:pt idx="59">
                  <c:v>72.400000000000006</c:v>
                </c:pt>
                <c:pt idx="60">
                  <c:v>73</c:v>
                </c:pt>
                <c:pt idx="61">
                  <c:v>73.400000000000006</c:v>
                </c:pt>
                <c:pt idx="62">
                  <c:v>73.900000000000006</c:v>
                </c:pt>
                <c:pt idx="63">
                  <c:v>74.2</c:v>
                </c:pt>
                <c:pt idx="64">
                  <c:v>74.3</c:v>
                </c:pt>
                <c:pt idx="65">
                  <c:v>74.599999999999994</c:v>
                </c:pt>
                <c:pt idx="66">
                  <c:v>74.599999999999994</c:v>
                </c:pt>
                <c:pt idx="67">
                  <c:v>74.8</c:v>
                </c:pt>
                <c:pt idx="68">
                  <c:v>74.8</c:v>
                </c:pt>
                <c:pt idx="69">
                  <c:v>74.8</c:v>
                </c:pt>
                <c:pt idx="70">
                  <c:v>74.8</c:v>
                </c:pt>
                <c:pt idx="71">
                  <c:v>74.7</c:v>
                </c:pt>
                <c:pt idx="72">
                  <c:v>74.599999999999994</c:v>
                </c:pt>
                <c:pt idx="73">
                  <c:v>74.5</c:v>
                </c:pt>
                <c:pt idx="74">
                  <c:v>74.7</c:v>
                </c:pt>
                <c:pt idx="75">
                  <c:v>74.8</c:v>
                </c:pt>
                <c:pt idx="76">
                  <c:v>75.099999999999994</c:v>
                </c:pt>
                <c:pt idx="77">
                  <c:v>74.900000000000006</c:v>
                </c:pt>
                <c:pt idx="78">
                  <c:v>74.8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3B-46CA-BB0A-34195E97DFE5}"/>
            </c:ext>
          </c:extLst>
        </c:ser>
        <c:ser>
          <c:idx val="2"/>
          <c:order val="2"/>
          <c:tx>
            <c:strRef>
              <c:f>'косичка 800 кв.мм. H=160 мм.'!$H$2</c:f>
              <c:strCache>
                <c:ptCount val="1"/>
                <c:pt idx="0">
                  <c:v>Датчик 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'косичка 800 кв.мм. H=160 мм.'!$A$3:$A$81</c:f>
              <c:numCache>
                <c:formatCode>General</c:formatCode>
                <c:ptCount val="7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</c:numCache>
            </c:numRef>
          </c:xVal>
          <c:yVal>
            <c:numRef>
              <c:f>'косичка 800 кв.мм. H=160 мм.'!$H$3:$H$81</c:f>
              <c:numCache>
                <c:formatCode>General</c:formatCode>
                <c:ptCount val="79"/>
                <c:pt idx="0">
                  <c:v>26.9</c:v>
                </c:pt>
                <c:pt idx="1">
                  <c:v>27.1</c:v>
                </c:pt>
                <c:pt idx="2">
                  <c:v>27.2</c:v>
                </c:pt>
                <c:pt idx="3">
                  <c:v>27.1</c:v>
                </c:pt>
                <c:pt idx="4">
                  <c:v>27.2</c:v>
                </c:pt>
                <c:pt idx="5">
                  <c:v>27.7</c:v>
                </c:pt>
                <c:pt idx="6">
                  <c:v>27.1</c:v>
                </c:pt>
                <c:pt idx="7">
                  <c:v>26.5</c:v>
                </c:pt>
                <c:pt idx="8">
                  <c:v>26.3</c:v>
                </c:pt>
                <c:pt idx="9">
                  <c:v>26</c:v>
                </c:pt>
                <c:pt idx="10">
                  <c:v>25.8</c:v>
                </c:pt>
                <c:pt idx="11">
                  <c:v>26</c:v>
                </c:pt>
                <c:pt idx="12">
                  <c:v>26</c:v>
                </c:pt>
                <c:pt idx="13">
                  <c:v>25.8</c:v>
                </c:pt>
                <c:pt idx="14">
                  <c:v>25.7</c:v>
                </c:pt>
                <c:pt idx="15">
                  <c:v>25.7</c:v>
                </c:pt>
                <c:pt idx="16">
                  <c:v>27</c:v>
                </c:pt>
                <c:pt idx="17">
                  <c:v>26.9</c:v>
                </c:pt>
                <c:pt idx="18">
                  <c:v>27.4</c:v>
                </c:pt>
                <c:pt idx="19">
                  <c:v>27.8</c:v>
                </c:pt>
                <c:pt idx="20">
                  <c:v>27.3</c:v>
                </c:pt>
                <c:pt idx="21">
                  <c:v>27.5</c:v>
                </c:pt>
                <c:pt idx="22">
                  <c:v>27.4</c:v>
                </c:pt>
                <c:pt idx="23">
                  <c:v>27.6</c:v>
                </c:pt>
                <c:pt idx="24">
                  <c:v>27.5</c:v>
                </c:pt>
                <c:pt idx="25">
                  <c:v>28</c:v>
                </c:pt>
                <c:pt idx="26">
                  <c:v>28.2</c:v>
                </c:pt>
                <c:pt idx="27">
                  <c:v>28.2</c:v>
                </c:pt>
                <c:pt idx="28">
                  <c:v>28.1</c:v>
                </c:pt>
                <c:pt idx="29">
                  <c:v>27.3</c:v>
                </c:pt>
                <c:pt idx="30">
                  <c:v>27</c:v>
                </c:pt>
                <c:pt idx="31">
                  <c:v>26.9</c:v>
                </c:pt>
                <c:pt idx="32">
                  <c:v>27.4</c:v>
                </c:pt>
                <c:pt idx="33">
                  <c:v>27.6</c:v>
                </c:pt>
                <c:pt idx="34">
                  <c:v>27.1</c:v>
                </c:pt>
                <c:pt idx="35">
                  <c:v>27.1</c:v>
                </c:pt>
                <c:pt idx="36">
                  <c:v>26.9</c:v>
                </c:pt>
                <c:pt idx="37">
                  <c:v>27</c:v>
                </c:pt>
                <c:pt idx="38">
                  <c:v>27.1</c:v>
                </c:pt>
                <c:pt idx="39">
                  <c:v>27.2</c:v>
                </c:pt>
                <c:pt idx="40">
                  <c:v>27.7</c:v>
                </c:pt>
                <c:pt idx="41">
                  <c:v>27.2</c:v>
                </c:pt>
                <c:pt idx="42">
                  <c:v>27.1</c:v>
                </c:pt>
                <c:pt idx="43">
                  <c:v>27.3</c:v>
                </c:pt>
                <c:pt idx="44">
                  <c:v>27.6</c:v>
                </c:pt>
                <c:pt idx="45">
                  <c:v>27.6</c:v>
                </c:pt>
                <c:pt idx="46">
                  <c:v>27.8</c:v>
                </c:pt>
                <c:pt idx="47">
                  <c:v>27.7</c:v>
                </c:pt>
                <c:pt idx="48">
                  <c:v>27.8</c:v>
                </c:pt>
                <c:pt idx="49">
                  <c:v>27.8</c:v>
                </c:pt>
                <c:pt idx="50">
                  <c:v>27.9</c:v>
                </c:pt>
                <c:pt idx="51">
                  <c:v>27.6</c:v>
                </c:pt>
                <c:pt idx="52">
                  <c:v>27.4</c:v>
                </c:pt>
                <c:pt idx="53">
                  <c:v>27.6</c:v>
                </c:pt>
                <c:pt idx="54">
                  <c:v>27.6</c:v>
                </c:pt>
                <c:pt idx="55">
                  <c:v>27.4</c:v>
                </c:pt>
                <c:pt idx="56">
                  <c:v>27.2</c:v>
                </c:pt>
                <c:pt idx="57">
                  <c:v>27</c:v>
                </c:pt>
                <c:pt idx="58">
                  <c:v>26.9</c:v>
                </c:pt>
                <c:pt idx="59">
                  <c:v>26.9</c:v>
                </c:pt>
                <c:pt idx="60">
                  <c:v>27</c:v>
                </c:pt>
                <c:pt idx="61">
                  <c:v>27.1</c:v>
                </c:pt>
                <c:pt idx="62">
                  <c:v>27.3</c:v>
                </c:pt>
                <c:pt idx="63">
                  <c:v>27.3</c:v>
                </c:pt>
                <c:pt idx="64">
                  <c:v>27.4</c:v>
                </c:pt>
                <c:pt idx="65">
                  <c:v>27.5</c:v>
                </c:pt>
                <c:pt idx="66">
                  <c:v>27.4</c:v>
                </c:pt>
                <c:pt idx="67">
                  <c:v>27.2</c:v>
                </c:pt>
                <c:pt idx="68">
                  <c:v>27.1</c:v>
                </c:pt>
                <c:pt idx="69">
                  <c:v>27.1</c:v>
                </c:pt>
                <c:pt idx="70">
                  <c:v>27.3</c:v>
                </c:pt>
                <c:pt idx="71">
                  <c:v>27.3</c:v>
                </c:pt>
                <c:pt idx="72">
                  <c:v>27.5</c:v>
                </c:pt>
                <c:pt idx="73">
                  <c:v>27.5</c:v>
                </c:pt>
                <c:pt idx="74">
                  <c:v>27.5</c:v>
                </c:pt>
                <c:pt idx="75">
                  <c:v>27.5</c:v>
                </c:pt>
                <c:pt idx="76">
                  <c:v>27.4</c:v>
                </c:pt>
                <c:pt idx="77">
                  <c:v>27.2</c:v>
                </c:pt>
                <c:pt idx="78">
                  <c:v>27.2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23B-46CA-BB0A-34195E97DFE5}"/>
            </c:ext>
          </c:extLst>
        </c:ser>
        <c:ser>
          <c:idx val="3"/>
          <c:order val="3"/>
          <c:tx>
            <c:strRef>
              <c:f>'косичка 800 кв.мм. H=160 мм.'!$I$2</c:f>
              <c:strCache>
                <c:ptCount val="1"/>
                <c:pt idx="0">
                  <c:v>Датчик 14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'косичка 800 кв.мм. H=160 мм.'!$A$3:$A$81</c:f>
              <c:numCache>
                <c:formatCode>General</c:formatCode>
                <c:ptCount val="7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</c:numCache>
            </c:numRef>
          </c:xVal>
          <c:yVal>
            <c:numRef>
              <c:f>'косичка 800 кв.мм. H=160 мм.'!$I$3:$I$81</c:f>
              <c:numCache>
                <c:formatCode>General</c:formatCode>
                <c:ptCount val="79"/>
                <c:pt idx="0">
                  <c:v>27.9</c:v>
                </c:pt>
                <c:pt idx="1">
                  <c:v>30.4</c:v>
                </c:pt>
                <c:pt idx="2">
                  <c:v>33</c:v>
                </c:pt>
                <c:pt idx="3">
                  <c:v>35.1</c:v>
                </c:pt>
                <c:pt idx="4">
                  <c:v>36.700000000000003</c:v>
                </c:pt>
                <c:pt idx="5">
                  <c:v>38.4</c:v>
                </c:pt>
                <c:pt idx="6">
                  <c:v>39.6</c:v>
                </c:pt>
                <c:pt idx="7">
                  <c:v>40.299999999999997</c:v>
                </c:pt>
                <c:pt idx="8">
                  <c:v>40.799999999999997</c:v>
                </c:pt>
                <c:pt idx="9">
                  <c:v>41.4</c:v>
                </c:pt>
                <c:pt idx="10">
                  <c:v>42</c:v>
                </c:pt>
                <c:pt idx="11">
                  <c:v>42.3</c:v>
                </c:pt>
                <c:pt idx="12">
                  <c:v>42.5</c:v>
                </c:pt>
                <c:pt idx="13">
                  <c:v>42.9</c:v>
                </c:pt>
                <c:pt idx="14">
                  <c:v>42.9</c:v>
                </c:pt>
                <c:pt idx="15">
                  <c:v>43.1</c:v>
                </c:pt>
                <c:pt idx="16">
                  <c:v>43.5</c:v>
                </c:pt>
                <c:pt idx="17">
                  <c:v>44</c:v>
                </c:pt>
                <c:pt idx="18">
                  <c:v>44.5</c:v>
                </c:pt>
                <c:pt idx="19">
                  <c:v>44.9</c:v>
                </c:pt>
                <c:pt idx="20">
                  <c:v>45.3</c:v>
                </c:pt>
                <c:pt idx="21">
                  <c:v>45.5</c:v>
                </c:pt>
                <c:pt idx="22">
                  <c:v>45.7</c:v>
                </c:pt>
                <c:pt idx="23">
                  <c:v>45.8</c:v>
                </c:pt>
                <c:pt idx="24">
                  <c:v>45.9</c:v>
                </c:pt>
                <c:pt idx="25">
                  <c:v>46.5</c:v>
                </c:pt>
                <c:pt idx="26">
                  <c:v>48.4</c:v>
                </c:pt>
                <c:pt idx="27">
                  <c:v>49.8</c:v>
                </c:pt>
                <c:pt idx="28">
                  <c:v>50.9</c:v>
                </c:pt>
                <c:pt idx="29">
                  <c:v>51.7</c:v>
                </c:pt>
                <c:pt idx="30">
                  <c:v>52.3</c:v>
                </c:pt>
                <c:pt idx="31">
                  <c:v>52.7</c:v>
                </c:pt>
                <c:pt idx="32">
                  <c:v>53.1</c:v>
                </c:pt>
                <c:pt idx="33">
                  <c:v>53.5</c:v>
                </c:pt>
                <c:pt idx="34">
                  <c:v>53.7</c:v>
                </c:pt>
                <c:pt idx="35">
                  <c:v>54</c:v>
                </c:pt>
                <c:pt idx="36">
                  <c:v>54.1</c:v>
                </c:pt>
                <c:pt idx="37">
                  <c:v>54.3</c:v>
                </c:pt>
                <c:pt idx="38">
                  <c:v>54.5</c:v>
                </c:pt>
                <c:pt idx="39">
                  <c:v>54.7</c:v>
                </c:pt>
                <c:pt idx="40">
                  <c:v>54.9</c:v>
                </c:pt>
                <c:pt idx="41">
                  <c:v>55.1</c:v>
                </c:pt>
                <c:pt idx="42">
                  <c:v>55.1</c:v>
                </c:pt>
                <c:pt idx="43">
                  <c:v>55.3</c:v>
                </c:pt>
                <c:pt idx="44">
                  <c:v>55.5</c:v>
                </c:pt>
                <c:pt idx="45">
                  <c:v>55.7</c:v>
                </c:pt>
                <c:pt idx="46">
                  <c:v>55.8</c:v>
                </c:pt>
                <c:pt idx="47">
                  <c:v>55.9</c:v>
                </c:pt>
                <c:pt idx="48">
                  <c:v>56</c:v>
                </c:pt>
                <c:pt idx="49">
                  <c:v>56.1</c:v>
                </c:pt>
                <c:pt idx="50">
                  <c:v>56.2</c:v>
                </c:pt>
                <c:pt idx="51">
                  <c:v>56.3</c:v>
                </c:pt>
                <c:pt idx="52">
                  <c:v>58.7</c:v>
                </c:pt>
                <c:pt idx="53">
                  <c:v>60.8</c:v>
                </c:pt>
                <c:pt idx="54">
                  <c:v>62.3</c:v>
                </c:pt>
                <c:pt idx="55">
                  <c:v>63.5</c:v>
                </c:pt>
                <c:pt idx="56">
                  <c:v>64.5</c:v>
                </c:pt>
                <c:pt idx="57">
                  <c:v>65.3</c:v>
                </c:pt>
                <c:pt idx="58">
                  <c:v>65.8</c:v>
                </c:pt>
                <c:pt idx="59">
                  <c:v>66.3</c:v>
                </c:pt>
                <c:pt idx="60">
                  <c:v>66.7</c:v>
                </c:pt>
                <c:pt idx="61">
                  <c:v>67.2</c:v>
                </c:pt>
                <c:pt idx="62">
                  <c:v>67.7</c:v>
                </c:pt>
                <c:pt idx="63">
                  <c:v>67.900000000000006</c:v>
                </c:pt>
                <c:pt idx="64">
                  <c:v>68.3</c:v>
                </c:pt>
                <c:pt idx="65">
                  <c:v>68.599999999999994</c:v>
                </c:pt>
                <c:pt idx="66">
                  <c:v>68.7</c:v>
                </c:pt>
                <c:pt idx="67">
                  <c:v>68.8</c:v>
                </c:pt>
                <c:pt idx="68">
                  <c:v>68.900000000000006</c:v>
                </c:pt>
                <c:pt idx="69">
                  <c:v>68.900000000000006</c:v>
                </c:pt>
                <c:pt idx="70">
                  <c:v>69</c:v>
                </c:pt>
                <c:pt idx="71">
                  <c:v>69</c:v>
                </c:pt>
                <c:pt idx="72">
                  <c:v>69</c:v>
                </c:pt>
                <c:pt idx="73">
                  <c:v>68.900000000000006</c:v>
                </c:pt>
                <c:pt idx="74">
                  <c:v>69.099999999999994</c:v>
                </c:pt>
                <c:pt idx="75">
                  <c:v>69.2</c:v>
                </c:pt>
                <c:pt idx="76">
                  <c:v>69.3</c:v>
                </c:pt>
                <c:pt idx="77">
                  <c:v>69.2</c:v>
                </c:pt>
                <c:pt idx="78">
                  <c:v>69.2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23B-46CA-BB0A-34195E97DFE5}"/>
            </c:ext>
          </c:extLst>
        </c:ser>
        <c:ser>
          <c:idx val="4"/>
          <c:order val="4"/>
          <c:tx>
            <c:strRef>
              <c:f>'косичка 800 кв.мм. H=160 мм.'!$J$2</c:f>
              <c:strCache>
                <c:ptCount val="1"/>
                <c:pt idx="0">
                  <c:v>Датчик 16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'косичка 800 кв.мм. H=160 мм.'!$A$3:$A$81</c:f>
              <c:numCache>
                <c:formatCode>General</c:formatCode>
                <c:ptCount val="7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</c:numCache>
            </c:numRef>
          </c:xVal>
          <c:yVal>
            <c:numRef>
              <c:f>'косичка 800 кв.мм. H=160 мм.'!$J$3:$J$81</c:f>
              <c:numCache>
                <c:formatCode>General</c:formatCode>
                <c:ptCount val="79"/>
                <c:pt idx="0">
                  <c:v>27.1</c:v>
                </c:pt>
                <c:pt idx="1">
                  <c:v>29.6</c:v>
                </c:pt>
                <c:pt idx="2">
                  <c:v>32.4</c:v>
                </c:pt>
                <c:pt idx="3">
                  <c:v>34.700000000000003</c:v>
                </c:pt>
                <c:pt idx="4">
                  <c:v>36.200000000000003</c:v>
                </c:pt>
                <c:pt idx="5">
                  <c:v>37.700000000000003</c:v>
                </c:pt>
                <c:pt idx="6">
                  <c:v>38.700000000000003</c:v>
                </c:pt>
                <c:pt idx="7">
                  <c:v>39.1</c:v>
                </c:pt>
                <c:pt idx="8">
                  <c:v>39.200000000000003</c:v>
                </c:pt>
                <c:pt idx="9">
                  <c:v>39.700000000000003</c:v>
                </c:pt>
                <c:pt idx="10">
                  <c:v>39.9</c:v>
                </c:pt>
                <c:pt idx="11">
                  <c:v>40.1</c:v>
                </c:pt>
                <c:pt idx="12">
                  <c:v>40.200000000000003</c:v>
                </c:pt>
                <c:pt idx="13">
                  <c:v>40.4</c:v>
                </c:pt>
                <c:pt idx="14">
                  <c:v>40.4</c:v>
                </c:pt>
                <c:pt idx="15">
                  <c:v>40.700000000000003</c:v>
                </c:pt>
                <c:pt idx="16">
                  <c:v>41</c:v>
                </c:pt>
                <c:pt idx="17">
                  <c:v>41.5</c:v>
                </c:pt>
                <c:pt idx="18">
                  <c:v>41.9</c:v>
                </c:pt>
                <c:pt idx="19">
                  <c:v>42.3</c:v>
                </c:pt>
                <c:pt idx="20">
                  <c:v>42.6</c:v>
                </c:pt>
                <c:pt idx="21">
                  <c:v>42.8</c:v>
                </c:pt>
                <c:pt idx="22">
                  <c:v>43</c:v>
                </c:pt>
                <c:pt idx="23">
                  <c:v>43.2</c:v>
                </c:pt>
                <c:pt idx="24">
                  <c:v>43.1</c:v>
                </c:pt>
                <c:pt idx="25">
                  <c:v>43.7</c:v>
                </c:pt>
                <c:pt idx="26">
                  <c:v>45.6</c:v>
                </c:pt>
                <c:pt idx="27">
                  <c:v>47.2</c:v>
                </c:pt>
                <c:pt idx="28">
                  <c:v>48.2</c:v>
                </c:pt>
                <c:pt idx="29">
                  <c:v>49</c:v>
                </c:pt>
                <c:pt idx="30">
                  <c:v>49.4</c:v>
                </c:pt>
                <c:pt idx="31">
                  <c:v>49.7</c:v>
                </c:pt>
                <c:pt idx="32">
                  <c:v>50.1</c:v>
                </c:pt>
                <c:pt idx="33">
                  <c:v>50.5</c:v>
                </c:pt>
                <c:pt idx="34">
                  <c:v>50.5</c:v>
                </c:pt>
                <c:pt idx="35">
                  <c:v>50.8</c:v>
                </c:pt>
                <c:pt idx="36">
                  <c:v>50.9</c:v>
                </c:pt>
                <c:pt idx="37">
                  <c:v>51.1</c:v>
                </c:pt>
                <c:pt idx="38">
                  <c:v>51.2</c:v>
                </c:pt>
                <c:pt idx="39">
                  <c:v>51.3</c:v>
                </c:pt>
                <c:pt idx="40">
                  <c:v>51.6</c:v>
                </c:pt>
                <c:pt idx="41">
                  <c:v>51.7</c:v>
                </c:pt>
                <c:pt idx="42">
                  <c:v>51.8</c:v>
                </c:pt>
                <c:pt idx="43">
                  <c:v>52</c:v>
                </c:pt>
                <c:pt idx="44">
                  <c:v>52.3</c:v>
                </c:pt>
                <c:pt idx="45">
                  <c:v>52.4</c:v>
                </c:pt>
                <c:pt idx="46">
                  <c:v>52.5</c:v>
                </c:pt>
                <c:pt idx="47">
                  <c:v>52.5</c:v>
                </c:pt>
                <c:pt idx="48">
                  <c:v>52.6</c:v>
                </c:pt>
                <c:pt idx="49">
                  <c:v>52.7</c:v>
                </c:pt>
                <c:pt idx="50">
                  <c:v>52.9</c:v>
                </c:pt>
                <c:pt idx="51">
                  <c:v>53.1</c:v>
                </c:pt>
                <c:pt idx="52">
                  <c:v>55.4</c:v>
                </c:pt>
                <c:pt idx="53">
                  <c:v>57.6</c:v>
                </c:pt>
                <c:pt idx="54">
                  <c:v>59.3</c:v>
                </c:pt>
                <c:pt idx="55">
                  <c:v>60.3</c:v>
                </c:pt>
                <c:pt idx="56">
                  <c:v>61.2</c:v>
                </c:pt>
                <c:pt idx="57">
                  <c:v>61.9</c:v>
                </c:pt>
                <c:pt idx="58">
                  <c:v>62.3</c:v>
                </c:pt>
                <c:pt idx="59">
                  <c:v>62.7</c:v>
                </c:pt>
                <c:pt idx="60">
                  <c:v>63.2</c:v>
                </c:pt>
                <c:pt idx="61">
                  <c:v>63.5</c:v>
                </c:pt>
                <c:pt idx="62">
                  <c:v>63.9</c:v>
                </c:pt>
                <c:pt idx="63">
                  <c:v>64.2</c:v>
                </c:pt>
                <c:pt idx="64">
                  <c:v>64.599999999999994</c:v>
                </c:pt>
                <c:pt idx="65">
                  <c:v>64.7</c:v>
                </c:pt>
                <c:pt idx="66">
                  <c:v>64.8</c:v>
                </c:pt>
                <c:pt idx="67">
                  <c:v>65</c:v>
                </c:pt>
                <c:pt idx="68">
                  <c:v>64.900000000000006</c:v>
                </c:pt>
                <c:pt idx="69">
                  <c:v>64.900000000000006</c:v>
                </c:pt>
                <c:pt idx="70">
                  <c:v>65.099999999999994</c:v>
                </c:pt>
                <c:pt idx="71">
                  <c:v>64.900000000000006</c:v>
                </c:pt>
                <c:pt idx="72">
                  <c:v>64.900000000000006</c:v>
                </c:pt>
                <c:pt idx="73">
                  <c:v>64.8</c:v>
                </c:pt>
                <c:pt idx="74">
                  <c:v>65</c:v>
                </c:pt>
                <c:pt idx="75">
                  <c:v>65.099999999999994</c:v>
                </c:pt>
                <c:pt idx="76">
                  <c:v>65.2</c:v>
                </c:pt>
                <c:pt idx="77">
                  <c:v>65.099999999999994</c:v>
                </c:pt>
                <c:pt idx="78">
                  <c:v>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23B-46CA-BB0A-34195E97D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660616"/>
        <c:axId val="432657992"/>
      </c:scatterChart>
      <c:valAx>
        <c:axId val="432660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2657992"/>
        <c:crosses val="autoZero"/>
        <c:crossBetween val="midCat"/>
      </c:valAx>
      <c:valAx>
        <c:axId val="432657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2660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'косичка 800 кв.мм. H=160 мм.'!$T$4:$Y$4</c:f>
              <c:numCache>
                <c:formatCode>General</c:formatCode>
                <c:ptCount val="6"/>
                <c:pt idx="0">
                  <c:v>20.399999999999999</c:v>
                </c:pt>
                <c:pt idx="1">
                  <c:v>29.4</c:v>
                </c:pt>
                <c:pt idx="2">
                  <c:v>32.299999999999997</c:v>
                </c:pt>
                <c:pt idx="3">
                  <c:v>47.6</c:v>
                </c:pt>
                <c:pt idx="4">
                  <c:v>48.3</c:v>
                </c:pt>
                <c:pt idx="5">
                  <c:v>80.7</c:v>
                </c:pt>
              </c:numCache>
            </c:numRef>
          </c:xVal>
          <c:yVal>
            <c:numRef>
              <c:f>'косичка 800 кв.мм. H=160 мм.'!$T$5:$Y$5</c:f>
              <c:numCache>
                <c:formatCode>General</c:formatCode>
                <c:ptCount val="6"/>
                <c:pt idx="0">
                  <c:v>1600</c:v>
                </c:pt>
                <c:pt idx="1">
                  <c:v>2000</c:v>
                </c:pt>
                <c:pt idx="2">
                  <c:v>2000</c:v>
                </c:pt>
                <c:pt idx="3">
                  <c:v>2500</c:v>
                </c:pt>
                <c:pt idx="4">
                  <c:v>2500</c:v>
                </c:pt>
                <c:pt idx="5">
                  <c:v>3200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10-4AB2-B3FC-2A6A332C5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471872"/>
        <c:axId val="442472200"/>
      </c:scatterChart>
      <c:valAx>
        <c:axId val="442471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2472200"/>
        <c:crosses val="autoZero"/>
        <c:crossBetween val="midCat"/>
      </c:valAx>
      <c:valAx>
        <c:axId val="442472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2471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'косичка 800 кв.мм. H=160 мм.'!$P$110:$U$110</c:f>
              <c:numCache>
                <c:formatCode>General</c:formatCode>
                <c:ptCount val="6"/>
                <c:pt idx="0">
                  <c:v>29.2</c:v>
                </c:pt>
                <c:pt idx="1">
                  <c:v>34</c:v>
                </c:pt>
                <c:pt idx="2">
                  <c:v>46.3</c:v>
                </c:pt>
                <c:pt idx="3">
                  <c:v>54</c:v>
                </c:pt>
                <c:pt idx="4">
                  <c:v>67.599999999999994</c:v>
                </c:pt>
                <c:pt idx="5">
                  <c:v>74</c:v>
                </c:pt>
              </c:numCache>
            </c:numRef>
          </c:xVal>
          <c:yVal>
            <c:numRef>
              <c:f>'косичка 800 кв.мм. H=160 мм.'!$P$111:$U$111</c:f>
              <c:numCache>
                <c:formatCode>General</c:formatCode>
                <c:ptCount val="6"/>
                <c:pt idx="0">
                  <c:v>2514</c:v>
                </c:pt>
                <c:pt idx="1">
                  <c:v>2762</c:v>
                </c:pt>
                <c:pt idx="2">
                  <c:v>3257</c:v>
                </c:pt>
                <c:pt idx="3">
                  <c:v>3539</c:v>
                </c:pt>
                <c:pt idx="4">
                  <c:v>4024</c:v>
                </c:pt>
                <c:pt idx="5">
                  <c:v>4209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0F-4BD2-A6B5-27DFB96EE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400192"/>
        <c:axId val="432399536"/>
      </c:scatterChart>
      <c:valAx>
        <c:axId val="43240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2399536"/>
        <c:crosses val="autoZero"/>
        <c:crossBetween val="midCat"/>
      </c:valAx>
      <c:valAx>
        <c:axId val="43239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2400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630 мм .800 кв.мм.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5.3696412948381449E-3"/>
                  <c:y val="-5.046296296296296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'косичка 800 кв.мм. сравнение L '!$R$4:$U$4</c:f>
              <c:numCache>
                <c:formatCode>General</c:formatCode>
                <c:ptCount val="4"/>
                <c:pt idx="0">
                  <c:v>29.8</c:v>
                </c:pt>
                <c:pt idx="1">
                  <c:v>43.1</c:v>
                </c:pt>
                <c:pt idx="2">
                  <c:v>62.7</c:v>
                </c:pt>
                <c:pt idx="3">
                  <c:v>76.5</c:v>
                </c:pt>
              </c:numCache>
            </c:numRef>
          </c:xVal>
          <c:yVal>
            <c:numRef>
              <c:f>'косичка 800 кв.мм. сравнение L '!$R$5:$U$5</c:f>
              <c:numCache>
                <c:formatCode>General</c:formatCode>
                <c:ptCount val="4"/>
                <c:pt idx="0">
                  <c:v>2032</c:v>
                </c:pt>
                <c:pt idx="1">
                  <c:v>2523</c:v>
                </c:pt>
                <c:pt idx="2">
                  <c:v>3123</c:v>
                </c:pt>
                <c:pt idx="3">
                  <c:v>3420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99-4F97-90B9-946F68462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849664"/>
        <c:axId val="393845728"/>
      </c:scatterChart>
      <c:valAx>
        <c:axId val="393849664"/>
        <c:scaling>
          <c:orientation val="minMax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3845728"/>
        <c:crosses val="autoZero"/>
        <c:crossBetween val="midCat"/>
      </c:valAx>
      <c:valAx>
        <c:axId val="393845728"/>
        <c:scaling>
          <c:orientation val="minMax"/>
          <c:min val="1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384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1070 мм. 800 кв.мм.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'косичка 800 кв.мм. сравнение L '!$Q$22:$U$22</c:f>
              <c:numCache>
                <c:formatCode>General</c:formatCode>
                <c:ptCount val="5"/>
                <c:pt idx="0">
                  <c:v>33.700000000000003</c:v>
                </c:pt>
                <c:pt idx="1">
                  <c:v>34.700000000000003</c:v>
                </c:pt>
                <c:pt idx="2">
                  <c:v>48.8</c:v>
                </c:pt>
                <c:pt idx="3">
                  <c:v>78.099999999999994</c:v>
                </c:pt>
                <c:pt idx="4">
                  <c:v>95.1</c:v>
                </c:pt>
              </c:numCache>
            </c:numRef>
          </c:xVal>
          <c:yVal>
            <c:numRef>
              <c:f>'косичка 800 кв.мм. сравнение L '!$Q$23:$U$23</c:f>
              <c:numCache>
                <c:formatCode>General</c:formatCode>
                <c:ptCount val="5"/>
                <c:pt idx="0">
                  <c:v>2032</c:v>
                </c:pt>
                <c:pt idx="1">
                  <c:v>2010</c:v>
                </c:pt>
                <c:pt idx="2">
                  <c:v>2492</c:v>
                </c:pt>
                <c:pt idx="3">
                  <c:v>3115</c:v>
                </c:pt>
                <c:pt idx="4">
                  <c:v>3420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85-4E1C-95E7-B63B8FB21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2895160"/>
        <c:axId val="392895488"/>
      </c:scatterChart>
      <c:valAx>
        <c:axId val="392895160"/>
        <c:scaling>
          <c:orientation val="minMax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2895488"/>
        <c:crosses val="autoZero"/>
        <c:crossBetween val="midCat"/>
      </c:valAx>
      <c:valAx>
        <c:axId val="392895488"/>
        <c:scaling>
          <c:orientation val="minMax"/>
          <c:min val="1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2895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'КША 160х10 L=200мм гибкая часть'!$P$3:$T$3</c:f>
              <c:numCache>
                <c:formatCode>General</c:formatCode>
                <c:ptCount val="5"/>
                <c:pt idx="0">
                  <c:v>20.9</c:v>
                </c:pt>
                <c:pt idx="1">
                  <c:v>26.4</c:v>
                </c:pt>
                <c:pt idx="2">
                  <c:v>39.700000000000003</c:v>
                </c:pt>
                <c:pt idx="3">
                  <c:v>43.1</c:v>
                </c:pt>
                <c:pt idx="4">
                  <c:v>71.7</c:v>
                </c:pt>
              </c:numCache>
            </c:numRef>
          </c:xVal>
          <c:yVal>
            <c:numRef>
              <c:f>'КША 160х10 L=200мм гибкая часть'!$P$4:$T$4</c:f>
              <c:numCache>
                <c:formatCode>General</c:formatCode>
                <c:ptCount val="5"/>
                <c:pt idx="0">
                  <c:v>1607</c:v>
                </c:pt>
                <c:pt idx="1">
                  <c:v>2023</c:v>
                </c:pt>
                <c:pt idx="2">
                  <c:v>2312</c:v>
                </c:pt>
                <c:pt idx="3">
                  <c:v>2526</c:v>
                </c:pt>
                <c:pt idx="4">
                  <c:v>3213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B4-45CF-8DFB-431D11462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965920"/>
        <c:axId val="419968216"/>
      </c:scatterChart>
      <c:valAx>
        <c:axId val="41996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9968216"/>
        <c:crosses val="autoZero"/>
        <c:crossBetween val="midCat"/>
      </c:valAx>
      <c:valAx>
        <c:axId val="419968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996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'КША 160х10 L=200мм гибкая часть'!$P$22:$R$22</c:f>
              <c:numCache>
                <c:formatCode>General</c:formatCode>
                <c:ptCount val="3"/>
                <c:pt idx="0">
                  <c:v>20.9</c:v>
                </c:pt>
                <c:pt idx="1">
                  <c:v>39.700000000000003</c:v>
                </c:pt>
                <c:pt idx="2">
                  <c:v>71.7</c:v>
                </c:pt>
              </c:numCache>
            </c:numRef>
          </c:xVal>
          <c:yVal>
            <c:numRef>
              <c:f>'КША 160х10 L=200мм гибкая часть'!$P$23:$R$23</c:f>
              <c:numCache>
                <c:formatCode>General</c:formatCode>
                <c:ptCount val="3"/>
                <c:pt idx="0">
                  <c:v>1607</c:v>
                </c:pt>
                <c:pt idx="1">
                  <c:v>2312</c:v>
                </c:pt>
                <c:pt idx="2">
                  <c:v>3213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96-4FB4-8790-0B12AC13A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774504"/>
        <c:axId val="535778768"/>
      </c:scatterChart>
      <c:valAx>
        <c:axId val="535774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5778768"/>
        <c:crosses val="autoZero"/>
        <c:crossBetween val="midCat"/>
      </c:valAx>
      <c:valAx>
        <c:axId val="53577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5774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57149</xdr:colOff>
      <xdr:row>1</xdr:row>
      <xdr:rowOff>76200</xdr:rowOff>
    </xdr:from>
    <xdr:to>
      <xdr:col>23</xdr:col>
      <xdr:colOff>580330</xdr:colOff>
      <xdr:row>17</xdr:row>
      <xdr:rowOff>153239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3974" y="676275"/>
          <a:ext cx="8447981" cy="4229939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76200</xdr:colOff>
      <xdr:row>19</xdr:row>
      <xdr:rowOff>247650</xdr:rowOff>
    </xdr:from>
    <xdr:to>
      <xdr:col>23</xdr:col>
      <xdr:colOff>540635</xdr:colOff>
      <xdr:row>36</xdr:row>
      <xdr:rowOff>76200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3025" y="5410200"/>
          <a:ext cx="8389235" cy="4200525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95251</xdr:colOff>
      <xdr:row>38</xdr:row>
      <xdr:rowOff>133350</xdr:rowOff>
    </xdr:from>
    <xdr:to>
      <xdr:col>23</xdr:col>
      <xdr:colOff>559685</xdr:colOff>
      <xdr:row>54</xdr:row>
      <xdr:rowOff>171450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2076" y="10239375"/>
          <a:ext cx="8389234" cy="4200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161925</xdr:colOff>
      <xdr:row>2</xdr:row>
      <xdr:rowOff>95250</xdr:rowOff>
    </xdr:from>
    <xdr:to>
      <xdr:col>15</xdr:col>
      <xdr:colOff>466725</xdr:colOff>
      <xdr:row>16</xdr:row>
      <xdr:rowOff>171450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152400</xdr:colOff>
      <xdr:row>17</xdr:row>
      <xdr:rowOff>38100</xdr:rowOff>
    </xdr:from>
    <xdr:to>
      <xdr:col>15</xdr:col>
      <xdr:colOff>457200</xdr:colOff>
      <xdr:row>31</xdr:row>
      <xdr:rowOff>114300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95250</xdr:colOff>
      <xdr:row>79</xdr:row>
      <xdr:rowOff>38100</xdr:rowOff>
    </xdr:from>
    <xdr:to>
      <xdr:col>16</xdr:col>
      <xdr:colOff>400050</xdr:colOff>
      <xdr:row>93</xdr:row>
      <xdr:rowOff>114300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85725</xdr:colOff>
      <xdr:row>94</xdr:row>
      <xdr:rowOff>0</xdr:rowOff>
    </xdr:from>
    <xdr:to>
      <xdr:col>16</xdr:col>
      <xdr:colOff>390525</xdr:colOff>
      <xdr:row>108</xdr:row>
      <xdr:rowOff>76200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33337</xdr:colOff>
      <xdr:row>5</xdr:row>
      <xdr:rowOff>119062</xdr:rowOff>
    </xdr:from>
    <xdr:to>
      <xdr:col>26</xdr:col>
      <xdr:colOff>600075</xdr:colOff>
      <xdr:row>31</xdr:row>
      <xdr:rowOff>57150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114300</xdr:colOff>
      <xdr:row>167</xdr:row>
      <xdr:rowOff>114300</xdr:rowOff>
    </xdr:from>
    <xdr:to>
      <xdr:col>19</xdr:col>
      <xdr:colOff>419100</xdr:colOff>
      <xdr:row>182</xdr:row>
      <xdr:rowOff>0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104775</xdr:colOff>
      <xdr:row>182</xdr:row>
      <xdr:rowOff>76200</xdr:rowOff>
    </xdr:from>
    <xdr:to>
      <xdr:col>19</xdr:col>
      <xdr:colOff>409575</xdr:colOff>
      <xdr:row>196</xdr:row>
      <xdr:rowOff>152400</xdr:rowOff>
    </xdr:to>
    <xdr:graphicFrame macro="">
      <xdr:nvGraphicFramePr>
        <xdr:cNvPr id="9" name="Диаграмма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66674</xdr:colOff>
      <xdr:row>174</xdr:row>
      <xdr:rowOff>76200</xdr:rowOff>
    </xdr:from>
    <xdr:to>
      <xdr:col>31</xdr:col>
      <xdr:colOff>533399</xdr:colOff>
      <xdr:row>203</xdr:row>
      <xdr:rowOff>38100</xdr:rowOff>
    </xdr:to>
    <xdr:graphicFrame macro="">
      <xdr:nvGraphicFramePr>
        <xdr:cNvPr id="12" name="Диаграмма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485774</xdr:colOff>
      <xdr:row>83</xdr:row>
      <xdr:rowOff>19050</xdr:rowOff>
    </xdr:from>
    <xdr:to>
      <xdr:col>27</xdr:col>
      <xdr:colOff>495299</xdr:colOff>
      <xdr:row>113</xdr:row>
      <xdr:rowOff>57150</xdr:rowOff>
    </xdr:to>
    <xdr:graphicFrame macro="">
      <xdr:nvGraphicFramePr>
        <xdr:cNvPr id="13" name="Диаграмма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142875</xdr:colOff>
      <xdr:row>2</xdr:row>
      <xdr:rowOff>104775</xdr:rowOff>
    </xdr:from>
    <xdr:to>
      <xdr:col>18</xdr:col>
      <xdr:colOff>447675</xdr:colOff>
      <xdr:row>16</xdr:row>
      <xdr:rowOff>180975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133350</xdr:colOff>
      <xdr:row>17</xdr:row>
      <xdr:rowOff>38100</xdr:rowOff>
    </xdr:from>
    <xdr:to>
      <xdr:col>18</xdr:col>
      <xdr:colOff>438150</xdr:colOff>
      <xdr:row>31</xdr:row>
      <xdr:rowOff>114300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114299</xdr:colOff>
      <xdr:row>32</xdr:row>
      <xdr:rowOff>19050</xdr:rowOff>
    </xdr:from>
    <xdr:to>
      <xdr:col>24</xdr:col>
      <xdr:colOff>85724</xdr:colOff>
      <xdr:row>58</xdr:row>
      <xdr:rowOff>57150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161925</xdr:colOff>
      <xdr:row>113</xdr:row>
      <xdr:rowOff>180975</xdr:rowOff>
    </xdr:from>
    <xdr:to>
      <xdr:col>27</xdr:col>
      <xdr:colOff>466725</xdr:colOff>
      <xdr:row>128</xdr:row>
      <xdr:rowOff>66675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104775</xdr:colOff>
      <xdr:row>2</xdr:row>
      <xdr:rowOff>57150</xdr:rowOff>
    </xdr:from>
    <xdr:to>
      <xdr:col>29</xdr:col>
      <xdr:colOff>409575</xdr:colOff>
      <xdr:row>16</xdr:row>
      <xdr:rowOff>133350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152400</xdr:colOff>
      <xdr:row>20</xdr:row>
      <xdr:rowOff>47625</xdr:rowOff>
    </xdr:from>
    <xdr:to>
      <xdr:col>29</xdr:col>
      <xdr:colOff>457200</xdr:colOff>
      <xdr:row>34</xdr:row>
      <xdr:rowOff>123825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142875</xdr:colOff>
      <xdr:row>5</xdr:row>
      <xdr:rowOff>104775</xdr:rowOff>
    </xdr:from>
    <xdr:to>
      <xdr:col>26</xdr:col>
      <xdr:colOff>447675</xdr:colOff>
      <xdr:row>19</xdr:row>
      <xdr:rowOff>180975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180975</xdr:colOff>
      <xdr:row>21</xdr:row>
      <xdr:rowOff>85725</xdr:rowOff>
    </xdr:from>
    <xdr:to>
      <xdr:col>26</xdr:col>
      <xdr:colOff>485775</xdr:colOff>
      <xdr:row>35</xdr:row>
      <xdr:rowOff>161925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workbookViewId="0">
      <selection sqref="A1:J1"/>
    </sheetView>
  </sheetViews>
  <sheetFormatPr defaultRowHeight="15" x14ac:dyDescent="0.25"/>
  <cols>
    <col min="1" max="1" width="9.140625" style="10"/>
    <col min="2" max="3" width="9.140625" style="10" customWidth="1"/>
    <col min="4" max="4" width="9.85546875" style="10" customWidth="1"/>
    <col min="5" max="5" width="16.7109375" style="10" customWidth="1"/>
    <col min="6" max="6" width="14.7109375" style="10" customWidth="1"/>
    <col min="7" max="7" width="15.5703125" style="10" customWidth="1"/>
    <col min="8" max="8" width="16.140625" style="10" customWidth="1"/>
    <col min="9" max="10" width="16.42578125" style="10" customWidth="1"/>
    <col min="11" max="16384" width="9.140625" style="10"/>
  </cols>
  <sheetData>
    <row r="1" spans="1:10" ht="47.25" thickBot="1" x14ac:dyDescent="0.3">
      <c r="A1" s="146" t="s">
        <v>9</v>
      </c>
      <c r="B1" s="146"/>
      <c r="C1" s="146"/>
      <c r="D1" s="146"/>
      <c r="E1" s="146"/>
      <c r="F1" s="146"/>
      <c r="G1" s="146"/>
      <c r="H1" s="146"/>
      <c r="I1" s="146"/>
      <c r="J1" s="146"/>
    </row>
    <row r="2" spans="1:10" ht="30.75" customHeight="1" thickBot="1" x14ac:dyDescent="0.3">
      <c r="A2" s="134" t="s">
        <v>86</v>
      </c>
      <c r="B2" s="135"/>
      <c r="C2" s="136"/>
      <c r="D2" s="147" t="s">
        <v>109</v>
      </c>
      <c r="E2" s="148"/>
      <c r="F2" s="148"/>
      <c r="G2" s="148"/>
      <c r="H2" s="148"/>
      <c r="I2" s="144" t="s">
        <v>88</v>
      </c>
      <c r="J2" s="145"/>
    </row>
    <row r="3" spans="1:10" ht="75.75" thickBot="1" x14ac:dyDescent="0.3">
      <c r="A3" s="59" t="s">
        <v>0</v>
      </c>
      <c r="B3" s="60" t="s">
        <v>1</v>
      </c>
      <c r="C3" s="61" t="s">
        <v>2</v>
      </c>
      <c r="D3" s="50" t="s">
        <v>89</v>
      </c>
      <c r="E3" s="132" t="s">
        <v>92</v>
      </c>
      <c r="F3" s="62" t="s">
        <v>115</v>
      </c>
      <c r="G3" s="50" t="s">
        <v>91</v>
      </c>
      <c r="H3" s="57" t="s">
        <v>93</v>
      </c>
      <c r="I3" s="127" t="s">
        <v>11</v>
      </c>
      <c r="J3" s="63" t="s">
        <v>94</v>
      </c>
    </row>
    <row r="4" spans="1:10" ht="15.75" thickBot="1" x14ac:dyDescent="0.3">
      <c r="A4" s="59">
        <v>100</v>
      </c>
      <c r="B4" s="64">
        <v>1</v>
      </c>
      <c r="C4" s="65">
        <v>30</v>
      </c>
      <c r="D4" s="51">
        <v>1</v>
      </c>
      <c r="E4" s="51">
        <v>6</v>
      </c>
      <c r="F4" s="51">
        <v>30</v>
      </c>
      <c r="G4" s="51">
        <v>50</v>
      </c>
      <c r="H4" s="10">
        <f t="shared" ref="H4:H18" si="0">G4*D4</f>
        <v>50</v>
      </c>
      <c r="I4" s="71">
        <v>300</v>
      </c>
      <c r="J4" s="66">
        <v>400</v>
      </c>
    </row>
    <row r="5" spans="1:10" ht="15.75" thickBot="1" x14ac:dyDescent="0.3">
      <c r="A5" s="67">
        <v>160</v>
      </c>
      <c r="B5" s="68">
        <v>1</v>
      </c>
      <c r="C5" s="69">
        <v>30</v>
      </c>
      <c r="D5" s="1">
        <v>1</v>
      </c>
      <c r="E5" s="1">
        <v>6</v>
      </c>
      <c r="F5" s="1">
        <v>30</v>
      </c>
      <c r="G5" s="1">
        <v>50</v>
      </c>
      <c r="H5" s="70">
        <f t="shared" si="0"/>
        <v>50</v>
      </c>
      <c r="I5" s="71">
        <v>300</v>
      </c>
      <c r="J5" s="66">
        <v>400</v>
      </c>
    </row>
    <row r="6" spans="1:10" ht="15.75" thickBot="1" x14ac:dyDescent="0.3">
      <c r="A6" s="59">
        <v>250</v>
      </c>
      <c r="B6" s="64">
        <v>1</v>
      </c>
      <c r="C6" s="65">
        <v>30</v>
      </c>
      <c r="D6" s="51">
        <v>1</v>
      </c>
      <c r="E6" s="51">
        <v>6</v>
      </c>
      <c r="F6" s="51">
        <v>30</v>
      </c>
      <c r="G6" s="51">
        <v>50</v>
      </c>
      <c r="H6" s="10">
        <f t="shared" si="0"/>
        <v>50</v>
      </c>
      <c r="I6" s="71">
        <v>300</v>
      </c>
      <c r="J6" s="66">
        <v>400</v>
      </c>
    </row>
    <row r="7" spans="1:10" ht="15.75" thickBot="1" x14ac:dyDescent="0.3">
      <c r="A7" s="67">
        <v>400</v>
      </c>
      <c r="B7" s="68">
        <v>1</v>
      </c>
      <c r="C7" s="69">
        <v>30</v>
      </c>
      <c r="D7" s="1">
        <v>1</v>
      </c>
      <c r="E7" s="1">
        <v>8</v>
      </c>
      <c r="F7" s="1">
        <v>40</v>
      </c>
      <c r="G7" s="1">
        <v>100</v>
      </c>
      <c r="H7" s="70">
        <f t="shared" si="0"/>
        <v>100</v>
      </c>
      <c r="I7" s="71">
        <v>500</v>
      </c>
      <c r="J7" s="66">
        <v>630</v>
      </c>
    </row>
    <row r="8" spans="1:10" ht="15.75" thickBot="1" x14ac:dyDescent="0.3">
      <c r="A8" s="59">
        <v>630</v>
      </c>
      <c r="B8" s="64">
        <v>1</v>
      </c>
      <c r="C8" s="65">
        <v>50</v>
      </c>
      <c r="D8" s="51">
        <v>1</v>
      </c>
      <c r="E8" s="51">
        <v>10.5</v>
      </c>
      <c r="F8" s="51">
        <v>40</v>
      </c>
      <c r="G8" s="51">
        <v>150</v>
      </c>
      <c r="H8" s="10">
        <f t="shared" si="0"/>
        <v>150</v>
      </c>
      <c r="I8" s="71">
        <v>630</v>
      </c>
      <c r="J8" s="66">
        <v>800</v>
      </c>
    </row>
    <row r="9" spans="1:10" ht="15.75" thickBot="1" x14ac:dyDescent="0.3">
      <c r="A9" s="67">
        <v>800</v>
      </c>
      <c r="B9" s="68">
        <v>1</v>
      </c>
      <c r="C9" s="69">
        <v>65</v>
      </c>
      <c r="D9" s="1">
        <v>1</v>
      </c>
      <c r="E9" s="1">
        <v>10</v>
      </c>
      <c r="F9" s="1">
        <v>60</v>
      </c>
      <c r="G9" s="1">
        <v>200</v>
      </c>
      <c r="H9" s="70">
        <f t="shared" si="0"/>
        <v>200</v>
      </c>
      <c r="I9" s="71">
        <v>800</v>
      </c>
      <c r="J9" s="66">
        <v>1000</v>
      </c>
    </row>
    <row r="10" spans="1:10" ht="15.75" thickBot="1" x14ac:dyDescent="0.3">
      <c r="A10" s="72">
        <v>1000</v>
      </c>
      <c r="B10" s="56">
        <v>1</v>
      </c>
      <c r="C10" s="73">
        <v>100</v>
      </c>
      <c r="D10" s="2">
        <v>1</v>
      </c>
      <c r="E10" s="2">
        <v>12</v>
      </c>
      <c r="F10" s="2">
        <v>100</v>
      </c>
      <c r="G10" s="2">
        <v>300</v>
      </c>
      <c r="H10" s="10">
        <f t="shared" si="0"/>
        <v>300</v>
      </c>
      <c r="I10" s="71">
        <v>1000</v>
      </c>
      <c r="J10" s="66">
        <v>1250</v>
      </c>
    </row>
    <row r="11" spans="1:10" ht="15.75" thickBot="1" x14ac:dyDescent="0.3">
      <c r="A11" s="67">
        <v>1250</v>
      </c>
      <c r="B11" s="68">
        <v>1</v>
      </c>
      <c r="C11" s="69">
        <v>130</v>
      </c>
      <c r="D11" s="1">
        <v>1</v>
      </c>
      <c r="E11" s="1">
        <v>14</v>
      </c>
      <c r="F11" s="1">
        <v>100</v>
      </c>
      <c r="G11" s="1">
        <v>400</v>
      </c>
      <c r="H11" s="70">
        <f t="shared" si="0"/>
        <v>400</v>
      </c>
      <c r="I11" s="74">
        <v>1250</v>
      </c>
      <c r="J11" s="75">
        <v>1600</v>
      </c>
    </row>
    <row r="12" spans="1:10" ht="15.75" thickBot="1" x14ac:dyDescent="0.3">
      <c r="A12" s="76">
        <v>1600</v>
      </c>
      <c r="B12" s="77">
        <v>1</v>
      </c>
      <c r="C12" s="78">
        <v>160</v>
      </c>
      <c r="D12" s="11">
        <v>1</v>
      </c>
      <c r="E12" s="11">
        <v>16</v>
      </c>
      <c r="F12" s="11">
        <v>100</v>
      </c>
      <c r="G12" s="11">
        <v>500</v>
      </c>
      <c r="H12" s="79">
        <f t="shared" si="0"/>
        <v>500</v>
      </c>
      <c r="I12" s="80">
        <v>1600</v>
      </c>
      <c r="J12" s="81">
        <v>2000</v>
      </c>
    </row>
    <row r="13" spans="1:10" ht="15.75" thickBot="1" x14ac:dyDescent="0.3">
      <c r="A13" s="67">
        <v>2000</v>
      </c>
      <c r="B13" s="68">
        <v>1</v>
      </c>
      <c r="C13" s="69">
        <v>200</v>
      </c>
      <c r="D13" s="1">
        <v>1</v>
      </c>
      <c r="E13" s="1">
        <v>13.5</v>
      </c>
      <c r="F13" s="1">
        <v>160</v>
      </c>
      <c r="G13" s="1">
        <v>600</v>
      </c>
      <c r="H13" s="70">
        <f t="shared" si="0"/>
        <v>600</v>
      </c>
      <c r="I13" s="71">
        <v>2000</v>
      </c>
      <c r="J13" s="66">
        <v>2500</v>
      </c>
    </row>
    <row r="14" spans="1:10" ht="15.75" thickBot="1" x14ac:dyDescent="0.3">
      <c r="A14" s="72">
        <v>2500</v>
      </c>
      <c r="B14" s="56">
        <v>2</v>
      </c>
      <c r="C14" s="73">
        <v>130</v>
      </c>
      <c r="D14" s="2">
        <v>2</v>
      </c>
      <c r="E14" s="2">
        <v>14.5</v>
      </c>
      <c r="F14" s="2">
        <v>120</v>
      </c>
      <c r="G14" s="2">
        <v>500</v>
      </c>
      <c r="H14" s="10">
        <f t="shared" si="0"/>
        <v>1000</v>
      </c>
      <c r="I14" s="124">
        <v>2500</v>
      </c>
      <c r="J14" s="66">
        <v>3000</v>
      </c>
    </row>
    <row r="15" spans="1:10" ht="15.75" thickBot="1" x14ac:dyDescent="0.3">
      <c r="A15" s="76">
        <v>3200</v>
      </c>
      <c r="B15" s="77">
        <v>2</v>
      </c>
      <c r="C15" s="78">
        <v>160</v>
      </c>
      <c r="D15" s="11">
        <v>2</v>
      </c>
      <c r="E15" s="11">
        <v>16</v>
      </c>
      <c r="F15" s="11">
        <v>160</v>
      </c>
      <c r="G15" s="11">
        <v>800</v>
      </c>
      <c r="H15" s="79">
        <f t="shared" si="0"/>
        <v>1600</v>
      </c>
      <c r="I15" s="111">
        <v>3200</v>
      </c>
      <c r="J15" s="81">
        <v>4000</v>
      </c>
    </row>
    <row r="16" spans="1:10" ht="15.75" thickBot="1" x14ac:dyDescent="0.3">
      <c r="A16" s="72">
        <v>4000</v>
      </c>
      <c r="B16" s="64">
        <v>2</v>
      </c>
      <c r="C16" s="65">
        <v>200</v>
      </c>
      <c r="D16" s="51">
        <v>2</v>
      </c>
      <c r="E16" s="51">
        <v>14</v>
      </c>
      <c r="F16" s="51">
        <v>200</v>
      </c>
      <c r="G16" s="51">
        <v>1000</v>
      </c>
      <c r="H16" s="10">
        <f t="shared" si="0"/>
        <v>2000</v>
      </c>
      <c r="I16" s="71">
        <v>4000</v>
      </c>
      <c r="J16" s="66">
        <v>5000</v>
      </c>
    </row>
    <row r="17" spans="1:13" ht="15.75" thickBot="1" x14ac:dyDescent="0.3">
      <c r="A17" s="67">
        <v>5000</v>
      </c>
      <c r="B17" s="68">
        <v>4</v>
      </c>
      <c r="C17" s="69">
        <v>130</v>
      </c>
      <c r="D17" s="1">
        <v>4</v>
      </c>
      <c r="E17" s="1">
        <v>13.5</v>
      </c>
      <c r="F17" s="1">
        <v>140</v>
      </c>
      <c r="G17" s="1">
        <v>600</v>
      </c>
      <c r="H17" s="70">
        <f t="shared" si="0"/>
        <v>2400</v>
      </c>
      <c r="I17" s="71">
        <v>5000</v>
      </c>
      <c r="J17" s="66">
        <v>6300</v>
      </c>
    </row>
    <row r="18" spans="1:13" ht="15.75" thickBot="1" x14ac:dyDescent="0.3">
      <c r="A18" s="82">
        <v>6300</v>
      </c>
      <c r="B18" s="83">
        <v>4</v>
      </c>
      <c r="C18" s="84">
        <v>160</v>
      </c>
      <c r="D18" s="51">
        <v>4</v>
      </c>
      <c r="E18" s="51">
        <v>16</v>
      </c>
      <c r="F18" s="51">
        <v>160</v>
      </c>
      <c r="G18" s="51">
        <v>800</v>
      </c>
      <c r="H18" s="10">
        <f t="shared" si="0"/>
        <v>3200</v>
      </c>
      <c r="I18" s="71">
        <v>6300</v>
      </c>
      <c r="J18" s="85">
        <v>7300</v>
      </c>
    </row>
    <row r="19" spans="1:13" ht="16.5" thickBot="1" x14ac:dyDescent="0.3">
      <c r="A19" s="58"/>
      <c r="B19" s="58"/>
      <c r="C19" s="58"/>
      <c r="D19" s="58"/>
      <c r="E19" s="58"/>
      <c r="F19" s="58"/>
      <c r="G19" s="58"/>
      <c r="H19" s="57"/>
      <c r="I19" s="42"/>
      <c r="J19" s="3"/>
    </row>
    <row r="20" spans="1:13" ht="32.25" customHeight="1" thickBot="1" x14ac:dyDescent="0.3">
      <c r="A20" s="134" t="s">
        <v>86</v>
      </c>
      <c r="B20" s="135"/>
      <c r="C20" s="136"/>
      <c r="D20" s="137" t="s">
        <v>113</v>
      </c>
      <c r="E20" s="137"/>
      <c r="F20" s="137"/>
      <c r="G20" s="137"/>
      <c r="H20" s="137"/>
      <c r="I20" s="138" t="s">
        <v>88</v>
      </c>
      <c r="J20" s="139"/>
    </row>
    <row r="21" spans="1:13" ht="75.75" thickBot="1" x14ac:dyDescent="0.3">
      <c r="A21" s="115" t="s">
        <v>0</v>
      </c>
      <c r="B21" s="116" t="s">
        <v>1</v>
      </c>
      <c r="C21" s="117" t="s">
        <v>2</v>
      </c>
      <c r="D21" s="121" t="s">
        <v>89</v>
      </c>
      <c r="E21" s="133" t="s">
        <v>111</v>
      </c>
      <c r="F21" s="118" t="s">
        <v>90</v>
      </c>
      <c r="G21" s="120" t="s">
        <v>91</v>
      </c>
      <c r="H21" s="122" t="s">
        <v>93</v>
      </c>
      <c r="I21" s="128" t="s">
        <v>11</v>
      </c>
      <c r="J21" s="123" t="s">
        <v>94</v>
      </c>
    </row>
    <row r="22" spans="1:13" ht="15.75" thickBot="1" x14ac:dyDescent="0.3">
      <c r="A22" s="115">
        <v>100</v>
      </c>
      <c r="B22" s="64">
        <v>1</v>
      </c>
      <c r="C22" s="65">
        <v>30</v>
      </c>
      <c r="D22" s="10">
        <f>B22</f>
        <v>1</v>
      </c>
      <c r="E22" s="10">
        <v>7</v>
      </c>
      <c r="F22" s="10">
        <v>30</v>
      </c>
      <c r="G22" s="10">
        <f t="shared" ref="G22:G35" si="1">E22*F22</f>
        <v>210</v>
      </c>
      <c r="H22" s="10">
        <f t="shared" ref="H22:H36" si="2">G22*D22</f>
        <v>210</v>
      </c>
      <c r="I22" s="71">
        <v>424</v>
      </c>
      <c r="J22" s="66">
        <v>506</v>
      </c>
    </row>
    <row r="23" spans="1:13" ht="15.75" thickBot="1" x14ac:dyDescent="0.3">
      <c r="A23" s="67">
        <v>160</v>
      </c>
      <c r="B23" s="68">
        <v>1</v>
      </c>
      <c r="C23" s="69">
        <v>30</v>
      </c>
      <c r="D23" s="70">
        <f t="shared" ref="D23:D36" si="3">B23</f>
        <v>1</v>
      </c>
      <c r="E23" s="70">
        <v>7</v>
      </c>
      <c r="F23" s="70">
        <v>30</v>
      </c>
      <c r="G23" s="70">
        <f t="shared" si="1"/>
        <v>210</v>
      </c>
      <c r="H23" s="70">
        <f t="shared" si="2"/>
        <v>210</v>
      </c>
      <c r="I23" s="71">
        <v>424</v>
      </c>
      <c r="J23" s="66">
        <v>506</v>
      </c>
    </row>
    <row r="24" spans="1:13" ht="15.75" thickBot="1" x14ac:dyDescent="0.3">
      <c r="A24" s="115">
        <v>250</v>
      </c>
      <c r="B24" s="64">
        <v>1</v>
      </c>
      <c r="C24" s="65">
        <v>30</v>
      </c>
      <c r="D24" s="10">
        <f t="shared" si="3"/>
        <v>1</v>
      </c>
      <c r="E24" s="10">
        <v>7</v>
      </c>
      <c r="F24" s="10">
        <v>30</v>
      </c>
      <c r="G24" s="10">
        <f t="shared" si="1"/>
        <v>210</v>
      </c>
      <c r="H24" s="10">
        <f t="shared" si="2"/>
        <v>210</v>
      </c>
      <c r="I24" s="71">
        <v>424</v>
      </c>
      <c r="J24" s="66">
        <v>506</v>
      </c>
    </row>
    <row r="25" spans="1:13" ht="15.75" thickBot="1" x14ac:dyDescent="0.3">
      <c r="A25" s="67">
        <v>400</v>
      </c>
      <c r="B25" s="68">
        <v>1</v>
      </c>
      <c r="C25" s="69">
        <v>30</v>
      </c>
      <c r="D25" s="70">
        <f t="shared" si="3"/>
        <v>1</v>
      </c>
      <c r="E25" s="70">
        <v>7</v>
      </c>
      <c r="F25" s="70">
        <v>30</v>
      </c>
      <c r="G25" s="70">
        <f t="shared" si="1"/>
        <v>210</v>
      </c>
      <c r="H25" s="70">
        <f t="shared" si="2"/>
        <v>210</v>
      </c>
      <c r="I25" s="71">
        <v>424</v>
      </c>
      <c r="J25" s="66">
        <v>506</v>
      </c>
    </row>
    <row r="26" spans="1:13" ht="15.75" thickBot="1" x14ac:dyDescent="0.3">
      <c r="A26" s="115">
        <v>630</v>
      </c>
      <c r="B26" s="64">
        <v>1</v>
      </c>
      <c r="C26" s="65">
        <v>50</v>
      </c>
      <c r="D26" s="10">
        <f t="shared" si="3"/>
        <v>1</v>
      </c>
      <c r="E26" s="10">
        <v>7</v>
      </c>
      <c r="F26" s="10">
        <v>50</v>
      </c>
      <c r="G26" s="10">
        <f t="shared" si="1"/>
        <v>350</v>
      </c>
      <c r="H26" s="10">
        <f t="shared" si="2"/>
        <v>350</v>
      </c>
      <c r="I26" s="71">
        <v>652</v>
      </c>
      <c r="J26" s="66">
        <v>778</v>
      </c>
    </row>
    <row r="27" spans="1:13" ht="15.75" thickBot="1" x14ac:dyDescent="0.3">
      <c r="A27" s="67">
        <v>800</v>
      </c>
      <c r="B27" s="68">
        <v>1</v>
      </c>
      <c r="C27" s="69">
        <v>65</v>
      </c>
      <c r="D27" s="70">
        <f t="shared" si="3"/>
        <v>1</v>
      </c>
      <c r="E27" s="70">
        <v>7</v>
      </c>
      <c r="F27" s="70">
        <v>65</v>
      </c>
      <c r="G27" s="70">
        <f t="shared" si="1"/>
        <v>455</v>
      </c>
      <c r="H27" s="70">
        <f t="shared" si="2"/>
        <v>455</v>
      </c>
      <c r="I27" s="124">
        <v>846.66666666666663</v>
      </c>
      <c r="J27" s="66">
        <v>1011</v>
      </c>
      <c r="M27" s="119"/>
    </row>
    <row r="28" spans="1:13" ht="15.75" thickBot="1" x14ac:dyDescent="0.3">
      <c r="A28" s="72">
        <v>1000</v>
      </c>
      <c r="B28" s="56">
        <v>1</v>
      </c>
      <c r="C28" s="73">
        <v>100</v>
      </c>
      <c r="D28" s="10">
        <f t="shared" si="3"/>
        <v>1</v>
      </c>
      <c r="E28" s="10">
        <v>7</v>
      </c>
      <c r="F28" s="10">
        <v>100</v>
      </c>
      <c r="G28" s="10">
        <f t="shared" si="1"/>
        <v>700</v>
      </c>
      <c r="H28" s="10">
        <f t="shared" si="2"/>
        <v>700</v>
      </c>
      <c r="I28" s="125">
        <v>1173</v>
      </c>
      <c r="J28" s="66">
        <v>1400</v>
      </c>
    </row>
    <row r="29" spans="1:13" ht="15.75" thickBot="1" x14ac:dyDescent="0.3">
      <c r="A29" s="67">
        <v>1250</v>
      </c>
      <c r="B29" s="68">
        <v>1</v>
      </c>
      <c r="C29" s="69">
        <v>130</v>
      </c>
      <c r="D29" s="70">
        <f t="shared" si="3"/>
        <v>1</v>
      </c>
      <c r="E29" s="70">
        <v>7</v>
      </c>
      <c r="F29" s="70">
        <v>130</v>
      </c>
      <c r="G29" s="70">
        <f t="shared" si="1"/>
        <v>910</v>
      </c>
      <c r="H29" s="70">
        <f t="shared" si="2"/>
        <v>910</v>
      </c>
      <c r="I29" s="125">
        <v>1524</v>
      </c>
      <c r="J29" s="66">
        <v>1820</v>
      </c>
    </row>
    <row r="30" spans="1:13" ht="15.75" thickBot="1" x14ac:dyDescent="0.3">
      <c r="A30" s="72">
        <v>1600</v>
      </c>
      <c r="B30" s="56">
        <v>1</v>
      </c>
      <c r="C30" s="73">
        <v>160</v>
      </c>
      <c r="D30" s="10">
        <f t="shared" si="3"/>
        <v>1</v>
      </c>
      <c r="E30" s="10">
        <v>7</v>
      </c>
      <c r="F30" s="10">
        <v>160</v>
      </c>
      <c r="G30" s="10">
        <f t="shared" si="1"/>
        <v>1120</v>
      </c>
      <c r="H30" s="10">
        <f t="shared" si="2"/>
        <v>1120</v>
      </c>
      <c r="I30" s="125">
        <v>1876</v>
      </c>
      <c r="J30" s="66">
        <v>2240</v>
      </c>
    </row>
    <row r="31" spans="1:13" ht="15.75" thickBot="1" x14ac:dyDescent="0.3">
      <c r="A31" s="67">
        <v>2000</v>
      </c>
      <c r="B31" s="68">
        <v>1</v>
      </c>
      <c r="C31" s="69">
        <v>200</v>
      </c>
      <c r="D31" s="70">
        <f t="shared" si="3"/>
        <v>1</v>
      </c>
      <c r="E31" s="70">
        <v>7</v>
      </c>
      <c r="F31" s="70">
        <v>200</v>
      </c>
      <c r="G31" s="70">
        <f t="shared" si="1"/>
        <v>1400</v>
      </c>
      <c r="H31" s="70">
        <f t="shared" si="2"/>
        <v>1400</v>
      </c>
      <c r="I31" s="125">
        <v>2345</v>
      </c>
      <c r="J31" s="66">
        <v>2800</v>
      </c>
    </row>
    <row r="32" spans="1:13" ht="15.75" thickBot="1" x14ac:dyDescent="0.3">
      <c r="A32" s="72">
        <v>2500</v>
      </c>
      <c r="B32" s="56">
        <v>2</v>
      </c>
      <c r="C32" s="73">
        <v>130</v>
      </c>
      <c r="D32" s="10">
        <f t="shared" si="3"/>
        <v>2</v>
      </c>
      <c r="E32" s="10">
        <v>7</v>
      </c>
      <c r="F32" s="10">
        <v>130</v>
      </c>
      <c r="G32" s="10">
        <f t="shared" si="1"/>
        <v>910</v>
      </c>
      <c r="H32" s="10">
        <f t="shared" si="2"/>
        <v>1820</v>
      </c>
      <c r="I32" s="125">
        <v>2744</v>
      </c>
      <c r="J32" s="66">
        <v>3276</v>
      </c>
    </row>
    <row r="33" spans="1:10" ht="15.75" thickBot="1" x14ac:dyDescent="0.3">
      <c r="A33" s="67">
        <v>3200</v>
      </c>
      <c r="B33" s="68">
        <v>2</v>
      </c>
      <c r="C33" s="69">
        <v>160</v>
      </c>
      <c r="D33" s="70">
        <f t="shared" si="3"/>
        <v>2</v>
      </c>
      <c r="E33" s="70">
        <v>7</v>
      </c>
      <c r="F33" s="70">
        <v>160</v>
      </c>
      <c r="G33" s="70">
        <f t="shared" si="1"/>
        <v>1120</v>
      </c>
      <c r="H33" s="70">
        <f t="shared" si="2"/>
        <v>2240</v>
      </c>
      <c r="I33" s="125">
        <v>3377</v>
      </c>
      <c r="J33" s="66">
        <v>4032</v>
      </c>
    </row>
    <row r="34" spans="1:10" ht="15.75" thickBot="1" x14ac:dyDescent="0.3">
      <c r="A34" s="115">
        <v>4000</v>
      </c>
      <c r="B34" s="64">
        <v>2</v>
      </c>
      <c r="C34" s="65">
        <v>200</v>
      </c>
      <c r="D34" s="10">
        <f t="shared" si="3"/>
        <v>2</v>
      </c>
      <c r="E34" s="10">
        <v>7</v>
      </c>
      <c r="F34" s="10">
        <v>200</v>
      </c>
      <c r="G34" s="10">
        <f t="shared" si="1"/>
        <v>1400</v>
      </c>
      <c r="H34" s="10">
        <f t="shared" si="2"/>
        <v>2800</v>
      </c>
      <c r="I34" s="125">
        <v>4221</v>
      </c>
      <c r="J34" s="66">
        <v>5040</v>
      </c>
    </row>
    <row r="35" spans="1:10" ht="15.75" thickBot="1" x14ac:dyDescent="0.3">
      <c r="A35" s="67">
        <v>5000</v>
      </c>
      <c r="B35" s="68">
        <v>4</v>
      </c>
      <c r="C35" s="69">
        <v>130</v>
      </c>
      <c r="D35" s="70">
        <f t="shared" si="3"/>
        <v>4</v>
      </c>
      <c r="E35" s="70">
        <v>7</v>
      </c>
      <c r="F35" s="70">
        <v>130</v>
      </c>
      <c r="G35" s="70">
        <f t="shared" si="1"/>
        <v>910</v>
      </c>
      <c r="H35" s="70">
        <f t="shared" si="2"/>
        <v>3640</v>
      </c>
      <c r="I35" s="126">
        <v>4878</v>
      </c>
      <c r="J35" s="66">
        <v>5824</v>
      </c>
    </row>
    <row r="36" spans="1:10" ht="15.75" thickBot="1" x14ac:dyDescent="0.3">
      <c r="A36" s="82">
        <v>6300</v>
      </c>
      <c r="B36" s="83">
        <v>4</v>
      </c>
      <c r="C36" s="84">
        <v>160</v>
      </c>
      <c r="D36" s="10">
        <f t="shared" si="3"/>
        <v>4</v>
      </c>
      <c r="E36" s="10">
        <v>7</v>
      </c>
      <c r="F36" s="10">
        <v>160</v>
      </c>
      <c r="G36" s="10">
        <f>E36*F36</f>
        <v>1120</v>
      </c>
      <c r="H36" s="10">
        <f t="shared" si="2"/>
        <v>4480</v>
      </c>
      <c r="I36" s="126">
        <v>6003</v>
      </c>
      <c r="J36" s="85">
        <v>7168</v>
      </c>
    </row>
    <row r="37" spans="1:10" ht="29.25" thickBot="1" x14ac:dyDescent="0.3">
      <c r="A37" s="141" t="s">
        <v>112</v>
      </c>
      <c r="B37" s="142"/>
      <c r="C37" s="142"/>
      <c r="D37" s="142"/>
      <c r="E37" s="142"/>
      <c r="F37" s="142"/>
      <c r="G37" s="142"/>
      <c r="H37" s="142"/>
      <c r="I37" s="142"/>
      <c r="J37" s="143"/>
    </row>
    <row r="38" spans="1:10" ht="15.75" thickBot="1" x14ac:dyDescent="0.3"/>
    <row r="39" spans="1:10" ht="31.5" customHeight="1" thickBot="1" x14ac:dyDescent="0.3">
      <c r="A39" s="134" t="s">
        <v>86</v>
      </c>
      <c r="B39" s="135"/>
      <c r="C39" s="136"/>
      <c r="D39" s="137" t="s">
        <v>114</v>
      </c>
      <c r="E39" s="137"/>
      <c r="F39" s="137"/>
      <c r="G39" s="137"/>
      <c r="H39" s="137"/>
      <c r="I39" s="138" t="s">
        <v>116</v>
      </c>
      <c r="J39" s="139"/>
    </row>
    <row r="40" spans="1:10" ht="75.75" thickBot="1" x14ac:dyDescent="0.3">
      <c r="A40" s="129" t="s">
        <v>0</v>
      </c>
      <c r="B40" s="130" t="s">
        <v>1</v>
      </c>
      <c r="C40" s="131" t="s">
        <v>2</v>
      </c>
      <c r="D40" s="121" t="s">
        <v>89</v>
      </c>
      <c r="E40" s="133" t="s">
        <v>117</v>
      </c>
      <c r="F40" s="133" t="s">
        <v>90</v>
      </c>
      <c r="G40" s="120" t="s">
        <v>91</v>
      </c>
      <c r="H40" s="122" t="s">
        <v>93</v>
      </c>
      <c r="I40" s="128" t="s">
        <v>11</v>
      </c>
      <c r="J40" s="123" t="s">
        <v>94</v>
      </c>
    </row>
    <row r="41" spans="1:10" ht="15.75" thickBot="1" x14ac:dyDescent="0.3">
      <c r="A41" s="129">
        <v>100</v>
      </c>
      <c r="B41" s="64">
        <v>1</v>
      </c>
      <c r="C41" s="65">
        <v>30</v>
      </c>
      <c r="D41" s="10">
        <f>B41</f>
        <v>1</v>
      </c>
      <c r="E41" s="10">
        <v>8</v>
      </c>
      <c r="F41" s="10">
        <v>30</v>
      </c>
      <c r="G41" s="10">
        <f>F41*E41</f>
        <v>240</v>
      </c>
      <c r="H41" s="10">
        <f t="shared" ref="H41:H55" si="4">G41*D41</f>
        <v>240</v>
      </c>
      <c r="I41" s="124">
        <v>600</v>
      </c>
      <c r="J41" s="66">
        <v>1200</v>
      </c>
    </row>
    <row r="42" spans="1:10" ht="15.75" thickBot="1" x14ac:dyDescent="0.3">
      <c r="A42" s="67">
        <v>160</v>
      </c>
      <c r="B42" s="68">
        <v>1</v>
      </c>
      <c r="C42" s="69">
        <v>30</v>
      </c>
      <c r="D42" s="70">
        <f t="shared" ref="D42:D55" si="5">B42</f>
        <v>1</v>
      </c>
      <c r="E42" s="70">
        <v>8</v>
      </c>
      <c r="F42" s="70">
        <v>30</v>
      </c>
      <c r="G42" s="70">
        <f t="shared" ref="G42:G55" si="6">F42*E42</f>
        <v>240</v>
      </c>
      <c r="H42" s="70">
        <f t="shared" si="4"/>
        <v>240</v>
      </c>
      <c r="I42" s="124">
        <v>600</v>
      </c>
      <c r="J42" s="66">
        <v>1200</v>
      </c>
    </row>
    <row r="43" spans="1:10" ht="15.75" thickBot="1" x14ac:dyDescent="0.3">
      <c r="A43" s="129">
        <v>250</v>
      </c>
      <c r="B43" s="64">
        <v>1</v>
      </c>
      <c r="C43" s="65">
        <v>30</v>
      </c>
      <c r="D43" s="10">
        <f t="shared" si="5"/>
        <v>1</v>
      </c>
      <c r="E43" s="10">
        <v>8</v>
      </c>
      <c r="F43" s="10">
        <v>30</v>
      </c>
      <c r="G43" s="10">
        <f t="shared" si="6"/>
        <v>240</v>
      </c>
      <c r="H43" s="10">
        <f t="shared" si="4"/>
        <v>240</v>
      </c>
      <c r="I43" s="124">
        <v>600</v>
      </c>
      <c r="J43" s="66">
        <v>1200</v>
      </c>
    </row>
    <row r="44" spans="1:10" ht="15.75" thickBot="1" x14ac:dyDescent="0.3">
      <c r="A44" s="67">
        <v>400</v>
      </c>
      <c r="B44" s="68">
        <v>1</v>
      </c>
      <c r="C44" s="69">
        <v>30</v>
      </c>
      <c r="D44" s="70">
        <f t="shared" si="5"/>
        <v>1</v>
      </c>
      <c r="E44" s="70">
        <v>8</v>
      </c>
      <c r="F44" s="70">
        <v>30</v>
      </c>
      <c r="G44" s="70">
        <f t="shared" si="6"/>
        <v>240</v>
      </c>
      <c r="H44" s="70">
        <f t="shared" si="4"/>
        <v>240</v>
      </c>
      <c r="I44" s="124">
        <v>600</v>
      </c>
      <c r="J44" s="66">
        <v>1200</v>
      </c>
    </row>
    <row r="45" spans="1:10" ht="15.75" thickBot="1" x14ac:dyDescent="0.3">
      <c r="A45" s="129">
        <v>630</v>
      </c>
      <c r="B45" s="64">
        <v>1</v>
      </c>
      <c r="C45" s="65">
        <v>50</v>
      </c>
      <c r="D45" s="10">
        <f t="shared" si="5"/>
        <v>1</v>
      </c>
      <c r="E45" s="10">
        <v>8</v>
      </c>
      <c r="F45" s="10">
        <v>50</v>
      </c>
      <c r="G45" s="10">
        <f t="shared" si="6"/>
        <v>400</v>
      </c>
      <c r="H45" s="10">
        <f t="shared" si="4"/>
        <v>400</v>
      </c>
      <c r="I45" s="124">
        <v>800</v>
      </c>
      <c r="J45" s="66">
        <v>1400</v>
      </c>
    </row>
    <row r="46" spans="1:10" ht="15.75" thickBot="1" x14ac:dyDescent="0.3">
      <c r="A46" s="67">
        <v>800</v>
      </c>
      <c r="B46" s="68">
        <v>1</v>
      </c>
      <c r="C46" s="69">
        <v>65</v>
      </c>
      <c r="D46" s="70">
        <f t="shared" si="5"/>
        <v>1</v>
      </c>
      <c r="E46" s="70">
        <v>8</v>
      </c>
      <c r="F46" s="70">
        <v>65</v>
      </c>
      <c r="G46" s="70">
        <f t="shared" si="6"/>
        <v>520</v>
      </c>
      <c r="H46" s="70">
        <f t="shared" si="4"/>
        <v>520</v>
      </c>
      <c r="I46" s="124">
        <v>1000</v>
      </c>
      <c r="J46" s="66">
        <v>1600</v>
      </c>
    </row>
    <row r="47" spans="1:10" ht="15.75" thickBot="1" x14ac:dyDescent="0.3">
      <c r="A47" s="72">
        <v>1000</v>
      </c>
      <c r="B47" s="56">
        <v>1</v>
      </c>
      <c r="C47" s="73">
        <v>100</v>
      </c>
      <c r="D47" s="10">
        <f t="shared" si="5"/>
        <v>1</v>
      </c>
      <c r="E47" s="10">
        <v>8</v>
      </c>
      <c r="F47" s="10">
        <v>100</v>
      </c>
      <c r="G47" s="10">
        <f t="shared" si="6"/>
        <v>800</v>
      </c>
      <c r="H47" s="10">
        <f t="shared" si="4"/>
        <v>800</v>
      </c>
      <c r="I47" s="125">
        <v>1400</v>
      </c>
      <c r="J47" s="66">
        <v>1800</v>
      </c>
    </row>
    <row r="48" spans="1:10" ht="15.75" thickBot="1" x14ac:dyDescent="0.3">
      <c r="A48" s="67">
        <v>1250</v>
      </c>
      <c r="B48" s="68">
        <v>1</v>
      </c>
      <c r="C48" s="69">
        <v>130</v>
      </c>
      <c r="D48" s="70">
        <f t="shared" si="5"/>
        <v>1</v>
      </c>
      <c r="E48" s="70">
        <v>8</v>
      </c>
      <c r="F48" s="70">
        <v>130</v>
      </c>
      <c r="G48" s="70">
        <f t="shared" si="6"/>
        <v>1040</v>
      </c>
      <c r="H48" s="70">
        <f t="shared" si="4"/>
        <v>1040</v>
      </c>
      <c r="I48" s="125">
        <v>1700</v>
      </c>
      <c r="J48" s="66">
        <v>2200</v>
      </c>
    </row>
    <row r="49" spans="1:10" ht="15.75" thickBot="1" x14ac:dyDescent="0.3">
      <c r="A49" s="72">
        <v>1600</v>
      </c>
      <c r="B49" s="56">
        <v>1</v>
      </c>
      <c r="C49" s="73">
        <v>160</v>
      </c>
      <c r="D49" s="10">
        <f t="shared" si="5"/>
        <v>1</v>
      </c>
      <c r="E49" s="10">
        <v>8</v>
      </c>
      <c r="F49" s="10">
        <v>160</v>
      </c>
      <c r="G49" s="10">
        <f t="shared" si="6"/>
        <v>1280</v>
      </c>
      <c r="H49" s="10">
        <f t="shared" si="4"/>
        <v>1280</v>
      </c>
      <c r="I49" s="125">
        <v>2100</v>
      </c>
      <c r="J49" s="66">
        <v>2600</v>
      </c>
    </row>
    <row r="50" spans="1:10" ht="15.75" thickBot="1" x14ac:dyDescent="0.3">
      <c r="A50" s="67">
        <v>2000</v>
      </c>
      <c r="B50" s="68">
        <v>1</v>
      </c>
      <c r="C50" s="69">
        <v>200</v>
      </c>
      <c r="D50" s="70">
        <f t="shared" si="5"/>
        <v>1</v>
      </c>
      <c r="E50" s="70">
        <v>8</v>
      </c>
      <c r="F50" s="70">
        <v>200</v>
      </c>
      <c r="G50" s="70">
        <f t="shared" si="6"/>
        <v>1600</v>
      </c>
      <c r="H50" s="70">
        <f t="shared" si="4"/>
        <v>1600</v>
      </c>
      <c r="I50" s="125">
        <v>2500</v>
      </c>
      <c r="J50" s="66">
        <v>3100</v>
      </c>
    </row>
    <row r="51" spans="1:10" ht="15.75" thickBot="1" x14ac:dyDescent="0.3">
      <c r="A51" s="72">
        <v>2500</v>
      </c>
      <c r="B51" s="56">
        <v>2</v>
      </c>
      <c r="C51" s="73">
        <v>130</v>
      </c>
      <c r="D51" s="10">
        <f t="shared" si="5"/>
        <v>2</v>
      </c>
      <c r="E51" s="10">
        <v>8</v>
      </c>
      <c r="F51" s="10">
        <v>130</v>
      </c>
      <c r="G51" s="10">
        <f t="shared" si="6"/>
        <v>1040</v>
      </c>
      <c r="H51" s="10">
        <f t="shared" si="4"/>
        <v>2080</v>
      </c>
      <c r="I51" s="125">
        <v>3100</v>
      </c>
      <c r="J51" s="66">
        <v>3900</v>
      </c>
    </row>
    <row r="52" spans="1:10" ht="15.75" thickBot="1" x14ac:dyDescent="0.3">
      <c r="A52" s="67">
        <v>3200</v>
      </c>
      <c r="B52" s="68">
        <v>2</v>
      </c>
      <c r="C52" s="69">
        <v>160</v>
      </c>
      <c r="D52" s="70">
        <f t="shared" si="5"/>
        <v>2</v>
      </c>
      <c r="E52" s="70">
        <v>8</v>
      </c>
      <c r="F52" s="70">
        <v>160</v>
      </c>
      <c r="G52" s="70">
        <f t="shared" si="6"/>
        <v>1280</v>
      </c>
      <c r="H52" s="70">
        <f t="shared" si="4"/>
        <v>2560</v>
      </c>
      <c r="I52" s="125">
        <v>3800</v>
      </c>
      <c r="J52" s="66">
        <v>4600</v>
      </c>
    </row>
    <row r="53" spans="1:10" ht="15.75" thickBot="1" x14ac:dyDescent="0.3">
      <c r="A53" s="129">
        <v>4000</v>
      </c>
      <c r="B53" s="64">
        <v>2</v>
      </c>
      <c r="C53" s="65">
        <v>200</v>
      </c>
      <c r="D53" s="10">
        <f t="shared" si="5"/>
        <v>2</v>
      </c>
      <c r="E53" s="10">
        <v>8</v>
      </c>
      <c r="F53" s="10">
        <v>200</v>
      </c>
      <c r="G53" s="10">
        <f t="shared" si="6"/>
        <v>1600</v>
      </c>
      <c r="H53" s="10">
        <f t="shared" si="4"/>
        <v>3200</v>
      </c>
      <c r="I53" s="125">
        <v>4600</v>
      </c>
      <c r="J53" s="66">
        <v>5600</v>
      </c>
    </row>
    <row r="54" spans="1:10" ht="15.75" thickBot="1" x14ac:dyDescent="0.3">
      <c r="A54" s="67">
        <v>5000</v>
      </c>
      <c r="B54" s="68">
        <v>4</v>
      </c>
      <c r="C54" s="69">
        <v>130</v>
      </c>
      <c r="D54" s="70">
        <f t="shared" si="5"/>
        <v>4</v>
      </c>
      <c r="E54" s="70">
        <v>8</v>
      </c>
      <c r="F54" s="70">
        <v>130</v>
      </c>
      <c r="G54" s="70">
        <f t="shared" si="6"/>
        <v>1040</v>
      </c>
      <c r="H54" s="70">
        <f t="shared" si="4"/>
        <v>4160</v>
      </c>
      <c r="I54" s="125">
        <v>5300</v>
      </c>
      <c r="J54" s="66">
        <v>6500</v>
      </c>
    </row>
    <row r="55" spans="1:10" ht="15.75" thickBot="1" x14ac:dyDescent="0.3">
      <c r="A55" s="82">
        <v>6300</v>
      </c>
      <c r="B55" s="83">
        <v>4</v>
      </c>
      <c r="C55" s="84">
        <v>160</v>
      </c>
      <c r="D55" s="10">
        <f t="shared" si="5"/>
        <v>4</v>
      </c>
      <c r="E55" s="10">
        <v>8</v>
      </c>
      <c r="F55" s="10">
        <v>160</v>
      </c>
      <c r="G55" s="10">
        <f t="shared" si="6"/>
        <v>1280</v>
      </c>
      <c r="H55" s="10">
        <f t="shared" si="4"/>
        <v>5120</v>
      </c>
      <c r="I55" s="125">
        <v>6300</v>
      </c>
      <c r="J55" s="85">
        <v>7800</v>
      </c>
    </row>
    <row r="56" spans="1:10" ht="28.5" x14ac:dyDescent="0.25">
      <c r="A56" s="140" t="s">
        <v>118</v>
      </c>
      <c r="B56" s="140"/>
      <c r="C56" s="140"/>
      <c r="D56" s="140"/>
      <c r="E56" s="140"/>
      <c r="F56" s="140"/>
      <c r="G56" s="140"/>
      <c r="H56" s="140"/>
      <c r="I56" s="140"/>
      <c r="J56" s="140"/>
    </row>
  </sheetData>
  <mergeCells count="12">
    <mergeCell ref="I2:J2"/>
    <mergeCell ref="A1:J1"/>
    <mergeCell ref="D20:H20"/>
    <mergeCell ref="A20:C20"/>
    <mergeCell ref="A2:C2"/>
    <mergeCell ref="D2:H2"/>
    <mergeCell ref="I20:J20"/>
    <mergeCell ref="A39:C39"/>
    <mergeCell ref="D39:H39"/>
    <mergeCell ref="I39:J39"/>
    <mergeCell ref="A56:J56"/>
    <mergeCell ref="A37:J3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"/>
  <sheetViews>
    <sheetView tabSelected="1" zoomScale="80" zoomScaleNormal="80" workbookViewId="0">
      <selection sqref="A1:L1"/>
    </sheetView>
  </sheetViews>
  <sheetFormatPr defaultRowHeight="15" x14ac:dyDescent="0.25"/>
  <cols>
    <col min="1" max="3" width="10" customWidth="1"/>
    <col min="5" max="6" width="16" customWidth="1"/>
    <col min="7" max="7" width="14" customWidth="1"/>
    <col min="8" max="8" width="9.140625" customWidth="1"/>
    <col min="9" max="9" width="9.85546875" customWidth="1"/>
    <col min="10" max="10" width="12.140625" customWidth="1"/>
    <col min="11" max="11" width="10.5703125" customWidth="1"/>
    <col min="12" max="12" width="9.85546875" customWidth="1"/>
    <col min="13" max="13" width="11.140625" customWidth="1"/>
  </cols>
  <sheetData>
    <row r="1" spans="1:20" ht="46.5" x14ac:dyDescent="0.25">
      <c r="A1" s="149" t="s">
        <v>10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88"/>
      <c r="N1" s="88"/>
    </row>
    <row r="2" spans="1:20" ht="32.25" thickBot="1" x14ac:dyDescent="0.3">
      <c r="A2" s="150" t="s">
        <v>95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35"/>
      <c r="N2" s="35"/>
    </row>
    <row r="3" spans="1:20" ht="30" customHeight="1" x14ac:dyDescent="0.25">
      <c r="A3" s="134" t="s">
        <v>86</v>
      </c>
      <c r="B3" s="135"/>
      <c r="C3" s="136"/>
      <c r="D3" s="158" t="s">
        <v>87</v>
      </c>
      <c r="E3" s="159"/>
      <c r="F3" s="160"/>
      <c r="G3" s="151" t="s">
        <v>96</v>
      </c>
      <c r="H3" s="151" t="s">
        <v>97</v>
      </c>
      <c r="I3" s="154" t="s">
        <v>110</v>
      </c>
      <c r="J3" s="154"/>
      <c r="K3" s="154"/>
      <c r="L3" s="155"/>
      <c r="M3" s="57"/>
      <c r="N3" s="57"/>
      <c r="O3" s="14"/>
      <c r="P3" s="36"/>
      <c r="Q3" s="36"/>
      <c r="R3" s="36"/>
    </row>
    <row r="4" spans="1:20" x14ac:dyDescent="0.25">
      <c r="A4" s="161" t="s">
        <v>0</v>
      </c>
      <c r="B4" s="162" t="s">
        <v>1</v>
      </c>
      <c r="C4" s="163" t="s">
        <v>2</v>
      </c>
      <c r="D4" s="164" t="s">
        <v>4</v>
      </c>
      <c r="E4" s="164" t="s">
        <v>104</v>
      </c>
      <c r="F4" s="164" t="s">
        <v>105</v>
      </c>
      <c r="G4" s="152"/>
      <c r="H4" s="152"/>
      <c r="I4" s="156" t="s">
        <v>21</v>
      </c>
      <c r="J4" s="157"/>
      <c r="K4" s="157"/>
      <c r="L4" s="157"/>
      <c r="M4" s="10"/>
      <c r="N4" s="10"/>
      <c r="O4" s="37"/>
      <c r="P4" s="2"/>
      <c r="Q4" s="2"/>
      <c r="R4" s="14"/>
      <c r="S4" s="8"/>
      <c r="T4" s="8"/>
    </row>
    <row r="5" spans="1:20" ht="45" x14ac:dyDescent="0.25">
      <c r="A5" s="161"/>
      <c r="B5" s="162"/>
      <c r="C5" s="163"/>
      <c r="D5" s="165"/>
      <c r="E5" s="165"/>
      <c r="F5" s="165"/>
      <c r="G5" s="153"/>
      <c r="H5" s="153"/>
      <c r="I5" s="90" t="s">
        <v>13</v>
      </c>
      <c r="J5" s="6" t="s">
        <v>15</v>
      </c>
      <c r="K5" s="6" t="s">
        <v>17</v>
      </c>
      <c r="L5" s="6" t="s">
        <v>18</v>
      </c>
      <c r="M5" s="10"/>
      <c r="N5" s="10"/>
      <c r="O5" s="37"/>
      <c r="P5" s="2"/>
      <c r="Q5" s="2"/>
      <c r="R5" s="14"/>
      <c r="S5" s="8"/>
      <c r="T5" s="8"/>
    </row>
    <row r="6" spans="1:20" x14ac:dyDescent="0.25">
      <c r="A6" s="59">
        <v>100</v>
      </c>
      <c r="B6" s="64">
        <v>1</v>
      </c>
      <c r="C6" s="65">
        <v>30</v>
      </c>
      <c r="D6" s="51">
        <v>1</v>
      </c>
      <c r="E6" s="51">
        <v>30</v>
      </c>
      <c r="F6" s="51">
        <v>50</v>
      </c>
      <c r="G6" s="64">
        <f t="shared" ref="G6:G20" si="0">F6/50</f>
        <v>1</v>
      </c>
      <c r="H6" s="64">
        <f t="shared" ref="H6:H19" si="1">G6*D6</f>
        <v>1</v>
      </c>
      <c r="I6" s="51" t="s">
        <v>12</v>
      </c>
      <c r="J6" s="51">
        <v>1.5</v>
      </c>
      <c r="K6" s="51" t="s">
        <v>16</v>
      </c>
      <c r="L6" s="51" t="s">
        <v>20</v>
      </c>
      <c r="M6" s="10"/>
      <c r="N6" s="10"/>
      <c r="O6" s="37"/>
      <c r="P6" s="2"/>
      <c r="Q6" s="2"/>
      <c r="R6" s="14"/>
      <c r="S6" s="8"/>
      <c r="T6" s="8"/>
    </row>
    <row r="7" spans="1:20" x14ac:dyDescent="0.25">
      <c r="A7" s="67">
        <v>160</v>
      </c>
      <c r="B7" s="68">
        <v>1</v>
      </c>
      <c r="C7" s="69">
        <v>30</v>
      </c>
      <c r="D7" s="1">
        <v>1</v>
      </c>
      <c r="E7" s="1">
        <v>30</v>
      </c>
      <c r="F7" s="1">
        <v>50</v>
      </c>
      <c r="G7" s="91">
        <f t="shared" si="0"/>
        <v>1</v>
      </c>
      <c r="H7" s="91">
        <f t="shared" si="1"/>
        <v>1</v>
      </c>
      <c r="I7" s="5" t="s">
        <v>12</v>
      </c>
      <c r="J7" s="5">
        <v>1.5</v>
      </c>
      <c r="K7" s="5" t="s">
        <v>16</v>
      </c>
      <c r="L7" s="5" t="s">
        <v>20</v>
      </c>
      <c r="M7" s="10"/>
      <c r="N7" s="10"/>
      <c r="O7" s="37"/>
      <c r="P7" s="2"/>
      <c r="Q7" s="2"/>
      <c r="R7" s="14"/>
      <c r="S7" s="8"/>
      <c r="T7" s="8"/>
    </row>
    <row r="8" spans="1:20" x14ac:dyDescent="0.25">
      <c r="A8" s="59">
        <v>250</v>
      </c>
      <c r="B8" s="64">
        <v>1</v>
      </c>
      <c r="C8" s="65">
        <v>30</v>
      </c>
      <c r="D8" s="51">
        <v>1</v>
      </c>
      <c r="E8" s="51">
        <v>30</v>
      </c>
      <c r="F8" s="51">
        <v>50</v>
      </c>
      <c r="G8" s="64">
        <f t="shared" si="0"/>
        <v>1</v>
      </c>
      <c r="H8" s="64">
        <f t="shared" si="1"/>
        <v>1</v>
      </c>
      <c r="I8" s="51" t="s">
        <v>12</v>
      </c>
      <c r="J8" s="51">
        <v>1.5</v>
      </c>
      <c r="K8" s="51" t="s">
        <v>16</v>
      </c>
      <c r="L8" s="51" t="s">
        <v>20</v>
      </c>
      <c r="M8" s="10"/>
      <c r="N8" s="10"/>
      <c r="O8" s="37"/>
      <c r="P8" s="2"/>
      <c r="Q8" s="2"/>
      <c r="R8" s="14"/>
      <c r="S8" s="8"/>
      <c r="T8" s="8"/>
    </row>
    <row r="9" spans="1:20" x14ac:dyDescent="0.25">
      <c r="A9" s="67">
        <v>400</v>
      </c>
      <c r="B9" s="68">
        <v>1</v>
      </c>
      <c r="C9" s="69">
        <v>30</v>
      </c>
      <c r="D9" s="1">
        <v>1</v>
      </c>
      <c r="E9" s="1">
        <v>40</v>
      </c>
      <c r="F9" s="1">
        <v>100</v>
      </c>
      <c r="G9" s="91">
        <f t="shared" si="0"/>
        <v>2</v>
      </c>
      <c r="H9" s="91">
        <f t="shared" si="1"/>
        <v>2</v>
      </c>
      <c r="I9" s="5" t="s">
        <v>12</v>
      </c>
      <c r="J9" s="5">
        <v>1.5</v>
      </c>
      <c r="K9" s="5" t="s">
        <v>16</v>
      </c>
      <c r="L9" s="5" t="s">
        <v>98</v>
      </c>
      <c r="M9" s="10"/>
      <c r="N9" s="10"/>
      <c r="O9" s="37"/>
      <c r="P9" s="2"/>
      <c r="Q9" s="2"/>
      <c r="R9" s="14"/>
      <c r="S9" s="8"/>
      <c r="T9" s="8"/>
    </row>
    <row r="10" spans="1:20" x14ac:dyDescent="0.25">
      <c r="A10" s="59">
        <v>630</v>
      </c>
      <c r="B10" s="64">
        <v>1</v>
      </c>
      <c r="C10" s="65">
        <v>50</v>
      </c>
      <c r="D10" s="51">
        <v>1</v>
      </c>
      <c r="E10" s="51">
        <v>40</v>
      </c>
      <c r="F10" s="51">
        <v>150</v>
      </c>
      <c r="G10" s="64">
        <f t="shared" si="0"/>
        <v>3</v>
      </c>
      <c r="H10" s="64">
        <f t="shared" si="1"/>
        <v>3</v>
      </c>
      <c r="I10" s="51" t="s">
        <v>12</v>
      </c>
      <c r="J10" s="51">
        <v>1.5</v>
      </c>
      <c r="K10" s="51" t="s">
        <v>16</v>
      </c>
      <c r="L10" s="51" t="s">
        <v>98</v>
      </c>
      <c r="M10" s="10"/>
      <c r="N10" s="10"/>
      <c r="O10" s="37"/>
      <c r="P10" s="2"/>
      <c r="Q10" s="2"/>
      <c r="R10" s="14"/>
      <c r="S10" s="8"/>
      <c r="T10" s="8"/>
    </row>
    <row r="11" spans="1:20" x14ac:dyDescent="0.25">
      <c r="A11" s="92">
        <v>800</v>
      </c>
      <c r="B11" s="93">
        <v>1</v>
      </c>
      <c r="C11" s="94">
        <v>65</v>
      </c>
      <c r="D11" s="1">
        <v>1</v>
      </c>
      <c r="E11" s="1">
        <v>60</v>
      </c>
      <c r="F11" s="1">
        <v>200</v>
      </c>
      <c r="G11" s="91">
        <f t="shared" si="0"/>
        <v>4</v>
      </c>
      <c r="H11" s="91">
        <f t="shared" si="1"/>
        <v>4</v>
      </c>
      <c r="I11" s="5" t="s">
        <v>12</v>
      </c>
      <c r="J11" s="5">
        <v>1.5</v>
      </c>
      <c r="K11" s="5" t="s">
        <v>16</v>
      </c>
      <c r="L11" s="5" t="s">
        <v>99</v>
      </c>
      <c r="M11" s="10"/>
      <c r="N11" s="10"/>
      <c r="O11" s="37"/>
      <c r="P11" s="2"/>
      <c r="Q11" s="2"/>
      <c r="R11" s="14"/>
      <c r="S11" s="8"/>
      <c r="T11" s="8"/>
    </row>
    <row r="12" spans="1:20" x14ac:dyDescent="0.25">
      <c r="A12" s="72">
        <v>1000</v>
      </c>
      <c r="B12" s="56">
        <v>1</v>
      </c>
      <c r="C12" s="73">
        <v>100</v>
      </c>
      <c r="D12" s="10">
        <v>1</v>
      </c>
      <c r="E12" s="10">
        <v>100</v>
      </c>
      <c r="F12" s="10">
        <v>300</v>
      </c>
      <c r="G12" s="56">
        <f t="shared" si="0"/>
        <v>6</v>
      </c>
      <c r="H12" s="56">
        <f t="shared" si="1"/>
        <v>6</v>
      </c>
      <c r="I12" s="10" t="s">
        <v>14</v>
      </c>
      <c r="J12" s="10">
        <v>3</v>
      </c>
      <c r="K12" s="10">
        <v>200</v>
      </c>
      <c r="L12" s="10" t="s">
        <v>100</v>
      </c>
      <c r="M12" s="10"/>
      <c r="N12" s="10"/>
      <c r="O12" s="37"/>
      <c r="P12" s="2"/>
      <c r="Q12" s="2"/>
      <c r="R12" s="14"/>
      <c r="S12" s="8"/>
      <c r="T12" s="8"/>
    </row>
    <row r="13" spans="1:20" x14ac:dyDescent="0.25">
      <c r="A13" s="95">
        <v>1250</v>
      </c>
      <c r="B13" s="96">
        <v>1</v>
      </c>
      <c r="C13" s="97">
        <v>130</v>
      </c>
      <c r="D13" s="1">
        <v>1</v>
      </c>
      <c r="E13" s="1">
        <v>100</v>
      </c>
      <c r="F13" s="1">
        <v>400</v>
      </c>
      <c r="G13" s="91">
        <f t="shared" si="0"/>
        <v>8</v>
      </c>
      <c r="H13" s="91">
        <f t="shared" si="1"/>
        <v>8</v>
      </c>
      <c r="I13" s="5" t="s">
        <v>14</v>
      </c>
      <c r="J13" s="5">
        <v>3</v>
      </c>
      <c r="K13" s="5">
        <v>203</v>
      </c>
      <c r="L13" s="5" t="s">
        <v>100</v>
      </c>
      <c r="M13" s="10"/>
      <c r="N13" s="10"/>
      <c r="O13" s="37"/>
      <c r="P13" s="2"/>
      <c r="Q13" s="2"/>
      <c r="R13" s="14"/>
      <c r="S13" s="8"/>
      <c r="T13" s="8"/>
    </row>
    <row r="14" spans="1:20" x14ac:dyDescent="0.25">
      <c r="A14" s="76">
        <v>1600</v>
      </c>
      <c r="B14" s="77">
        <v>1</v>
      </c>
      <c r="C14" s="78">
        <v>160</v>
      </c>
      <c r="D14" s="11">
        <v>1</v>
      </c>
      <c r="E14" s="11">
        <v>100</v>
      </c>
      <c r="F14" s="11">
        <v>500</v>
      </c>
      <c r="G14" s="77">
        <f t="shared" si="0"/>
        <v>10</v>
      </c>
      <c r="H14" s="77">
        <f t="shared" si="1"/>
        <v>10</v>
      </c>
      <c r="I14" s="11" t="s">
        <v>14</v>
      </c>
      <c r="J14" s="11">
        <v>3</v>
      </c>
      <c r="K14" s="11">
        <v>204</v>
      </c>
      <c r="L14" s="11" t="s">
        <v>100</v>
      </c>
      <c r="M14" s="10"/>
      <c r="N14" s="10"/>
      <c r="O14" s="23"/>
      <c r="P14" s="2"/>
      <c r="Q14" s="2"/>
      <c r="R14" s="14"/>
      <c r="S14" s="8"/>
      <c r="T14" s="8"/>
    </row>
    <row r="15" spans="1:20" x14ac:dyDescent="0.25">
      <c r="A15" s="67">
        <v>2000</v>
      </c>
      <c r="B15" s="68">
        <v>1</v>
      </c>
      <c r="C15" s="69">
        <v>200</v>
      </c>
      <c r="D15" s="1">
        <v>1</v>
      </c>
      <c r="E15" s="1">
        <v>160</v>
      </c>
      <c r="F15" s="1">
        <v>600</v>
      </c>
      <c r="G15" s="91">
        <f t="shared" si="0"/>
        <v>12</v>
      </c>
      <c r="H15" s="91">
        <f t="shared" si="1"/>
        <v>12</v>
      </c>
      <c r="I15" s="5" t="s">
        <v>14</v>
      </c>
      <c r="J15" s="5">
        <v>3</v>
      </c>
      <c r="K15" s="5">
        <v>321</v>
      </c>
      <c r="L15" s="5" t="s">
        <v>19</v>
      </c>
      <c r="M15" s="10"/>
      <c r="N15" s="10"/>
      <c r="O15" s="23"/>
      <c r="P15" s="2"/>
      <c r="Q15" s="2"/>
      <c r="R15" s="14"/>
      <c r="S15" s="8"/>
      <c r="T15" s="8"/>
    </row>
    <row r="16" spans="1:20" x14ac:dyDescent="0.25">
      <c r="A16" s="76">
        <v>2500</v>
      </c>
      <c r="B16" s="77">
        <v>2</v>
      </c>
      <c r="C16" s="78">
        <v>130</v>
      </c>
      <c r="D16" s="11">
        <v>2</v>
      </c>
      <c r="E16" s="11">
        <v>120</v>
      </c>
      <c r="F16" s="11">
        <v>500</v>
      </c>
      <c r="G16" s="77">
        <f t="shared" si="0"/>
        <v>10</v>
      </c>
      <c r="H16" s="77">
        <f t="shared" si="1"/>
        <v>20</v>
      </c>
      <c r="I16" s="11" t="s">
        <v>14</v>
      </c>
      <c r="J16" s="11">
        <v>3</v>
      </c>
      <c r="K16" s="11">
        <v>242</v>
      </c>
      <c r="L16" s="11" t="s">
        <v>121</v>
      </c>
      <c r="M16" s="10"/>
      <c r="N16" s="10"/>
      <c r="O16" s="23"/>
      <c r="P16" s="2"/>
      <c r="Q16" s="2"/>
      <c r="R16" s="14"/>
      <c r="S16" s="8"/>
      <c r="T16" s="8"/>
    </row>
    <row r="17" spans="1:20" x14ac:dyDescent="0.25">
      <c r="A17" s="76">
        <v>3200</v>
      </c>
      <c r="B17" s="77">
        <v>2</v>
      </c>
      <c r="C17" s="78">
        <v>160</v>
      </c>
      <c r="D17" s="11">
        <v>2</v>
      </c>
      <c r="E17" s="11">
        <v>160</v>
      </c>
      <c r="F17" s="11">
        <v>800</v>
      </c>
      <c r="G17" s="77">
        <f t="shared" si="0"/>
        <v>16</v>
      </c>
      <c r="H17" s="77">
        <f t="shared" si="1"/>
        <v>32</v>
      </c>
      <c r="I17" s="11" t="s">
        <v>14</v>
      </c>
      <c r="J17" s="11">
        <v>3</v>
      </c>
      <c r="K17" s="11">
        <v>324</v>
      </c>
      <c r="L17" s="11" t="s">
        <v>19</v>
      </c>
      <c r="M17" s="10"/>
      <c r="N17" s="10"/>
      <c r="O17" s="38"/>
      <c r="P17" s="2"/>
      <c r="Q17" s="2"/>
      <c r="R17" s="2"/>
      <c r="S17" s="8"/>
      <c r="T17" s="8"/>
    </row>
    <row r="18" spans="1:20" x14ac:dyDescent="0.25">
      <c r="A18" s="59">
        <v>4000</v>
      </c>
      <c r="B18" s="64">
        <v>2</v>
      </c>
      <c r="C18" s="65">
        <v>200</v>
      </c>
      <c r="D18" s="51">
        <v>2</v>
      </c>
      <c r="E18" s="51">
        <v>200</v>
      </c>
      <c r="F18" s="51">
        <v>1000</v>
      </c>
      <c r="G18" s="64">
        <f t="shared" si="0"/>
        <v>20</v>
      </c>
      <c r="H18" s="64">
        <f t="shared" si="1"/>
        <v>40</v>
      </c>
      <c r="I18" s="51" t="s">
        <v>14</v>
      </c>
      <c r="J18" s="51">
        <v>3</v>
      </c>
      <c r="K18" s="51">
        <v>404</v>
      </c>
      <c r="L18" s="51" t="s">
        <v>120</v>
      </c>
      <c r="M18" s="10"/>
      <c r="N18" s="10"/>
      <c r="O18" s="38"/>
      <c r="P18" s="2"/>
      <c r="Q18" s="2"/>
      <c r="R18" s="2"/>
      <c r="S18" s="8"/>
      <c r="T18" s="8"/>
    </row>
    <row r="19" spans="1:20" x14ac:dyDescent="0.25">
      <c r="A19" s="67">
        <v>5000</v>
      </c>
      <c r="B19" s="68">
        <v>4</v>
      </c>
      <c r="C19" s="69">
        <v>130</v>
      </c>
      <c r="D19" s="1">
        <v>4</v>
      </c>
      <c r="E19" s="1">
        <v>140</v>
      </c>
      <c r="F19" s="1">
        <v>600</v>
      </c>
      <c r="G19" s="91">
        <f t="shared" si="0"/>
        <v>12</v>
      </c>
      <c r="H19" s="91">
        <f t="shared" si="1"/>
        <v>48</v>
      </c>
      <c r="I19" s="5" t="s">
        <v>14</v>
      </c>
      <c r="J19" s="5">
        <v>3</v>
      </c>
      <c r="K19" s="5">
        <v>282</v>
      </c>
      <c r="L19" s="5" t="s">
        <v>119</v>
      </c>
      <c r="M19" s="35"/>
      <c r="N19" s="35"/>
      <c r="S19" s="8"/>
      <c r="T19" s="8"/>
    </row>
    <row r="20" spans="1:20" ht="15.75" thickBot="1" x14ac:dyDescent="0.3">
      <c r="A20" s="82">
        <v>6300</v>
      </c>
      <c r="B20" s="83">
        <v>4</v>
      </c>
      <c r="C20" s="84">
        <v>160</v>
      </c>
      <c r="D20" s="51">
        <v>4</v>
      </c>
      <c r="E20" s="51">
        <v>160</v>
      </c>
      <c r="F20" s="51">
        <v>800</v>
      </c>
      <c r="G20" s="64">
        <f t="shared" si="0"/>
        <v>16</v>
      </c>
      <c r="H20" s="64">
        <f>G20*D20</f>
        <v>64</v>
      </c>
      <c r="I20" s="51" t="s">
        <v>14</v>
      </c>
      <c r="J20" s="51">
        <v>3</v>
      </c>
      <c r="K20" s="51">
        <v>324</v>
      </c>
      <c r="L20" s="51" t="s">
        <v>19</v>
      </c>
      <c r="M20" s="35"/>
      <c r="N20" s="35"/>
      <c r="S20" s="8"/>
      <c r="T20" s="8"/>
    </row>
    <row r="21" spans="1:20" x14ac:dyDescent="0.25">
      <c r="A21" s="35"/>
      <c r="B21" s="89"/>
      <c r="C21" s="89"/>
      <c r="D21" s="89"/>
      <c r="E21" s="89"/>
      <c r="F21" s="89"/>
      <c r="G21" s="89"/>
      <c r="H21" s="89"/>
      <c r="I21" s="57"/>
      <c r="J21" s="57"/>
      <c r="K21" s="10"/>
      <c r="L21" s="57"/>
      <c r="M21" s="57"/>
      <c r="N21" s="57"/>
      <c r="O21" s="14"/>
      <c r="P21" s="36"/>
      <c r="Q21" s="36"/>
      <c r="R21" s="36"/>
      <c r="S21" s="8"/>
      <c r="T21" s="8"/>
    </row>
    <row r="22" spans="1:20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37"/>
      <c r="P22" s="2"/>
      <c r="Q22" s="2"/>
      <c r="R22" s="14"/>
      <c r="S22" s="8"/>
      <c r="T22" s="8"/>
    </row>
    <row r="23" spans="1:20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37"/>
      <c r="P23" s="2"/>
      <c r="Q23" s="2"/>
      <c r="R23" s="14"/>
      <c r="S23" s="8"/>
      <c r="T23" s="8"/>
    </row>
    <row r="24" spans="1:20" x14ac:dyDescent="0.25">
      <c r="A24" s="10"/>
      <c r="B24" s="10"/>
      <c r="C24" s="10"/>
      <c r="D24" s="10"/>
      <c r="E24" s="10"/>
      <c r="F24" s="10"/>
      <c r="G24" s="10"/>
      <c r="H24" s="10"/>
      <c r="I24" s="86"/>
      <c r="J24" s="10"/>
      <c r="K24" s="10"/>
      <c r="L24" s="10"/>
      <c r="M24" s="10"/>
      <c r="N24" s="10"/>
      <c r="O24" s="37"/>
      <c r="P24" s="2"/>
      <c r="Q24" s="2"/>
      <c r="R24" s="14"/>
      <c r="S24" s="8"/>
      <c r="T24" s="8"/>
    </row>
    <row r="25" spans="1:20" x14ac:dyDescent="0.25">
      <c r="A25" s="10"/>
      <c r="B25" s="10"/>
      <c r="C25" s="10"/>
      <c r="D25" s="10"/>
      <c r="E25" s="10"/>
      <c r="F25" s="10"/>
      <c r="G25" s="10"/>
      <c r="H25" s="10"/>
      <c r="I25" s="86"/>
      <c r="J25" s="10"/>
      <c r="K25" s="10"/>
      <c r="L25" s="10"/>
      <c r="M25" s="10"/>
      <c r="N25" s="10"/>
      <c r="O25" s="37"/>
      <c r="P25" s="2"/>
      <c r="Q25" s="2"/>
      <c r="R25" s="14"/>
      <c r="S25" s="8"/>
      <c r="T25" s="8"/>
    </row>
    <row r="26" spans="1:20" x14ac:dyDescent="0.25">
      <c r="A26" s="10"/>
      <c r="B26" s="10"/>
      <c r="C26" s="10"/>
      <c r="D26" s="10"/>
      <c r="E26" s="10"/>
      <c r="F26" s="10"/>
      <c r="G26" s="10"/>
      <c r="H26" s="10"/>
      <c r="I26" s="86"/>
      <c r="J26" s="10"/>
      <c r="K26" s="10"/>
      <c r="L26" s="10"/>
      <c r="M26" s="10"/>
      <c r="N26" s="10"/>
      <c r="O26" s="37"/>
      <c r="P26" s="2"/>
      <c r="Q26" s="2"/>
      <c r="R26" s="14"/>
      <c r="S26" s="8"/>
      <c r="T26" s="8"/>
    </row>
    <row r="27" spans="1:20" x14ac:dyDescent="0.25">
      <c r="A27" s="10"/>
      <c r="B27" s="10"/>
      <c r="C27" s="10"/>
      <c r="D27" s="10"/>
      <c r="E27" s="10"/>
      <c r="F27" s="10"/>
      <c r="G27" s="10"/>
      <c r="H27" s="10"/>
      <c r="I27" s="86"/>
      <c r="J27" s="10"/>
      <c r="K27" s="10"/>
      <c r="L27" s="10"/>
      <c r="M27" s="10"/>
      <c r="N27" s="10"/>
      <c r="O27" s="37"/>
      <c r="P27" s="2"/>
      <c r="Q27" s="2"/>
      <c r="R27" s="14"/>
      <c r="S27" s="8"/>
      <c r="T27" s="8"/>
    </row>
    <row r="28" spans="1:20" x14ac:dyDescent="0.25">
      <c r="A28" s="10"/>
      <c r="B28" s="10"/>
      <c r="C28" s="10"/>
      <c r="D28" s="10"/>
      <c r="E28" s="10"/>
      <c r="F28" s="10"/>
      <c r="G28" s="10"/>
      <c r="H28" s="10"/>
      <c r="I28" s="86"/>
      <c r="J28" s="10"/>
      <c r="K28" s="10"/>
      <c r="L28" s="10"/>
      <c r="M28" s="10"/>
      <c r="N28" s="10"/>
      <c r="O28" s="37"/>
      <c r="P28" s="2"/>
      <c r="Q28" s="2"/>
      <c r="R28" s="14"/>
      <c r="S28" s="8"/>
      <c r="T28" s="8"/>
    </row>
    <row r="29" spans="1:20" x14ac:dyDescent="0.25">
      <c r="A29" s="10"/>
      <c r="B29" s="10"/>
      <c r="C29" s="10"/>
      <c r="D29" s="10"/>
      <c r="E29" s="10"/>
      <c r="F29" s="10"/>
      <c r="G29" s="10"/>
      <c r="H29" s="10"/>
      <c r="I29" s="86"/>
      <c r="J29" s="10"/>
      <c r="K29" s="10"/>
      <c r="L29" s="10"/>
      <c r="M29" s="10"/>
      <c r="N29" s="10"/>
      <c r="O29" s="37"/>
      <c r="P29" s="2"/>
      <c r="Q29" s="2"/>
      <c r="R29" s="14"/>
      <c r="S29" s="8"/>
      <c r="T29" s="8"/>
    </row>
    <row r="30" spans="1:20" x14ac:dyDescent="0.25">
      <c r="A30" s="10"/>
      <c r="B30" s="10"/>
      <c r="C30" s="10"/>
      <c r="D30" s="10"/>
      <c r="E30" s="10"/>
      <c r="F30" s="10"/>
      <c r="G30" s="10"/>
      <c r="H30" s="10"/>
      <c r="I30" s="86"/>
      <c r="J30" s="10"/>
      <c r="K30" s="10"/>
      <c r="L30" s="10"/>
      <c r="M30" s="10"/>
      <c r="N30" s="10"/>
      <c r="O30" s="37"/>
      <c r="P30" s="2"/>
      <c r="Q30" s="2"/>
      <c r="R30" s="14"/>
      <c r="S30" s="8"/>
      <c r="T30" s="8"/>
    </row>
    <row r="31" spans="1:20" x14ac:dyDescent="0.25">
      <c r="A31" s="10"/>
      <c r="B31" s="10"/>
      <c r="C31" s="10"/>
      <c r="D31" s="10"/>
      <c r="E31" s="10"/>
      <c r="F31" s="10"/>
      <c r="G31" s="10"/>
      <c r="H31" s="10"/>
      <c r="I31" s="86"/>
      <c r="J31" s="10"/>
      <c r="K31" s="10"/>
      <c r="L31" s="10"/>
      <c r="M31" s="10"/>
      <c r="N31" s="10"/>
      <c r="O31" s="37"/>
      <c r="P31" s="2"/>
      <c r="Q31" s="2"/>
      <c r="R31" s="14"/>
      <c r="S31" s="8"/>
      <c r="T31" s="8"/>
    </row>
    <row r="32" spans="1:20" x14ac:dyDescent="0.25">
      <c r="A32" s="10"/>
      <c r="B32" s="10"/>
      <c r="C32" s="10"/>
      <c r="D32" s="10"/>
      <c r="E32" s="10"/>
      <c r="F32" s="10"/>
      <c r="G32" s="10"/>
      <c r="H32" s="10"/>
      <c r="I32" s="86"/>
      <c r="J32" s="10"/>
      <c r="K32" s="10"/>
      <c r="L32" s="10"/>
      <c r="M32" s="10"/>
      <c r="N32" s="10"/>
      <c r="O32" s="37"/>
      <c r="P32" s="2"/>
      <c r="Q32" s="2"/>
      <c r="R32" s="14"/>
      <c r="S32" s="8"/>
      <c r="T32" s="8"/>
    </row>
    <row r="33" spans="1:27" x14ac:dyDescent="0.25">
      <c r="A33" s="10"/>
      <c r="B33" s="10"/>
      <c r="C33" s="10"/>
      <c r="D33" s="10"/>
      <c r="E33" s="10"/>
      <c r="F33" s="10"/>
      <c r="G33" s="10"/>
      <c r="H33" s="10"/>
      <c r="I33" s="86"/>
      <c r="J33" s="10"/>
      <c r="K33" s="10"/>
      <c r="L33" s="10"/>
      <c r="M33" s="10"/>
      <c r="N33" s="10"/>
      <c r="O33" s="23"/>
      <c r="P33" s="2"/>
      <c r="Q33" s="2"/>
      <c r="R33" s="14"/>
      <c r="S33" s="8"/>
      <c r="T33" s="8"/>
    </row>
    <row r="34" spans="1:27" x14ac:dyDescent="0.25">
      <c r="A34" s="10"/>
      <c r="B34" s="10"/>
      <c r="C34" s="10"/>
      <c r="D34" s="10"/>
      <c r="E34" s="10"/>
      <c r="F34" s="10"/>
      <c r="G34" s="10"/>
      <c r="H34" s="10"/>
      <c r="I34" s="86"/>
      <c r="J34" s="10"/>
      <c r="K34" s="10"/>
      <c r="L34" s="10"/>
      <c r="M34" s="10"/>
      <c r="N34" s="10"/>
      <c r="O34" s="23"/>
      <c r="P34" s="2"/>
      <c r="Q34" s="2"/>
      <c r="R34" s="14"/>
      <c r="S34" s="8"/>
      <c r="T34" s="8"/>
    </row>
    <row r="35" spans="1:27" x14ac:dyDescent="0.25">
      <c r="A35" s="10"/>
      <c r="B35" s="10"/>
      <c r="C35" s="10"/>
      <c r="D35" s="10"/>
      <c r="E35" s="10"/>
      <c r="F35" s="10"/>
      <c r="G35" s="10"/>
      <c r="H35" s="10"/>
      <c r="I35" s="86"/>
      <c r="J35" s="10"/>
      <c r="K35" s="10"/>
      <c r="L35" s="10"/>
      <c r="M35" s="10"/>
      <c r="N35" s="10"/>
      <c r="O35" s="38"/>
      <c r="P35" s="2"/>
      <c r="Q35" s="2"/>
      <c r="R35" s="2"/>
      <c r="S35" s="8"/>
      <c r="T35" s="8"/>
      <c r="AA35" s="8"/>
    </row>
    <row r="36" spans="1:27" x14ac:dyDescent="0.25">
      <c r="A36" s="10"/>
      <c r="B36" s="10"/>
      <c r="C36" s="10"/>
      <c r="D36" s="10"/>
      <c r="E36" s="10"/>
      <c r="F36" s="10"/>
      <c r="G36" s="10"/>
      <c r="H36" s="10"/>
      <c r="I36" s="86"/>
      <c r="J36" s="10"/>
      <c r="K36" s="10"/>
      <c r="L36" s="10"/>
      <c r="M36" s="10"/>
      <c r="N36" s="10"/>
      <c r="O36" s="38"/>
      <c r="P36" s="2"/>
      <c r="Q36" s="2"/>
      <c r="R36" s="2"/>
      <c r="S36" s="8"/>
      <c r="T36" s="8"/>
      <c r="AA36" s="8"/>
    </row>
  </sheetData>
  <mergeCells count="14">
    <mergeCell ref="A1:L1"/>
    <mergeCell ref="A2:L2"/>
    <mergeCell ref="G3:G5"/>
    <mergeCell ref="H3:H5"/>
    <mergeCell ref="I3:L3"/>
    <mergeCell ref="I4:L4"/>
    <mergeCell ref="A3:C3"/>
    <mergeCell ref="D3:F3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zoomScale="90" zoomScaleNormal="90" workbookViewId="0">
      <selection activeCell="O16" sqref="O16"/>
    </sheetView>
  </sheetViews>
  <sheetFormatPr defaultRowHeight="15" x14ac:dyDescent="0.25"/>
  <cols>
    <col min="18" max="23" width="9.140625" style="4"/>
  </cols>
  <sheetData>
    <row r="1" spans="1:30" ht="46.5" x14ac:dyDescent="0.25">
      <c r="A1" s="149" t="s">
        <v>26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</row>
    <row r="2" spans="1:30" ht="32.25" thickBot="1" x14ac:dyDescent="0.3">
      <c r="A2" s="150" t="s">
        <v>7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4"/>
      <c r="N2" s="176" t="s">
        <v>39</v>
      </c>
      <c r="O2" s="176"/>
      <c r="P2" s="176"/>
      <c r="R2" s="176" t="s">
        <v>40</v>
      </c>
      <c r="S2" s="176"/>
      <c r="T2" s="176"/>
      <c r="U2" s="16"/>
      <c r="V2" s="176" t="s">
        <v>50</v>
      </c>
      <c r="W2" s="176"/>
      <c r="X2" s="176"/>
      <c r="AC2" s="16"/>
      <c r="AD2" s="16"/>
    </row>
    <row r="3" spans="1:30" ht="29.25" customHeight="1" x14ac:dyDescent="0.25">
      <c r="A3" s="134" t="s">
        <v>3</v>
      </c>
      <c r="B3" s="135"/>
      <c r="C3" s="136"/>
      <c r="D3" s="177" t="s">
        <v>8</v>
      </c>
      <c r="E3" s="178"/>
      <c r="F3" s="178"/>
      <c r="G3" s="172" t="s">
        <v>106</v>
      </c>
      <c r="H3" s="172" t="s">
        <v>25</v>
      </c>
      <c r="I3" s="166" t="s">
        <v>21</v>
      </c>
      <c r="J3" s="167"/>
      <c r="K3" s="167"/>
      <c r="L3" s="168"/>
      <c r="M3" s="14"/>
      <c r="N3" s="176"/>
      <c r="O3" s="176"/>
      <c r="P3" s="176"/>
      <c r="R3" s="176"/>
      <c r="S3" s="176"/>
      <c r="T3" s="176"/>
      <c r="U3" s="16"/>
      <c r="V3" s="176"/>
      <c r="W3" s="176"/>
      <c r="X3" s="176"/>
      <c r="AC3" s="16"/>
      <c r="AD3" s="16"/>
    </row>
    <row r="4" spans="1:30" ht="15" customHeight="1" x14ac:dyDescent="0.25">
      <c r="A4" s="161" t="s">
        <v>0</v>
      </c>
      <c r="B4" s="162" t="s">
        <v>1</v>
      </c>
      <c r="C4" s="175" t="s">
        <v>2</v>
      </c>
      <c r="D4" s="162" t="s">
        <v>4</v>
      </c>
      <c r="E4" s="162" t="s">
        <v>5</v>
      </c>
      <c r="F4" s="162" t="s">
        <v>6</v>
      </c>
      <c r="G4" s="172"/>
      <c r="H4" s="172"/>
      <c r="I4" s="169"/>
      <c r="J4" s="170"/>
      <c r="K4" s="170"/>
      <c r="L4" s="171"/>
      <c r="M4" s="14"/>
      <c r="N4" s="176"/>
      <c r="O4" s="176"/>
      <c r="P4" s="176"/>
      <c r="R4" s="176"/>
      <c r="S4" s="176"/>
      <c r="T4" s="176"/>
      <c r="U4" s="16"/>
      <c r="V4" s="176"/>
      <c r="W4" s="176"/>
      <c r="X4" s="176"/>
      <c r="AC4" s="16"/>
      <c r="AD4" s="16"/>
    </row>
    <row r="5" spans="1:30" ht="45" x14ac:dyDescent="0.25">
      <c r="A5" s="161"/>
      <c r="B5" s="162"/>
      <c r="C5" s="175"/>
      <c r="D5" s="162"/>
      <c r="E5" s="162"/>
      <c r="F5" s="162"/>
      <c r="G5" s="172"/>
      <c r="H5" s="172"/>
      <c r="I5" s="9" t="s">
        <v>13</v>
      </c>
      <c r="J5" s="6" t="s">
        <v>15</v>
      </c>
      <c r="K5" s="6" t="s">
        <v>17</v>
      </c>
      <c r="L5" s="6" t="s">
        <v>18</v>
      </c>
      <c r="M5" s="14"/>
      <c r="N5" s="113" t="s">
        <v>22</v>
      </c>
      <c r="O5" s="113" t="s">
        <v>23</v>
      </c>
      <c r="P5" s="113" t="s">
        <v>24</v>
      </c>
      <c r="R5" s="110" t="s">
        <v>22</v>
      </c>
      <c r="S5" s="110" t="s">
        <v>23</v>
      </c>
      <c r="T5" s="110" t="s">
        <v>24</v>
      </c>
      <c r="U5" s="17"/>
      <c r="V5" s="112" t="s">
        <v>22</v>
      </c>
      <c r="W5" s="112" t="s">
        <v>23</v>
      </c>
      <c r="X5" s="112" t="s">
        <v>24</v>
      </c>
      <c r="AC5" s="17"/>
      <c r="AD5" s="19"/>
    </row>
    <row r="6" spans="1:30" x14ac:dyDescent="0.25">
      <c r="A6" s="72">
        <v>100</v>
      </c>
      <c r="B6" s="56">
        <v>1</v>
      </c>
      <c r="C6" s="73">
        <v>30</v>
      </c>
      <c r="D6" s="2">
        <v>1</v>
      </c>
      <c r="E6" s="2">
        <v>30</v>
      </c>
      <c r="F6" s="2">
        <v>50</v>
      </c>
      <c r="G6" s="2">
        <f t="shared" ref="G6:G20" si="0">F6/50</f>
        <v>1</v>
      </c>
      <c r="H6" s="2">
        <f t="shared" ref="H6:H19" si="1">G6*D6</f>
        <v>1</v>
      </c>
      <c r="I6" s="51" t="s">
        <v>12</v>
      </c>
      <c r="J6" s="51">
        <v>1.5</v>
      </c>
      <c r="K6" s="51" t="s">
        <v>16</v>
      </c>
      <c r="L6" s="51" t="s">
        <v>20</v>
      </c>
      <c r="M6" s="37"/>
      <c r="N6" s="18"/>
      <c r="O6" s="18"/>
      <c r="P6" s="18"/>
      <c r="R6" s="18"/>
      <c r="S6" s="18"/>
      <c r="T6" s="17"/>
      <c r="U6" s="17"/>
      <c r="V6" s="17"/>
      <c r="W6" s="17"/>
      <c r="X6" s="17"/>
      <c r="AC6" s="17"/>
      <c r="AD6" s="17"/>
    </row>
    <row r="7" spans="1:30" x14ac:dyDescent="0.25">
      <c r="A7" s="72">
        <v>160</v>
      </c>
      <c r="B7" s="56">
        <v>1</v>
      </c>
      <c r="C7" s="73">
        <v>30</v>
      </c>
      <c r="D7" s="2">
        <v>1</v>
      </c>
      <c r="E7" s="2">
        <v>30</v>
      </c>
      <c r="F7" s="2">
        <v>50</v>
      </c>
      <c r="G7" s="2">
        <f t="shared" si="0"/>
        <v>1</v>
      </c>
      <c r="H7" s="2">
        <f t="shared" si="1"/>
        <v>1</v>
      </c>
      <c r="I7" s="5" t="s">
        <v>12</v>
      </c>
      <c r="J7" s="5">
        <v>1.5</v>
      </c>
      <c r="K7" s="5" t="s">
        <v>16</v>
      </c>
      <c r="L7" s="5" t="s">
        <v>20</v>
      </c>
      <c r="M7" s="37"/>
      <c r="N7" s="18"/>
      <c r="O7" s="18"/>
      <c r="P7" s="18"/>
      <c r="R7" s="18"/>
      <c r="S7" s="18"/>
      <c r="T7" s="17"/>
      <c r="U7" s="17"/>
      <c r="V7" s="17"/>
      <c r="W7" s="17"/>
      <c r="X7" s="17"/>
      <c r="AC7" s="17"/>
      <c r="AD7" s="17"/>
    </row>
    <row r="8" spans="1:30" x14ac:dyDescent="0.25">
      <c r="A8" s="72">
        <v>250</v>
      </c>
      <c r="B8" s="56">
        <v>1</v>
      </c>
      <c r="C8" s="73">
        <v>30</v>
      </c>
      <c r="D8" s="2">
        <v>1</v>
      </c>
      <c r="E8" s="2">
        <v>30</v>
      </c>
      <c r="F8" s="2">
        <v>50</v>
      </c>
      <c r="G8" s="2">
        <f t="shared" si="0"/>
        <v>1</v>
      </c>
      <c r="H8" s="2">
        <f t="shared" si="1"/>
        <v>1</v>
      </c>
      <c r="I8" s="51" t="s">
        <v>12</v>
      </c>
      <c r="J8" s="51">
        <v>1.5</v>
      </c>
      <c r="K8" s="51" t="s">
        <v>16</v>
      </c>
      <c r="L8" s="51" t="s">
        <v>20</v>
      </c>
      <c r="M8" s="37"/>
      <c r="N8" s="18"/>
      <c r="O8" s="18"/>
      <c r="P8" s="18"/>
      <c r="R8" s="18"/>
      <c r="S8" s="18"/>
      <c r="T8" s="17"/>
      <c r="U8" s="17"/>
      <c r="V8" s="17"/>
      <c r="W8" s="17"/>
      <c r="X8" s="17"/>
      <c r="AC8" s="17"/>
      <c r="AD8" s="17"/>
    </row>
    <row r="9" spans="1:30" x14ac:dyDescent="0.25">
      <c r="A9" s="72">
        <v>400</v>
      </c>
      <c r="B9" s="56">
        <v>1</v>
      </c>
      <c r="C9" s="73">
        <v>30</v>
      </c>
      <c r="D9" s="2">
        <v>1</v>
      </c>
      <c r="E9" s="2">
        <v>40</v>
      </c>
      <c r="F9" s="2">
        <v>100</v>
      </c>
      <c r="G9" s="2">
        <f t="shared" si="0"/>
        <v>2</v>
      </c>
      <c r="H9" s="2">
        <f t="shared" si="1"/>
        <v>2</v>
      </c>
      <c r="I9" s="5" t="s">
        <v>12</v>
      </c>
      <c r="J9" s="5">
        <v>1.5</v>
      </c>
      <c r="K9" s="5" t="s">
        <v>16</v>
      </c>
      <c r="L9" s="5" t="s">
        <v>98</v>
      </c>
      <c r="M9" s="37"/>
      <c r="N9" s="18"/>
      <c r="O9" s="18"/>
      <c r="P9" s="18"/>
      <c r="R9" s="18"/>
      <c r="S9" s="18"/>
      <c r="T9" s="17"/>
      <c r="U9" s="17"/>
      <c r="V9" s="17"/>
      <c r="W9" s="17"/>
      <c r="X9" s="17"/>
      <c r="AC9" s="17"/>
      <c r="AD9" s="17"/>
    </row>
    <row r="10" spans="1:30" x14ac:dyDescent="0.25">
      <c r="A10" s="72">
        <v>630</v>
      </c>
      <c r="B10" s="56">
        <v>1</v>
      </c>
      <c r="C10" s="73">
        <v>50</v>
      </c>
      <c r="D10" s="2">
        <v>1</v>
      </c>
      <c r="E10" s="2">
        <v>40</v>
      </c>
      <c r="F10" s="2">
        <v>150</v>
      </c>
      <c r="G10" s="2">
        <f t="shared" si="0"/>
        <v>3</v>
      </c>
      <c r="H10" s="2">
        <f t="shared" si="1"/>
        <v>3</v>
      </c>
      <c r="I10" s="51" t="s">
        <v>12</v>
      </c>
      <c r="J10" s="51">
        <v>1.5</v>
      </c>
      <c r="K10" s="51" t="s">
        <v>16</v>
      </c>
      <c r="L10" s="51" t="s">
        <v>98</v>
      </c>
      <c r="M10" s="37"/>
      <c r="N10" s="18"/>
      <c r="O10" s="18"/>
      <c r="P10" s="18"/>
      <c r="R10" s="18"/>
      <c r="S10" s="18"/>
      <c r="T10" s="18"/>
      <c r="U10" s="18"/>
      <c r="V10" s="18"/>
      <c r="W10" s="18"/>
      <c r="X10" s="18"/>
      <c r="AC10" s="17"/>
      <c r="AD10" s="17"/>
    </row>
    <row r="11" spans="1:30" x14ac:dyDescent="0.25">
      <c r="A11" s="72">
        <v>800</v>
      </c>
      <c r="B11" s="56">
        <v>1</v>
      </c>
      <c r="C11" s="73">
        <v>65</v>
      </c>
      <c r="D11" s="2">
        <v>1</v>
      </c>
      <c r="E11" s="2">
        <v>60</v>
      </c>
      <c r="F11" s="2">
        <v>200</v>
      </c>
      <c r="G11" s="2">
        <f t="shared" si="0"/>
        <v>4</v>
      </c>
      <c r="H11" s="2">
        <f t="shared" si="1"/>
        <v>4</v>
      </c>
      <c r="I11" s="5" t="s">
        <v>12</v>
      </c>
      <c r="J11" s="5">
        <v>1.5</v>
      </c>
      <c r="K11" s="5" t="s">
        <v>16</v>
      </c>
      <c r="L11" s="5" t="s">
        <v>99</v>
      </c>
      <c r="M11" s="37"/>
      <c r="N11" s="18"/>
      <c r="O11" s="18"/>
      <c r="P11" s="18"/>
      <c r="R11" s="18"/>
      <c r="S11" s="18"/>
      <c r="T11" s="17"/>
      <c r="U11" s="17"/>
      <c r="V11" s="17"/>
      <c r="W11" s="17"/>
      <c r="X11" s="17"/>
      <c r="AC11" s="17"/>
      <c r="AD11" s="17"/>
    </row>
    <row r="12" spans="1:30" x14ac:dyDescent="0.25">
      <c r="A12" s="72">
        <v>1000</v>
      </c>
      <c r="B12" s="56">
        <v>1</v>
      </c>
      <c r="C12" s="73">
        <v>100</v>
      </c>
      <c r="D12" s="2">
        <v>1</v>
      </c>
      <c r="E12" s="2">
        <v>100</v>
      </c>
      <c r="F12" s="2">
        <v>300</v>
      </c>
      <c r="G12" s="2">
        <f t="shared" si="0"/>
        <v>6</v>
      </c>
      <c r="H12" s="2">
        <f t="shared" si="1"/>
        <v>6</v>
      </c>
      <c r="I12" s="10" t="s">
        <v>14</v>
      </c>
      <c r="J12" s="10">
        <v>3</v>
      </c>
      <c r="K12" s="10">
        <v>203</v>
      </c>
      <c r="L12" s="10" t="s">
        <v>100</v>
      </c>
      <c r="M12" s="37"/>
      <c r="AC12" s="18"/>
      <c r="AD12" s="19"/>
    </row>
    <row r="13" spans="1:30" x14ac:dyDescent="0.25">
      <c r="A13" s="72">
        <v>1250</v>
      </c>
      <c r="B13" s="56">
        <v>1</v>
      </c>
      <c r="C13" s="73">
        <v>130</v>
      </c>
      <c r="D13" s="2">
        <v>1</v>
      </c>
      <c r="E13" s="2">
        <v>100</v>
      </c>
      <c r="F13" s="2">
        <v>400</v>
      </c>
      <c r="G13" s="2">
        <f t="shared" si="0"/>
        <v>8</v>
      </c>
      <c r="H13" s="2">
        <f t="shared" si="1"/>
        <v>8</v>
      </c>
      <c r="I13" s="5" t="s">
        <v>14</v>
      </c>
      <c r="J13" s="5">
        <v>3</v>
      </c>
      <c r="K13" s="5">
        <v>203</v>
      </c>
      <c r="L13" s="5" t="s">
        <v>100</v>
      </c>
      <c r="M13" s="37"/>
      <c r="R13" s="22"/>
      <c r="S13" s="22"/>
      <c r="T13" s="22"/>
      <c r="U13" s="17"/>
      <c r="V13" s="17"/>
      <c r="W13" s="17"/>
      <c r="X13" s="17"/>
      <c r="AC13" s="17"/>
      <c r="AD13" s="17"/>
    </row>
    <row r="14" spans="1:30" x14ac:dyDescent="0.25">
      <c r="A14" s="76">
        <v>1600</v>
      </c>
      <c r="B14" s="77">
        <v>1</v>
      </c>
      <c r="C14" s="78">
        <v>160</v>
      </c>
      <c r="D14" s="11">
        <v>1</v>
      </c>
      <c r="E14" s="11">
        <v>100</v>
      </c>
      <c r="F14" s="11">
        <v>450</v>
      </c>
      <c r="G14" s="11">
        <f t="shared" si="0"/>
        <v>9</v>
      </c>
      <c r="H14" s="11">
        <f t="shared" si="1"/>
        <v>9</v>
      </c>
      <c r="I14" s="11" t="s">
        <v>14</v>
      </c>
      <c r="J14" s="11">
        <v>3</v>
      </c>
      <c r="K14" s="11">
        <v>203</v>
      </c>
      <c r="L14" s="11" t="s">
        <v>100</v>
      </c>
      <c r="M14" s="37"/>
      <c r="N14" s="33">
        <v>1376</v>
      </c>
      <c r="O14" s="33">
        <v>1790</v>
      </c>
      <c r="P14" s="33">
        <v>2127</v>
      </c>
      <c r="R14" s="28">
        <v>1911</v>
      </c>
      <c r="S14" s="28">
        <v>2499</v>
      </c>
      <c r="T14" s="28">
        <v>2982</v>
      </c>
      <c r="U14" s="18"/>
      <c r="V14" s="27">
        <v>1987</v>
      </c>
      <c r="W14" s="27">
        <v>2631</v>
      </c>
      <c r="X14" s="27">
        <v>3166</v>
      </c>
      <c r="AC14" s="17"/>
      <c r="AD14" s="17"/>
    </row>
    <row r="15" spans="1:30" x14ac:dyDescent="0.25">
      <c r="A15" s="72">
        <v>2000</v>
      </c>
      <c r="B15" s="56">
        <v>1</v>
      </c>
      <c r="C15" s="73">
        <v>200</v>
      </c>
      <c r="D15" s="2">
        <v>1</v>
      </c>
      <c r="E15" s="2">
        <v>160</v>
      </c>
      <c r="F15" s="2">
        <v>600</v>
      </c>
      <c r="G15" s="2">
        <f t="shared" si="0"/>
        <v>12</v>
      </c>
      <c r="H15" s="2">
        <f t="shared" si="1"/>
        <v>12</v>
      </c>
      <c r="I15" s="5" t="s">
        <v>14</v>
      </c>
      <c r="J15" s="5">
        <v>3</v>
      </c>
      <c r="K15" s="5">
        <v>321</v>
      </c>
      <c r="L15" s="5" t="s">
        <v>19</v>
      </c>
      <c r="M15" s="37"/>
      <c r="N15" s="4"/>
      <c r="O15" s="4"/>
      <c r="P15" s="4"/>
      <c r="R15" s="18"/>
      <c r="S15" s="18"/>
      <c r="T15" s="18"/>
      <c r="U15" s="17"/>
      <c r="V15" s="17"/>
      <c r="W15" s="17"/>
      <c r="X15" s="17"/>
      <c r="AC15" s="17"/>
      <c r="AD15" s="17"/>
    </row>
    <row r="16" spans="1:30" x14ac:dyDescent="0.25">
      <c r="A16" s="76">
        <v>2500</v>
      </c>
      <c r="B16" s="77">
        <v>2</v>
      </c>
      <c r="C16" s="78">
        <v>130</v>
      </c>
      <c r="D16" s="11">
        <v>1</v>
      </c>
      <c r="E16" s="11">
        <v>160</v>
      </c>
      <c r="F16" s="11">
        <v>800</v>
      </c>
      <c r="G16" s="11">
        <f t="shared" si="0"/>
        <v>16</v>
      </c>
      <c r="H16" s="11">
        <f t="shared" si="1"/>
        <v>16</v>
      </c>
      <c r="I16" s="11" t="s">
        <v>14</v>
      </c>
      <c r="J16" s="11">
        <v>3</v>
      </c>
      <c r="K16" s="11">
        <v>324</v>
      </c>
      <c r="L16" s="11" t="s">
        <v>19</v>
      </c>
      <c r="M16" s="23"/>
      <c r="N16" s="41">
        <v>1965</v>
      </c>
      <c r="O16" s="41">
        <v>2538</v>
      </c>
      <c r="P16" s="41">
        <v>3004</v>
      </c>
      <c r="R16" s="18"/>
      <c r="S16" s="18"/>
      <c r="T16" s="18"/>
      <c r="U16" s="17"/>
      <c r="V16" s="17"/>
      <c r="W16" s="17"/>
      <c r="X16" s="17"/>
      <c r="AC16" s="17"/>
      <c r="AD16" s="17"/>
    </row>
    <row r="17" spans="1:30" x14ac:dyDescent="0.25">
      <c r="A17" s="76">
        <v>3200</v>
      </c>
      <c r="B17" s="77">
        <v>2</v>
      </c>
      <c r="C17" s="78">
        <v>160</v>
      </c>
      <c r="D17" s="11">
        <v>2</v>
      </c>
      <c r="E17" s="11">
        <v>160</v>
      </c>
      <c r="F17" s="11">
        <v>800</v>
      </c>
      <c r="G17" s="11">
        <f t="shared" si="0"/>
        <v>16</v>
      </c>
      <c r="H17" s="11">
        <f t="shared" si="1"/>
        <v>32</v>
      </c>
      <c r="I17" s="11" t="s">
        <v>14</v>
      </c>
      <c r="J17" s="11">
        <v>3</v>
      </c>
      <c r="K17" s="11">
        <v>324</v>
      </c>
      <c r="L17" s="11" t="s">
        <v>19</v>
      </c>
      <c r="M17" s="23"/>
      <c r="N17" s="18"/>
      <c r="O17" s="18"/>
      <c r="P17" s="18"/>
      <c r="R17" s="114">
        <v>2563.54844274057</v>
      </c>
      <c r="S17" s="114">
        <v>3398.4419307500921</v>
      </c>
      <c r="T17" s="114">
        <v>4091.9273685899766</v>
      </c>
      <c r="U17" s="17"/>
      <c r="V17" s="17"/>
      <c r="W17" s="17"/>
      <c r="X17" s="17"/>
      <c r="AC17" s="17"/>
      <c r="AD17" s="17"/>
    </row>
    <row r="18" spans="1:30" x14ac:dyDescent="0.25">
      <c r="A18" s="72">
        <v>4000</v>
      </c>
      <c r="B18" s="56">
        <v>2</v>
      </c>
      <c r="C18" s="73">
        <v>200</v>
      </c>
      <c r="D18" s="2">
        <v>3</v>
      </c>
      <c r="E18" s="2">
        <v>160</v>
      </c>
      <c r="F18" s="2">
        <v>600</v>
      </c>
      <c r="G18" s="2">
        <f t="shared" si="0"/>
        <v>12</v>
      </c>
      <c r="H18" s="2">
        <f t="shared" si="1"/>
        <v>36</v>
      </c>
      <c r="I18" s="51" t="s">
        <v>14</v>
      </c>
      <c r="J18" s="51">
        <v>3</v>
      </c>
      <c r="K18" s="51">
        <v>321</v>
      </c>
      <c r="L18" s="51" t="s">
        <v>19</v>
      </c>
      <c r="M18" s="23"/>
      <c r="R18" s="17"/>
      <c r="S18" s="17"/>
      <c r="T18" s="17"/>
      <c r="U18" s="17"/>
      <c r="V18" s="17"/>
      <c r="W18" s="17"/>
      <c r="X18" s="17"/>
      <c r="AC18" s="17"/>
      <c r="AD18" s="17"/>
    </row>
    <row r="19" spans="1:30" x14ac:dyDescent="0.25">
      <c r="A19" s="72">
        <v>5000</v>
      </c>
      <c r="B19" s="56">
        <v>4</v>
      </c>
      <c r="C19" s="73">
        <v>130</v>
      </c>
      <c r="D19" s="2">
        <v>4</v>
      </c>
      <c r="E19" s="2">
        <v>160</v>
      </c>
      <c r="F19" s="2">
        <v>600</v>
      </c>
      <c r="G19" s="2">
        <f t="shared" si="0"/>
        <v>12</v>
      </c>
      <c r="H19" s="2">
        <f t="shared" si="1"/>
        <v>48</v>
      </c>
      <c r="I19" s="5" t="s">
        <v>14</v>
      </c>
      <c r="J19" s="5">
        <v>3</v>
      </c>
      <c r="K19" s="5">
        <v>321</v>
      </c>
      <c r="L19" s="5" t="s">
        <v>19</v>
      </c>
      <c r="M19" s="38"/>
      <c r="R19" s="18"/>
      <c r="S19" s="18"/>
      <c r="T19" s="17"/>
      <c r="U19" s="17"/>
      <c r="V19" s="17"/>
      <c r="W19" s="17"/>
      <c r="X19" s="17"/>
      <c r="AC19" s="17"/>
      <c r="AD19" s="17"/>
    </row>
    <row r="20" spans="1:30" ht="15.75" thickBot="1" x14ac:dyDescent="0.3">
      <c r="A20" s="106">
        <v>6300</v>
      </c>
      <c r="B20" s="107">
        <v>4</v>
      </c>
      <c r="C20" s="108">
        <v>160</v>
      </c>
      <c r="D20" s="2">
        <v>4</v>
      </c>
      <c r="E20" s="2">
        <v>160</v>
      </c>
      <c r="F20" s="2">
        <v>800</v>
      </c>
      <c r="G20" s="2">
        <f t="shared" si="0"/>
        <v>16</v>
      </c>
      <c r="H20" s="2">
        <f>G20*D20</f>
        <v>64</v>
      </c>
      <c r="I20" s="51" t="s">
        <v>14</v>
      </c>
      <c r="J20" s="51">
        <v>3</v>
      </c>
      <c r="K20" s="51">
        <v>324</v>
      </c>
      <c r="L20" s="51" t="s">
        <v>19</v>
      </c>
      <c r="M20" s="38"/>
      <c r="R20" s="20"/>
      <c r="S20" s="20"/>
      <c r="T20" s="21"/>
      <c r="U20" s="21"/>
      <c r="V20" s="21"/>
      <c r="W20" s="21"/>
      <c r="X20" s="21"/>
      <c r="AC20" s="21"/>
      <c r="AD20" s="21"/>
    </row>
    <row r="21" spans="1:30" ht="15.75" x14ac:dyDescent="0.25">
      <c r="A21" s="87"/>
      <c r="B21" s="87"/>
      <c r="C21" s="87"/>
      <c r="D21" s="87"/>
      <c r="E21" s="87"/>
      <c r="F21" s="87"/>
      <c r="G21" s="88"/>
      <c r="H21" s="88"/>
      <c r="I21" s="35"/>
      <c r="J21" s="35"/>
      <c r="K21" s="35"/>
      <c r="L21" s="35"/>
      <c r="M21" s="99"/>
      <c r="N21" s="99"/>
      <c r="O21" s="99"/>
      <c r="P21" s="99"/>
      <c r="Q21" s="99"/>
    </row>
    <row r="22" spans="1:30" ht="45" x14ac:dyDescent="0.25">
      <c r="A22" s="174" t="s">
        <v>101</v>
      </c>
      <c r="B22" s="174"/>
      <c r="C22" s="103" t="s">
        <v>102</v>
      </c>
      <c r="D22" s="98"/>
      <c r="E22" s="104" t="s">
        <v>103</v>
      </c>
      <c r="F22" s="89"/>
      <c r="G22" s="89"/>
      <c r="H22" s="89"/>
      <c r="I22" s="35"/>
      <c r="J22" s="35"/>
      <c r="K22" s="35"/>
      <c r="L22" s="35"/>
      <c r="M22" s="99"/>
      <c r="N22" s="99"/>
      <c r="O22" s="99"/>
      <c r="P22" s="99"/>
      <c r="Q22" s="99"/>
    </row>
    <row r="23" spans="1:30" x14ac:dyDescent="0.25">
      <c r="A23" s="10">
        <v>23</v>
      </c>
      <c r="B23" s="57">
        <v>0.254</v>
      </c>
      <c r="C23" s="57">
        <f>(B23/2)^2*3.14*A23</f>
        <v>1.1648363800000001</v>
      </c>
      <c r="D23" s="57"/>
      <c r="E23" s="105">
        <f>C23*48</f>
        <v>55.912146240000006</v>
      </c>
      <c r="F23" s="89"/>
      <c r="G23" s="89"/>
      <c r="H23" s="89"/>
      <c r="I23" s="10"/>
      <c r="J23" s="57"/>
      <c r="K23" s="57"/>
      <c r="L23" s="57"/>
      <c r="M23" s="99"/>
      <c r="N23" s="34"/>
      <c r="O23" s="34"/>
      <c r="P23" s="34"/>
      <c r="Q23" s="99"/>
    </row>
    <row r="24" spans="1:30" x14ac:dyDescent="0.25">
      <c r="A24" s="10">
        <v>60</v>
      </c>
      <c r="B24" s="10">
        <v>0.15</v>
      </c>
      <c r="C24" s="57">
        <f t="shared" ref="C24" si="2">(B24/2)^2*3.14*A24</f>
        <v>1.05975</v>
      </c>
      <c r="D24" s="10"/>
      <c r="E24" s="105">
        <f t="shared" ref="E24" si="3">C24*48</f>
        <v>50.867999999999995</v>
      </c>
      <c r="F24" s="10"/>
      <c r="G24" s="10"/>
      <c r="H24" s="10"/>
      <c r="I24" s="10"/>
      <c r="J24" s="10"/>
      <c r="K24" s="10"/>
      <c r="L24" s="10"/>
      <c r="M24" s="100"/>
      <c r="N24" s="10"/>
      <c r="O24" s="10"/>
      <c r="P24" s="99"/>
      <c r="Q24" s="99"/>
    </row>
    <row r="25" spans="1:30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0"/>
      <c r="N25" s="10"/>
      <c r="O25" s="10"/>
      <c r="P25" s="99"/>
      <c r="Q25" s="99"/>
    </row>
    <row r="26" spans="1:30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0"/>
      <c r="N26" s="10"/>
      <c r="O26" s="10"/>
      <c r="P26" s="99"/>
      <c r="Q26" s="99"/>
    </row>
    <row r="27" spans="1:30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0"/>
      <c r="N27" s="10"/>
      <c r="O27" s="10"/>
      <c r="P27" s="99"/>
      <c r="Q27" s="99"/>
    </row>
    <row r="28" spans="1:30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0"/>
      <c r="N28" s="10"/>
      <c r="O28" s="10"/>
      <c r="P28" s="99"/>
      <c r="Q28" s="99"/>
    </row>
    <row r="29" spans="1:30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0"/>
      <c r="N29" s="10"/>
      <c r="O29" s="10"/>
      <c r="P29" s="99"/>
      <c r="Q29" s="99"/>
    </row>
    <row r="30" spans="1:30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0"/>
      <c r="N30" s="10"/>
      <c r="O30" s="10"/>
      <c r="P30" s="99"/>
      <c r="Q30" s="99"/>
    </row>
    <row r="31" spans="1:30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0"/>
      <c r="N31" s="10"/>
      <c r="O31" s="10"/>
      <c r="P31" s="99"/>
      <c r="Q31" s="99"/>
    </row>
    <row r="32" spans="1:30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0"/>
      <c r="N32" s="10"/>
      <c r="O32" s="10"/>
      <c r="P32" s="99"/>
      <c r="Q32" s="99"/>
    </row>
    <row r="33" spans="1:24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0"/>
      <c r="N33" s="10"/>
      <c r="O33" s="10"/>
      <c r="P33" s="99"/>
      <c r="Q33" s="99"/>
    </row>
    <row r="34" spans="1:24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0"/>
      <c r="N34" s="10"/>
      <c r="O34" s="10"/>
      <c r="P34" s="99"/>
      <c r="Q34" s="99"/>
    </row>
    <row r="35" spans="1:24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1"/>
      <c r="N35" s="10"/>
      <c r="O35" s="10"/>
      <c r="P35" s="99"/>
      <c r="Q35" s="99"/>
    </row>
    <row r="36" spans="1:24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1"/>
      <c r="N36" s="10"/>
      <c r="O36" s="10"/>
      <c r="P36" s="99"/>
      <c r="Q36" s="99"/>
    </row>
    <row r="37" spans="1:24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2"/>
      <c r="N37" s="10"/>
      <c r="O37" s="10"/>
      <c r="P37" s="10"/>
      <c r="Q37" s="99"/>
    </row>
    <row r="38" spans="1:24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2"/>
      <c r="N38" s="10"/>
      <c r="O38" s="10"/>
      <c r="P38" s="10"/>
      <c r="Q38" s="99"/>
    </row>
    <row r="39" spans="1:24" hidden="1" x14ac:dyDescent="0.25">
      <c r="N39" s="173" t="s">
        <v>41</v>
      </c>
      <c r="O39" s="173"/>
      <c r="P39" s="173"/>
      <c r="R39" s="173" t="s">
        <v>42</v>
      </c>
      <c r="S39" s="173"/>
      <c r="T39" s="173"/>
    </row>
    <row r="40" spans="1:24" hidden="1" x14ac:dyDescent="0.25">
      <c r="N40" s="7" t="s">
        <v>22</v>
      </c>
      <c r="O40" s="7" t="s">
        <v>23</v>
      </c>
      <c r="P40" s="7" t="s">
        <v>24</v>
      </c>
      <c r="R40" s="7" t="s">
        <v>22</v>
      </c>
      <c r="S40" s="7" t="s">
        <v>23</v>
      </c>
      <c r="T40" s="7" t="s">
        <v>24</v>
      </c>
    </row>
    <row r="41" spans="1:24" hidden="1" x14ac:dyDescent="0.25">
      <c r="A41" s="2">
        <v>4000</v>
      </c>
      <c r="B41" s="2">
        <v>2</v>
      </c>
      <c r="C41" s="2">
        <v>200</v>
      </c>
      <c r="D41" s="2">
        <v>2</v>
      </c>
      <c r="E41" s="2">
        <v>160</v>
      </c>
      <c r="F41" s="2">
        <v>1200</v>
      </c>
      <c r="G41" s="2">
        <f t="shared" ref="G41" si="4">F41/50</f>
        <v>24</v>
      </c>
      <c r="H41" s="2">
        <f t="shared" ref="H41" si="5">G41*D41</f>
        <v>48</v>
      </c>
      <c r="I41" s="2" t="s">
        <v>14</v>
      </c>
      <c r="J41" s="2">
        <v>3</v>
      </c>
      <c r="K41" s="2"/>
      <c r="L41" s="2"/>
      <c r="M41" s="23"/>
      <c r="N41" s="11">
        <v>2150</v>
      </c>
      <c r="O41" s="11">
        <v>2960</v>
      </c>
      <c r="P41" s="24"/>
      <c r="Q41" s="24"/>
      <c r="R41" s="25">
        <f>N41*1.45</f>
        <v>3117.5</v>
      </c>
      <c r="S41" s="25">
        <f>O41*1.45</f>
        <v>4292</v>
      </c>
      <c r="T41" s="25"/>
      <c r="U41" s="18"/>
      <c r="V41" s="18"/>
      <c r="W41" s="18"/>
      <c r="X41" s="17"/>
    </row>
    <row r="42" spans="1:24" hidden="1" x14ac:dyDescent="0.25">
      <c r="A42" s="2">
        <v>4000</v>
      </c>
      <c r="B42" s="2">
        <v>2</v>
      </c>
      <c r="C42" s="2">
        <v>200</v>
      </c>
      <c r="D42" s="2">
        <v>4</v>
      </c>
      <c r="E42" s="2">
        <v>160</v>
      </c>
      <c r="F42" s="2">
        <v>600</v>
      </c>
      <c r="G42" s="2">
        <f t="shared" ref="G42" si="6">F42/50</f>
        <v>12</v>
      </c>
      <c r="H42" s="2">
        <f t="shared" ref="H42" si="7">G42*D42</f>
        <v>48</v>
      </c>
      <c r="I42" s="2" t="s">
        <v>14</v>
      </c>
      <c r="J42" s="2">
        <v>3</v>
      </c>
      <c r="K42" s="2"/>
      <c r="L42" s="2"/>
      <c r="M42" s="23"/>
      <c r="N42" s="11">
        <v>2150</v>
      </c>
      <c r="O42" s="11">
        <v>2960</v>
      </c>
      <c r="P42" s="24"/>
      <c r="Q42" s="24"/>
      <c r="R42" s="25">
        <f>N42*1.45</f>
        <v>3117.5</v>
      </c>
      <c r="S42" s="25">
        <f>O42*1.45</f>
        <v>4292</v>
      </c>
      <c r="T42" s="25"/>
    </row>
  </sheetData>
  <mergeCells count="19">
    <mergeCell ref="V2:X4"/>
    <mergeCell ref="N2:P4"/>
    <mergeCell ref="R2:T4"/>
    <mergeCell ref="A3:C3"/>
    <mergeCell ref="D3:F3"/>
    <mergeCell ref="F4:F5"/>
    <mergeCell ref="A4:A5"/>
    <mergeCell ref="A2:L2"/>
    <mergeCell ref="R39:T39"/>
    <mergeCell ref="A22:B22"/>
    <mergeCell ref="B4:B5"/>
    <mergeCell ref="C4:C5"/>
    <mergeCell ref="D4:D5"/>
    <mergeCell ref="E4:E5"/>
    <mergeCell ref="A1:L1"/>
    <mergeCell ref="I3:L4"/>
    <mergeCell ref="G3:G5"/>
    <mergeCell ref="H3:H5"/>
    <mergeCell ref="N39:P3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64"/>
  <sheetViews>
    <sheetView workbookViewId="0">
      <selection sqref="A1:H1"/>
    </sheetView>
  </sheetViews>
  <sheetFormatPr defaultRowHeight="15" x14ac:dyDescent="0.25"/>
  <sheetData>
    <row r="1" spans="1:28" x14ac:dyDescent="0.25">
      <c r="A1" s="179" t="s">
        <v>36</v>
      </c>
      <c r="B1" s="179"/>
      <c r="C1" s="179"/>
      <c r="D1" s="179"/>
      <c r="E1" s="179"/>
      <c r="F1" s="179"/>
      <c r="G1" s="179"/>
      <c r="H1" s="179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</row>
    <row r="2" spans="1:28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s="13" t="s">
        <v>34</v>
      </c>
      <c r="R2" s="181" t="s">
        <v>51</v>
      </c>
      <c r="S2" s="181"/>
      <c r="T2" s="181"/>
      <c r="U2" s="15"/>
      <c r="V2" s="15"/>
      <c r="W2" s="173" t="s">
        <v>38</v>
      </c>
      <c r="X2" s="173"/>
      <c r="Y2" s="173"/>
    </row>
    <row r="3" spans="1:28" x14ac:dyDescent="0.25">
      <c r="A3">
        <v>5</v>
      </c>
      <c r="C3">
        <v>25.5</v>
      </c>
      <c r="D3">
        <v>26.5</v>
      </c>
      <c r="E3">
        <v>27.2</v>
      </c>
      <c r="F3">
        <v>26.9</v>
      </c>
      <c r="G3">
        <v>26.7</v>
      </c>
      <c r="R3" s="12">
        <v>16.100000000000001</v>
      </c>
      <c r="S3" s="12">
        <v>24.9</v>
      </c>
      <c r="T3" s="12">
        <v>40.200000000000003</v>
      </c>
      <c r="W3">
        <v>30</v>
      </c>
      <c r="X3">
        <v>50</v>
      </c>
      <c r="Y3" s="14">
        <v>70</v>
      </c>
    </row>
    <row r="4" spans="1:28" x14ac:dyDescent="0.25">
      <c r="A4">
        <v>10</v>
      </c>
      <c r="B4">
        <v>1012</v>
      </c>
      <c r="C4">
        <v>26</v>
      </c>
      <c r="D4">
        <v>28.8</v>
      </c>
      <c r="E4">
        <v>29.5</v>
      </c>
      <c r="F4">
        <v>28.2</v>
      </c>
      <c r="G4">
        <v>27.9</v>
      </c>
      <c r="R4" s="12">
        <v>1000</v>
      </c>
      <c r="S4" s="12">
        <v>1250</v>
      </c>
      <c r="T4" s="12">
        <v>1600</v>
      </c>
      <c r="W4" s="8">
        <f>239.87*W3^0.5137</f>
        <v>1376.490199765258</v>
      </c>
      <c r="X4" s="8">
        <f>239.87*X3^0.5137</f>
        <v>1789.5211119356345</v>
      </c>
      <c r="Y4" s="8">
        <f>239.87*Y3^0.5137</f>
        <v>2127.1729333239127</v>
      </c>
    </row>
    <row r="5" spans="1:28" x14ac:dyDescent="0.25">
      <c r="A5">
        <v>15</v>
      </c>
      <c r="B5">
        <v>1010</v>
      </c>
      <c r="C5">
        <v>26.1</v>
      </c>
      <c r="D5">
        <v>32.9</v>
      </c>
      <c r="E5">
        <v>33.299999999999997</v>
      </c>
      <c r="F5">
        <v>30.9</v>
      </c>
      <c r="G5">
        <v>30.8</v>
      </c>
    </row>
    <row r="6" spans="1:28" x14ac:dyDescent="0.25">
      <c r="A6">
        <v>20</v>
      </c>
      <c r="B6">
        <v>1011</v>
      </c>
      <c r="C6">
        <v>26.3</v>
      </c>
      <c r="D6">
        <v>35</v>
      </c>
      <c r="E6">
        <v>35.5</v>
      </c>
      <c r="F6">
        <v>32.9</v>
      </c>
      <c r="G6">
        <v>32.799999999999997</v>
      </c>
    </row>
    <row r="7" spans="1:28" x14ac:dyDescent="0.25">
      <c r="A7">
        <v>25</v>
      </c>
      <c r="B7">
        <v>1012</v>
      </c>
      <c r="C7">
        <v>26.5</v>
      </c>
      <c r="D7">
        <v>36.6</v>
      </c>
      <c r="E7">
        <v>37.299999999999997</v>
      </c>
      <c r="F7">
        <v>34.4</v>
      </c>
      <c r="G7">
        <v>34.5</v>
      </c>
    </row>
    <row r="8" spans="1:28" x14ac:dyDescent="0.25">
      <c r="A8">
        <v>30</v>
      </c>
      <c r="B8">
        <v>1012</v>
      </c>
      <c r="C8">
        <v>26.7</v>
      </c>
      <c r="D8">
        <v>37.799999999999997</v>
      </c>
      <c r="E8">
        <v>38.5</v>
      </c>
      <c r="F8">
        <v>35.5</v>
      </c>
      <c r="G8">
        <v>35.6</v>
      </c>
    </row>
    <row r="9" spans="1:28" x14ac:dyDescent="0.25">
      <c r="A9">
        <v>35</v>
      </c>
      <c r="B9">
        <v>1014</v>
      </c>
      <c r="C9">
        <v>26.8</v>
      </c>
      <c r="D9">
        <v>38.799999999999997</v>
      </c>
      <c r="E9">
        <v>39.5</v>
      </c>
      <c r="F9">
        <v>36.5</v>
      </c>
      <c r="G9">
        <v>36.700000000000003</v>
      </c>
    </row>
    <row r="10" spans="1:28" x14ac:dyDescent="0.25">
      <c r="A10">
        <v>40</v>
      </c>
      <c r="B10">
        <v>1013</v>
      </c>
      <c r="C10">
        <v>26.9</v>
      </c>
      <c r="D10">
        <v>39.5</v>
      </c>
      <c r="E10">
        <v>40.200000000000003</v>
      </c>
      <c r="F10">
        <v>37.200000000000003</v>
      </c>
      <c r="G10">
        <v>37.5</v>
      </c>
    </row>
    <row r="11" spans="1:28" x14ac:dyDescent="0.25">
      <c r="A11">
        <v>45</v>
      </c>
      <c r="B11">
        <v>1015</v>
      </c>
      <c r="C11">
        <v>26.9</v>
      </c>
      <c r="D11">
        <v>40</v>
      </c>
      <c r="E11">
        <v>40.5</v>
      </c>
      <c r="F11">
        <v>37.6</v>
      </c>
      <c r="G11">
        <v>38.200000000000003</v>
      </c>
    </row>
    <row r="12" spans="1:28" x14ac:dyDescent="0.25">
      <c r="A12">
        <v>50</v>
      </c>
      <c r="B12">
        <v>1012</v>
      </c>
      <c r="C12">
        <v>27</v>
      </c>
      <c r="D12">
        <v>40.299999999999997</v>
      </c>
      <c r="E12">
        <v>41</v>
      </c>
      <c r="F12">
        <v>38.1</v>
      </c>
      <c r="G12">
        <v>38.799999999999997</v>
      </c>
    </row>
    <row r="13" spans="1:28" x14ac:dyDescent="0.25">
      <c r="A13">
        <v>55</v>
      </c>
      <c r="B13">
        <v>1013</v>
      </c>
      <c r="C13">
        <v>27.1</v>
      </c>
      <c r="D13">
        <v>40.799999999999997</v>
      </c>
      <c r="E13">
        <v>41.5</v>
      </c>
      <c r="F13">
        <v>38.4</v>
      </c>
      <c r="G13">
        <v>39.299999999999997</v>
      </c>
    </row>
    <row r="14" spans="1:28" x14ac:dyDescent="0.25">
      <c r="A14">
        <v>60</v>
      </c>
      <c r="B14">
        <v>1012</v>
      </c>
      <c r="C14">
        <v>27.2</v>
      </c>
      <c r="D14">
        <v>41.3</v>
      </c>
      <c r="E14">
        <v>41.8</v>
      </c>
      <c r="F14">
        <v>38.6</v>
      </c>
      <c r="G14">
        <v>39.799999999999997</v>
      </c>
    </row>
    <row r="15" spans="1:28" x14ac:dyDescent="0.25">
      <c r="A15">
        <v>65</v>
      </c>
      <c r="B15">
        <v>1010</v>
      </c>
      <c r="C15">
        <v>27.2</v>
      </c>
      <c r="D15">
        <v>41.6</v>
      </c>
      <c r="E15">
        <v>42</v>
      </c>
      <c r="F15">
        <v>38.799999999999997</v>
      </c>
      <c r="G15">
        <v>40.299999999999997</v>
      </c>
    </row>
    <row r="16" spans="1:28" x14ac:dyDescent="0.25">
      <c r="A16">
        <v>70</v>
      </c>
      <c r="B16">
        <v>1014</v>
      </c>
      <c r="C16">
        <v>27.4</v>
      </c>
      <c r="D16">
        <v>41.8</v>
      </c>
      <c r="E16">
        <v>42.2</v>
      </c>
      <c r="F16">
        <v>39</v>
      </c>
      <c r="G16">
        <v>40.6</v>
      </c>
    </row>
    <row r="17" spans="1:8" x14ac:dyDescent="0.25">
      <c r="A17">
        <v>75</v>
      </c>
      <c r="B17">
        <v>1012</v>
      </c>
      <c r="C17">
        <v>27.3</v>
      </c>
      <c r="D17">
        <v>41.9</v>
      </c>
      <c r="E17">
        <v>42.5</v>
      </c>
      <c r="F17">
        <v>39.200000000000003</v>
      </c>
      <c r="G17">
        <v>40.799999999999997</v>
      </c>
    </row>
    <row r="18" spans="1:8" x14ac:dyDescent="0.25">
      <c r="A18">
        <v>80</v>
      </c>
      <c r="B18">
        <v>985</v>
      </c>
      <c r="C18">
        <v>27.2</v>
      </c>
      <c r="D18">
        <v>41.8</v>
      </c>
      <c r="E18">
        <v>42.5</v>
      </c>
      <c r="F18">
        <v>39.200000000000003</v>
      </c>
      <c r="G18">
        <v>41</v>
      </c>
    </row>
    <row r="19" spans="1:8" x14ac:dyDescent="0.25">
      <c r="A19">
        <v>85</v>
      </c>
      <c r="B19">
        <v>1015</v>
      </c>
      <c r="C19">
        <v>27.4</v>
      </c>
      <c r="D19">
        <v>42</v>
      </c>
      <c r="E19">
        <v>42.5</v>
      </c>
      <c r="F19">
        <v>39.299999999999997</v>
      </c>
      <c r="G19">
        <v>41.1</v>
      </c>
    </row>
    <row r="20" spans="1:8" x14ac:dyDescent="0.25">
      <c r="A20">
        <v>90</v>
      </c>
      <c r="B20">
        <v>1019</v>
      </c>
      <c r="C20">
        <v>27.1</v>
      </c>
      <c r="D20">
        <v>42</v>
      </c>
      <c r="E20">
        <v>42.7</v>
      </c>
      <c r="F20">
        <v>39.299999999999997</v>
      </c>
      <c r="G20">
        <v>41.3</v>
      </c>
    </row>
    <row r="21" spans="1:8" x14ac:dyDescent="0.25">
      <c r="A21">
        <v>95</v>
      </c>
      <c r="B21">
        <v>1021</v>
      </c>
      <c r="C21">
        <v>26.9</v>
      </c>
      <c r="D21">
        <v>41.9</v>
      </c>
      <c r="E21">
        <v>42.6</v>
      </c>
      <c r="F21">
        <v>39.200000000000003</v>
      </c>
      <c r="G21">
        <v>41.3</v>
      </c>
    </row>
    <row r="22" spans="1:8" x14ac:dyDescent="0.25">
      <c r="A22">
        <v>100</v>
      </c>
      <c r="B22">
        <v>1019</v>
      </c>
      <c r="C22">
        <v>26.8</v>
      </c>
      <c r="D22">
        <v>41.9</v>
      </c>
      <c r="E22">
        <v>42.8</v>
      </c>
      <c r="F22">
        <v>39.299999999999997</v>
      </c>
      <c r="G22">
        <v>41.5</v>
      </c>
    </row>
    <row r="23" spans="1:8" x14ac:dyDescent="0.25">
      <c r="A23">
        <v>105</v>
      </c>
      <c r="B23">
        <v>1017</v>
      </c>
      <c r="C23">
        <v>26.9</v>
      </c>
      <c r="D23">
        <v>42</v>
      </c>
      <c r="E23">
        <v>42.7</v>
      </c>
      <c r="F23">
        <v>39.299999999999997</v>
      </c>
      <c r="G23">
        <v>41.6</v>
      </c>
    </row>
    <row r="24" spans="1:8" x14ac:dyDescent="0.25">
      <c r="A24">
        <v>110</v>
      </c>
      <c r="B24">
        <v>1018</v>
      </c>
      <c r="C24">
        <v>26.8</v>
      </c>
      <c r="D24">
        <v>42.1</v>
      </c>
      <c r="E24">
        <v>42.8</v>
      </c>
      <c r="F24">
        <v>39.200000000000003</v>
      </c>
      <c r="G24">
        <v>41.6</v>
      </c>
    </row>
    <row r="25" spans="1:8" x14ac:dyDescent="0.25">
      <c r="A25">
        <v>115</v>
      </c>
      <c r="B25">
        <v>1017</v>
      </c>
      <c r="C25">
        <v>26.9</v>
      </c>
      <c r="D25">
        <v>42.2</v>
      </c>
      <c r="E25">
        <v>42.8</v>
      </c>
      <c r="F25">
        <v>39.200000000000003</v>
      </c>
      <c r="G25">
        <v>41.8</v>
      </c>
    </row>
    <row r="26" spans="1:8" x14ac:dyDescent="0.25">
      <c r="A26">
        <v>120</v>
      </c>
      <c r="B26">
        <v>1014</v>
      </c>
      <c r="C26">
        <v>26.9</v>
      </c>
      <c r="D26">
        <v>42.2</v>
      </c>
      <c r="E26">
        <v>43</v>
      </c>
      <c r="F26">
        <v>39.299999999999997</v>
      </c>
      <c r="G26">
        <v>41.8</v>
      </c>
    </row>
    <row r="27" spans="1:8" x14ac:dyDescent="0.25">
      <c r="A27">
        <v>125</v>
      </c>
      <c r="B27">
        <v>1014</v>
      </c>
      <c r="C27">
        <v>26.9</v>
      </c>
      <c r="D27">
        <v>42.3</v>
      </c>
      <c r="E27">
        <v>43</v>
      </c>
      <c r="F27">
        <v>39.299999999999997</v>
      </c>
      <c r="G27">
        <v>42</v>
      </c>
    </row>
    <row r="28" spans="1:8" x14ac:dyDescent="0.25">
      <c r="A28">
        <v>130</v>
      </c>
      <c r="B28">
        <v>1014</v>
      </c>
      <c r="C28">
        <v>26.8</v>
      </c>
      <c r="D28">
        <v>42.1</v>
      </c>
      <c r="E28">
        <v>42.9</v>
      </c>
      <c r="F28">
        <v>39.299999999999997</v>
      </c>
      <c r="G28">
        <v>42</v>
      </c>
    </row>
    <row r="29" spans="1:8" x14ac:dyDescent="0.25">
      <c r="A29">
        <v>135</v>
      </c>
      <c r="B29">
        <v>1012</v>
      </c>
      <c r="C29">
        <v>26.8</v>
      </c>
      <c r="D29">
        <v>42.2</v>
      </c>
      <c r="E29">
        <v>43</v>
      </c>
      <c r="F29">
        <v>39.299999999999997</v>
      </c>
      <c r="G29">
        <v>42</v>
      </c>
    </row>
    <row r="30" spans="1:8" x14ac:dyDescent="0.25">
      <c r="A30" s="12">
        <v>140</v>
      </c>
      <c r="B30" s="12">
        <v>1013</v>
      </c>
      <c r="C30" s="12">
        <v>26.9</v>
      </c>
      <c r="D30" s="12">
        <v>42.3</v>
      </c>
      <c r="E30" s="12">
        <v>43</v>
      </c>
      <c r="F30" s="12">
        <v>39.299999999999997</v>
      </c>
      <c r="G30" s="12">
        <v>42</v>
      </c>
      <c r="H30">
        <f>E30-C30</f>
        <v>16.100000000000001</v>
      </c>
    </row>
    <row r="31" spans="1:8" x14ac:dyDescent="0.25">
      <c r="A31">
        <v>145</v>
      </c>
      <c r="B31">
        <v>1263</v>
      </c>
      <c r="C31">
        <v>27.2</v>
      </c>
      <c r="D31">
        <v>44.5</v>
      </c>
      <c r="E31">
        <v>44.9</v>
      </c>
      <c r="F31">
        <v>40.299999999999997</v>
      </c>
      <c r="G31">
        <v>43.1</v>
      </c>
    </row>
    <row r="32" spans="1:8" x14ac:dyDescent="0.25">
      <c r="A32">
        <v>150</v>
      </c>
      <c r="B32">
        <v>1263</v>
      </c>
      <c r="C32">
        <v>27.3</v>
      </c>
      <c r="D32">
        <v>46.3</v>
      </c>
      <c r="E32">
        <v>46.8</v>
      </c>
      <c r="F32">
        <v>41.8</v>
      </c>
      <c r="G32">
        <v>44.6</v>
      </c>
    </row>
    <row r="33" spans="1:7" x14ac:dyDescent="0.25">
      <c r="A33">
        <v>155</v>
      </c>
      <c r="B33">
        <v>1259</v>
      </c>
      <c r="C33">
        <v>27.3</v>
      </c>
      <c r="D33">
        <v>47.4</v>
      </c>
      <c r="E33">
        <v>47.9</v>
      </c>
      <c r="F33">
        <v>42.7</v>
      </c>
      <c r="G33">
        <v>45.8</v>
      </c>
    </row>
    <row r="34" spans="1:7" x14ac:dyDescent="0.25">
      <c r="A34">
        <v>160</v>
      </c>
      <c r="B34">
        <v>1258</v>
      </c>
      <c r="C34">
        <v>27.3</v>
      </c>
      <c r="D34">
        <v>48.1</v>
      </c>
      <c r="E34">
        <v>48.8</v>
      </c>
      <c r="F34">
        <v>43.4</v>
      </c>
      <c r="G34">
        <v>46.5</v>
      </c>
    </row>
    <row r="35" spans="1:7" x14ac:dyDescent="0.25">
      <c r="A35">
        <v>165</v>
      </c>
      <c r="B35">
        <v>1253</v>
      </c>
      <c r="C35">
        <v>27.4</v>
      </c>
      <c r="D35">
        <v>48.5</v>
      </c>
      <c r="E35">
        <v>49.3</v>
      </c>
      <c r="F35">
        <v>43.9</v>
      </c>
      <c r="G35">
        <v>47.1</v>
      </c>
    </row>
    <row r="36" spans="1:7" x14ac:dyDescent="0.25">
      <c r="A36">
        <v>170</v>
      </c>
      <c r="B36">
        <v>1251</v>
      </c>
      <c r="C36">
        <v>27.3</v>
      </c>
      <c r="D36">
        <v>48.9</v>
      </c>
      <c r="E36">
        <v>49.8</v>
      </c>
      <c r="F36">
        <v>44.3</v>
      </c>
      <c r="G36">
        <v>47.7</v>
      </c>
    </row>
    <row r="37" spans="1:7" x14ac:dyDescent="0.25">
      <c r="A37">
        <v>175</v>
      </c>
      <c r="B37">
        <v>1253</v>
      </c>
      <c r="C37">
        <v>27.2</v>
      </c>
      <c r="D37">
        <v>49.2</v>
      </c>
      <c r="E37">
        <v>50.2</v>
      </c>
      <c r="F37">
        <v>44.6</v>
      </c>
      <c r="G37">
        <v>48</v>
      </c>
    </row>
    <row r="38" spans="1:7" x14ac:dyDescent="0.25">
      <c r="A38">
        <v>180</v>
      </c>
      <c r="B38">
        <v>1252</v>
      </c>
      <c r="C38">
        <v>27.2</v>
      </c>
      <c r="D38">
        <v>49.5</v>
      </c>
      <c r="E38">
        <v>50.5</v>
      </c>
      <c r="F38">
        <v>44.9</v>
      </c>
      <c r="G38">
        <v>48.4</v>
      </c>
    </row>
    <row r="39" spans="1:7" x14ac:dyDescent="0.25">
      <c r="A39">
        <v>185</v>
      </c>
      <c r="B39">
        <v>1260</v>
      </c>
      <c r="C39">
        <v>27.5</v>
      </c>
      <c r="D39">
        <v>49.7</v>
      </c>
      <c r="E39">
        <v>50.6</v>
      </c>
      <c r="F39">
        <v>45.1</v>
      </c>
      <c r="G39">
        <v>48.6</v>
      </c>
    </row>
    <row r="40" spans="1:7" x14ac:dyDescent="0.25">
      <c r="A40">
        <v>190</v>
      </c>
      <c r="B40">
        <v>1267</v>
      </c>
      <c r="C40">
        <v>27.5</v>
      </c>
      <c r="D40">
        <v>50</v>
      </c>
      <c r="E40">
        <v>50.9</v>
      </c>
      <c r="F40">
        <v>45.3</v>
      </c>
      <c r="G40">
        <v>48.9</v>
      </c>
    </row>
    <row r="41" spans="1:7" x14ac:dyDescent="0.25">
      <c r="A41">
        <v>195</v>
      </c>
      <c r="B41">
        <v>1261</v>
      </c>
      <c r="C41">
        <v>27.5</v>
      </c>
      <c r="D41">
        <v>50.4</v>
      </c>
      <c r="E41">
        <v>51.5</v>
      </c>
      <c r="F41">
        <v>45.5</v>
      </c>
      <c r="G41">
        <v>49.2</v>
      </c>
    </row>
    <row r="42" spans="1:7" x14ac:dyDescent="0.25">
      <c r="A42">
        <v>200</v>
      </c>
      <c r="B42">
        <v>1258</v>
      </c>
      <c r="C42">
        <v>27.6</v>
      </c>
      <c r="D42">
        <v>50.3</v>
      </c>
      <c r="E42">
        <v>51.8</v>
      </c>
      <c r="F42">
        <v>45.7</v>
      </c>
      <c r="G42">
        <v>49.3</v>
      </c>
    </row>
    <row r="43" spans="1:7" x14ac:dyDescent="0.25">
      <c r="A43">
        <v>205</v>
      </c>
      <c r="B43">
        <v>1258</v>
      </c>
      <c r="C43">
        <v>27.6</v>
      </c>
      <c r="D43">
        <v>50.4</v>
      </c>
      <c r="E43">
        <v>51.6</v>
      </c>
      <c r="F43">
        <v>45.8</v>
      </c>
      <c r="G43">
        <v>49.5</v>
      </c>
    </row>
    <row r="44" spans="1:7" x14ac:dyDescent="0.25">
      <c r="A44">
        <v>210</v>
      </c>
      <c r="B44">
        <v>1259</v>
      </c>
      <c r="C44">
        <v>27.6</v>
      </c>
      <c r="D44">
        <v>50.2</v>
      </c>
      <c r="E44">
        <v>51.6</v>
      </c>
      <c r="F44">
        <v>46</v>
      </c>
      <c r="G44">
        <v>49.7</v>
      </c>
    </row>
    <row r="45" spans="1:7" x14ac:dyDescent="0.25">
      <c r="A45">
        <v>215</v>
      </c>
      <c r="B45">
        <v>1261</v>
      </c>
      <c r="C45">
        <v>27.8</v>
      </c>
      <c r="D45">
        <v>50.5</v>
      </c>
      <c r="E45">
        <v>51.7</v>
      </c>
      <c r="F45">
        <v>45.9</v>
      </c>
      <c r="G45">
        <v>49.7</v>
      </c>
    </row>
    <row r="46" spans="1:7" x14ac:dyDescent="0.25">
      <c r="A46">
        <v>220</v>
      </c>
      <c r="B46">
        <v>1265</v>
      </c>
      <c r="C46">
        <v>27.8</v>
      </c>
      <c r="D46">
        <v>50.8</v>
      </c>
      <c r="E46">
        <v>51.9</v>
      </c>
      <c r="F46">
        <v>46.1</v>
      </c>
      <c r="G46">
        <v>49.8</v>
      </c>
    </row>
    <row r="47" spans="1:7" x14ac:dyDescent="0.25">
      <c r="A47">
        <v>225</v>
      </c>
      <c r="B47">
        <v>1266</v>
      </c>
      <c r="C47">
        <v>27.6</v>
      </c>
      <c r="D47">
        <v>50.9</v>
      </c>
      <c r="E47">
        <v>52</v>
      </c>
      <c r="F47">
        <v>46.3</v>
      </c>
      <c r="G47">
        <v>50.1</v>
      </c>
    </row>
    <row r="48" spans="1:7" x14ac:dyDescent="0.25">
      <c r="A48">
        <v>230</v>
      </c>
      <c r="B48">
        <v>1264</v>
      </c>
      <c r="C48">
        <v>27.5</v>
      </c>
      <c r="D48">
        <v>50.9</v>
      </c>
      <c r="E48">
        <v>52.1</v>
      </c>
      <c r="F48">
        <v>46.3</v>
      </c>
      <c r="G48">
        <v>50.2</v>
      </c>
    </row>
    <row r="49" spans="1:8" x14ac:dyDescent="0.25">
      <c r="A49" s="12">
        <v>235</v>
      </c>
      <c r="B49" s="12">
        <v>1264</v>
      </c>
      <c r="C49" s="12">
        <v>27.4</v>
      </c>
      <c r="D49" s="12">
        <v>51</v>
      </c>
      <c r="E49" s="12">
        <v>52.3</v>
      </c>
      <c r="F49" s="12">
        <v>46.4</v>
      </c>
      <c r="G49" s="12">
        <v>50.2</v>
      </c>
      <c r="H49">
        <f>E49-C49</f>
        <v>24.9</v>
      </c>
    </row>
    <row r="50" spans="1:8" x14ac:dyDescent="0.25">
      <c r="A50">
        <v>240</v>
      </c>
      <c r="B50">
        <v>1631</v>
      </c>
      <c r="C50">
        <v>27.5</v>
      </c>
      <c r="D50">
        <v>51.8</v>
      </c>
      <c r="E50">
        <v>53.1</v>
      </c>
      <c r="F50">
        <v>46.9</v>
      </c>
      <c r="G50">
        <v>50.6</v>
      </c>
    </row>
    <row r="51" spans="1:8" x14ac:dyDescent="0.25">
      <c r="A51">
        <v>245</v>
      </c>
      <c r="B51">
        <v>1630</v>
      </c>
      <c r="C51">
        <v>27.5</v>
      </c>
      <c r="D51">
        <v>56.6</v>
      </c>
      <c r="E51">
        <v>57.5</v>
      </c>
      <c r="F51">
        <v>49.6</v>
      </c>
      <c r="G51">
        <v>53.5</v>
      </c>
    </row>
    <row r="52" spans="1:8" x14ac:dyDescent="0.25">
      <c r="A52">
        <v>250</v>
      </c>
      <c r="B52">
        <v>1631</v>
      </c>
      <c r="C52">
        <v>27.5</v>
      </c>
      <c r="D52">
        <v>58.8</v>
      </c>
      <c r="E52">
        <v>60.1</v>
      </c>
      <c r="F52">
        <v>51.6</v>
      </c>
      <c r="G52">
        <v>55.7</v>
      </c>
    </row>
    <row r="53" spans="1:8" x14ac:dyDescent="0.25">
      <c r="A53">
        <v>255</v>
      </c>
      <c r="B53">
        <v>1627</v>
      </c>
      <c r="C53">
        <v>27.5</v>
      </c>
      <c r="D53">
        <v>60.4</v>
      </c>
      <c r="E53">
        <v>61.7</v>
      </c>
      <c r="F53">
        <v>53</v>
      </c>
      <c r="G53">
        <v>57.3</v>
      </c>
    </row>
    <row r="54" spans="1:8" x14ac:dyDescent="0.25">
      <c r="A54">
        <v>260</v>
      </c>
      <c r="B54">
        <v>1624</v>
      </c>
      <c r="C54">
        <v>27.4</v>
      </c>
      <c r="D54">
        <v>61.3</v>
      </c>
      <c r="E54">
        <v>62.8</v>
      </c>
      <c r="F54">
        <v>53.9</v>
      </c>
      <c r="G54">
        <v>58.4</v>
      </c>
    </row>
    <row r="55" spans="1:8" x14ac:dyDescent="0.25">
      <c r="A55">
        <v>265</v>
      </c>
      <c r="B55">
        <v>1631</v>
      </c>
      <c r="C55">
        <v>27.4</v>
      </c>
      <c r="D55">
        <v>62.3</v>
      </c>
      <c r="E55">
        <v>63.6</v>
      </c>
      <c r="F55">
        <v>54.7</v>
      </c>
      <c r="G55">
        <v>59.4</v>
      </c>
    </row>
    <row r="56" spans="1:8" x14ac:dyDescent="0.25">
      <c r="A56">
        <v>270</v>
      </c>
      <c r="B56">
        <v>1620</v>
      </c>
      <c r="C56">
        <v>27.4</v>
      </c>
      <c r="D56">
        <v>62.8</v>
      </c>
      <c r="E56">
        <v>64.099999999999994</v>
      </c>
      <c r="F56">
        <v>55.2</v>
      </c>
      <c r="G56">
        <v>60.1</v>
      </c>
    </row>
    <row r="57" spans="1:8" x14ac:dyDescent="0.25">
      <c r="A57">
        <v>275</v>
      </c>
      <c r="B57">
        <v>1625</v>
      </c>
      <c r="C57">
        <v>27.6</v>
      </c>
      <c r="D57">
        <v>63</v>
      </c>
      <c r="E57">
        <v>64.7</v>
      </c>
      <c r="F57">
        <v>55.6</v>
      </c>
      <c r="G57">
        <v>60.6</v>
      </c>
    </row>
    <row r="58" spans="1:8" x14ac:dyDescent="0.25">
      <c r="A58">
        <v>280</v>
      </c>
      <c r="B58">
        <v>1628</v>
      </c>
      <c r="C58">
        <v>27.6</v>
      </c>
      <c r="D58">
        <v>63.4</v>
      </c>
      <c r="E58">
        <v>65.099999999999994</v>
      </c>
      <c r="F58">
        <v>55.9</v>
      </c>
      <c r="G58">
        <v>61</v>
      </c>
    </row>
    <row r="59" spans="1:8" x14ac:dyDescent="0.25">
      <c r="A59">
        <v>285</v>
      </c>
      <c r="B59">
        <v>1624</v>
      </c>
      <c r="C59">
        <v>27.6</v>
      </c>
      <c r="D59">
        <v>63.8</v>
      </c>
      <c r="E59">
        <v>65.599999999999994</v>
      </c>
      <c r="F59">
        <v>56.3</v>
      </c>
      <c r="G59">
        <v>61.5</v>
      </c>
    </row>
    <row r="60" spans="1:8" x14ac:dyDescent="0.25">
      <c r="A60">
        <v>290</v>
      </c>
      <c r="B60">
        <v>1629</v>
      </c>
      <c r="C60">
        <v>27.7</v>
      </c>
      <c r="D60">
        <v>64.2</v>
      </c>
      <c r="E60">
        <v>65.8</v>
      </c>
      <c r="F60">
        <v>56.6</v>
      </c>
      <c r="G60">
        <v>61.9</v>
      </c>
    </row>
    <row r="61" spans="1:8" x14ac:dyDescent="0.25">
      <c r="A61">
        <v>295</v>
      </c>
      <c r="B61">
        <v>1623</v>
      </c>
      <c r="C61">
        <v>27.8</v>
      </c>
      <c r="D61">
        <v>64.599999999999994</v>
      </c>
      <c r="E61">
        <v>66.2</v>
      </c>
      <c r="F61">
        <v>57</v>
      </c>
      <c r="G61">
        <v>62.3</v>
      </c>
    </row>
    <row r="62" spans="1:8" x14ac:dyDescent="0.25">
      <c r="A62">
        <v>300</v>
      </c>
      <c r="B62">
        <v>1620</v>
      </c>
      <c r="C62">
        <v>27.9</v>
      </c>
      <c r="D62">
        <v>64.8</v>
      </c>
      <c r="E62">
        <v>66.400000000000006</v>
      </c>
      <c r="F62">
        <v>57.1</v>
      </c>
      <c r="G62">
        <v>62.6</v>
      </c>
    </row>
    <row r="63" spans="1:8" x14ac:dyDescent="0.25">
      <c r="A63">
        <v>305</v>
      </c>
      <c r="B63">
        <v>1612</v>
      </c>
      <c r="C63">
        <v>27.9</v>
      </c>
      <c r="D63">
        <v>64.900000000000006</v>
      </c>
      <c r="E63">
        <v>66.7</v>
      </c>
      <c r="F63">
        <v>57.3</v>
      </c>
      <c r="G63">
        <v>62.8</v>
      </c>
    </row>
    <row r="64" spans="1:8" x14ac:dyDescent="0.25">
      <c r="A64">
        <v>310</v>
      </c>
      <c r="B64">
        <v>1613</v>
      </c>
      <c r="C64">
        <v>27.9</v>
      </c>
      <c r="D64">
        <v>65.099999999999994</v>
      </c>
      <c r="E64">
        <v>66.7</v>
      </c>
      <c r="F64">
        <v>57.5</v>
      </c>
      <c r="G64">
        <v>63</v>
      </c>
    </row>
    <row r="65" spans="1:52" x14ac:dyDescent="0.25">
      <c r="A65">
        <v>315</v>
      </c>
      <c r="B65">
        <v>1618</v>
      </c>
      <c r="C65">
        <v>28</v>
      </c>
      <c r="D65">
        <v>65.099999999999994</v>
      </c>
      <c r="E65">
        <v>66.900000000000006</v>
      </c>
      <c r="F65">
        <v>57.6</v>
      </c>
      <c r="G65">
        <v>63.1</v>
      </c>
    </row>
    <row r="66" spans="1:52" x14ac:dyDescent="0.25">
      <c r="A66">
        <v>320</v>
      </c>
      <c r="B66">
        <v>1628</v>
      </c>
      <c r="C66">
        <v>28</v>
      </c>
      <c r="D66">
        <v>65.5</v>
      </c>
      <c r="E66">
        <v>67.2</v>
      </c>
      <c r="F66">
        <v>57.8</v>
      </c>
      <c r="G66">
        <v>63.4</v>
      </c>
    </row>
    <row r="67" spans="1:52" x14ac:dyDescent="0.25">
      <c r="A67">
        <v>325</v>
      </c>
      <c r="B67">
        <v>1622</v>
      </c>
      <c r="C67">
        <v>28.1</v>
      </c>
      <c r="D67">
        <v>65.7</v>
      </c>
      <c r="E67">
        <v>67.5</v>
      </c>
      <c r="F67">
        <v>57.9</v>
      </c>
      <c r="G67">
        <v>63.6</v>
      </c>
    </row>
    <row r="68" spans="1:52" x14ac:dyDescent="0.25">
      <c r="A68">
        <v>330</v>
      </c>
      <c r="B68">
        <v>1618</v>
      </c>
      <c r="C68">
        <v>28.1</v>
      </c>
      <c r="D68">
        <v>65.900000000000006</v>
      </c>
      <c r="E68">
        <v>67.7</v>
      </c>
      <c r="F68">
        <v>58.2</v>
      </c>
      <c r="G68">
        <v>63.8</v>
      </c>
    </row>
    <row r="69" spans="1:52" x14ac:dyDescent="0.25">
      <c r="A69">
        <v>335</v>
      </c>
      <c r="B69">
        <v>1619</v>
      </c>
      <c r="C69">
        <v>28.1</v>
      </c>
      <c r="D69">
        <v>66</v>
      </c>
      <c r="E69">
        <v>67.599999999999994</v>
      </c>
      <c r="F69">
        <v>58.2</v>
      </c>
      <c r="G69">
        <v>63.9</v>
      </c>
      <c r="AE69" s="26"/>
      <c r="AG69" s="26"/>
    </row>
    <row r="70" spans="1:52" x14ac:dyDescent="0.25">
      <c r="A70">
        <v>340</v>
      </c>
      <c r="B70">
        <v>1620</v>
      </c>
      <c r="C70">
        <v>28.1</v>
      </c>
      <c r="D70">
        <v>66</v>
      </c>
      <c r="E70">
        <v>67.900000000000006</v>
      </c>
      <c r="F70">
        <v>58.3</v>
      </c>
      <c r="G70">
        <v>64</v>
      </c>
      <c r="AD70" s="26"/>
      <c r="AE70" s="26"/>
      <c r="AF70" s="26"/>
      <c r="AG70" s="26"/>
      <c r="AH70" s="26"/>
    </row>
    <row r="71" spans="1:52" x14ac:dyDescent="0.25">
      <c r="A71">
        <v>345</v>
      </c>
      <c r="B71">
        <v>1617</v>
      </c>
      <c r="C71">
        <v>28.1</v>
      </c>
      <c r="D71">
        <v>66.099999999999994</v>
      </c>
      <c r="E71">
        <v>67.7</v>
      </c>
      <c r="F71">
        <v>58.3</v>
      </c>
      <c r="G71">
        <v>64</v>
      </c>
      <c r="AE71" s="26"/>
      <c r="AG71" s="26"/>
    </row>
    <row r="72" spans="1:52" x14ac:dyDescent="0.25">
      <c r="A72">
        <v>350</v>
      </c>
      <c r="B72">
        <v>1622</v>
      </c>
      <c r="C72">
        <v>28.1</v>
      </c>
      <c r="D72">
        <v>66.3</v>
      </c>
      <c r="E72">
        <v>67.900000000000006</v>
      </c>
      <c r="F72">
        <v>58.3</v>
      </c>
      <c r="G72">
        <v>64.2</v>
      </c>
    </row>
    <row r="73" spans="1:52" x14ac:dyDescent="0.25">
      <c r="A73">
        <v>355</v>
      </c>
      <c r="B73">
        <v>1623</v>
      </c>
      <c r="C73">
        <v>28</v>
      </c>
      <c r="D73">
        <v>66.3</v>
      </c>
      <c r="E73">
        <v>67.900000000000006</v>
      </c>
      <c r="F73">
        <v>58.5</v>
      </c>
      <c r="G73">
        <v>64.2</v>
      </c>
    </row>
    <row r="74" spans="1:52" x14ac:dyDescent="0.25">
      <c r="A74">
        <v>360</v>
      </c>
      <c r="B74">
        <v>1625</v>
      </c>
      <c r="C74">
        <v>27.9</v>
      </c>
      <c r="D74">
        <v>66.2</v>
      </c>
      <c r="E74">
        <v>68</v>
      </c>
      <c r="F74">
        <v>58.5</v>
      </c>
      <c r="G74">
        <v>64.2</v>
      </c>
    </row>
    <row r="75" spans="1:52" x14ac:dyDescent="0.25">
      <c r="A75">
        <v>365</v>
      </c>
      <c r="B75">
        <v>1623</v>
      </c>
      <c r="C75">
        <v>27.8</v>
      </c>
      <c r="D75">
        <v>65.900000000000006</v>
      </c>
      <c r="E75">
        <v>67.900000000000006</v>
      </c>
      <c r="F75">
        <v>58.4</v>
      </c>
      <c r="G75">
        <v>64.099999999999994</v>
      </c>
    </row>
    <row r="76" spans="1:52" x14ac:dyDescent="0.25">
      <c r="A76">
        <v>370</v>
      </c>
      <c r="B76">
        <v>1623</v>
      </c>
      <c r="C76">
        <v>27.7</v>
      </c>
      <c r="D76">
        <v>66.2</v>
      </c>
      <c r="E76">
        <v>67.8</v>
      </c>
      <c r="F76">
        <v>58.4</v>
      </c>
      <c r="G76">
        <v>64</v>
      </c>
    </row>
    <row r="77" spans="1:52" x14ac:dyDescent="0.25">
      <c r="A77" s="12">
        <v>375</v>
      </c>
      <c r="B77" s="12">
        <v>1621</v>
      </c>
      <c r="C77" s="12">
        <v>27.6</v>
      </c>
      <c r="D77" s="12">
        <v>66</v>
      </c>
      <c r="E77" s="12">
        <v>67.8</v>
      </c>
      <c r="F77" s="12">
        <v>58.3</v>
      </c>
      <c r="G77" s="12">
        <v>64</v>
      </c>
      <c r="H77">
        <f>E77-C77</f>
        <v>40.199999999999996</v>
      </c>
    </row>
    <row r="78" spans="1:52" x14ac:dyDescent="0.25">
      <c r="A78" s="179" t="s">
        <v>37</v>
      </c>
      <c r="B78" s="179"/>
      <c r="C78" s="179"/>
      <c r="D78" s="179"/>
      <c r="E78" s="179"/>
      <c r="F78" s="179"/>
      <c r="G78" s="179"/>
      <c r="H78" s="179"/>
      <c r="I78" s="179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</row>
    <row r="79" spans="1:52" x14ac:dyDescent="0.25">
      <c r="A79" t="s">
        <v>27</v>
      </c>
      <c r="B79" t="s">
        <v>28</v>
      </c>
      <c r="C79" t="s">
        <v>29</v>
      </c>
      <c r="D79" t="s">
        <v>30</v>
      </c>
      <c r="E79" t="s">
        <v>31</v>
      </c>
      <c r="F79" t="s">
        <v>35</v>
      </c>
      <c r="G79" t="s">
        <v>32</v>
      </c>
      <c r="H79" t="s">
        <v>33</v>
      </c>
      <c r="S79" s="30"/>
      <c r="T79" s="30"/>
      <c r="U79" s="30"/>
      <c r="X79" s="29"/>
      <c r="Y79" s="29" t="s">
        <v>52</v>
      </c>
      <c r="Z79" s="29"/>
      <c r="AC79" t="s">
        <v>27</v>
      </c>
      <c r="AD79" t="s">
        <v>28</v>
      </c>
      <c r="AE79" t="s">
        <v>44</v>
      </c>
      <c r="AF79" t="s">
        <v>45</v>
      </c>
      <c r="AG79" t="s">
        <v>46</v>
      </c>
      <c r="AH79" t="s">
        <v>47</v>
      </c>
      <c r="AI79" t="s">
        <v>48</v>
      </c>
      <c r="AJ79" t="s">
        <v>29</v>
      </c>
      <c r="AK79" t="s">
        <v>31</v>
      </c>
      <c r="AL79" t="s">
        <v>35</v>
      </c>
      <c r="AM79" t="s">
        <v>32</v>
      </c>
      <c r="AP79" t="s">
        <v>27</v>
      </c>
      <c r="AQ79" t="s">
        <v>28</v>
      </c>
      <c r="AR79" t="s">
        <v>44</v>
      </c>
      <c r="AS79" t="s">
        <v>45</v>
      </c>
      <c r="AT79" t="s">
        <v>46</v>
      </c>
      <c r="AU79" t="s">
        <v>47</v>
      </c>
      <c r="AV79" t="s">
        <v>48</v>
      </c>
      <c r="AW79" t="s">
        <v>29</v>
      </c>
      <c r="AX79" t="s">
        <v>31</v>
      </c>
      <c r="AY79" t="s">
        <v>35</v>
      </c>
      <c r="AZ79" t="s">
        <v>32</v>
      </c>
    </row>
    <row r="80" spans="1:52" x14ac:dyDescent="0.25">
      <c r="A80">
        <v>5</v>
      </c>
      <c r="B80">
        <v>1</v>
      </c>
      <c r="Y80" s="31">
        <v>30</v>
      </c>
      <c r="Z80" s="31">
        <v>50</v>
      </c>
      <c r="AA80" s="12">
        <v>70</v>
      </c>
      <c r="AC80">
        <v>5</v>
      </c>
      <c r="AD80">
        <v>1515</v>
      </c>
      <c r="AE80">
        <v>1.3100000000000001E-2</v>
      </c>
      <c r="AF80">
        <v>1.78E-2</v>
      </c>
      <c r="AG80">
        <v>3.3700000000000001E-2</v>
      </c>
      <c r="AH80">
        <v>28.7</v>
      </c>
      <c r="AI80">
        <v>29</v>
      </c>
      <c r="AJ80">
        <v>27.8</v>
      </c>
      <c r="AK80">
        <v>28.7</v>
      </c>
      <c r="AL80">
        <v>28.2</v>
      </c>
      <c r="AM80">
        <v>28.7</v>
      </c>
      <c r="AP80">
        <v>5</v>
      </c>
      <c r="AU80">
        <v>30.4</v>
      </c>
      <c r="AV80">
        <v>30.8</v>
      </c>
      <c r="AW80">
        <v>27.4</v>
      </c>
      <c r="AX80">
        <v>30.9</v>
      </c>
      <c r="AY80">
        <v>30.4</v>
      </c>
      <c r="AZ80">
        <v>30.7</v>
      </c>
    </row>
    <row r="81" spans="1:52" x14ac:dyDescent="0.25">
      <c r="A81">
        <v>10</v>
      </c>
      <c r="B81">
        <v>1252</v>
      </c>
      <c r="C81">
        <v>27.3</v>
      </c>
      <c r="D81">
        <v>30</v>
      </c>
      <c r="E81">
        <v>29.9</v>
      </c>
      <c r="F81">
        <v>30.4</v>
      </c>
      <c r="G81">
        <v>29.7</v>
      </c>
      <c r="H81">
        <v>30.1</v>
      </c>
      <c r="Y81" s="32">
        <f>320.4*Y80^0.5251</f>
        <v>1911.3000812578698</v>
      </c>
      <c r="Z81" s="32">
        <f t="shared" ref="Z81:AA81" si="0">320.4*Z80^0.5251</f>
        <v>2499.3188040430268</v>
      </c>
      <c r="AA81" s="32">
        <f t="shared" si="0"/>
        <v>2982.3148307407428</v>
      </c>
      <c r="AC81">
        <v>10</v>
      </c>
      <c r="AD81">
        <v>2009</v>
      </c>
      <c r="AE81">
        <v>1.6299999999999999E-2</v>
      </c>
      <c r="AF81">
        <v>3.1099999999999999E-2</v>
      </c>
      <c r="AG81">
        <v>4.2900000000000001E-2</v>
      </c>
      <c r="AH81">
        <v>34.1</v>
      </c>
      <c r="AI81">
        <v>33</v>
      </c>
      <c r="AJ81">
        <v>28.1</v>
      </c>
      <c r="AK81">
        <v>33</v>
      </c>
      <c r="AL81">
        <v>32.1</v>
      </c>
      <c r="AM81">
        <v>32.6</v>
      </c>
      <c r="AP81">
        <v>10</v>
      </c>
      <c r="AQ81">
        <v>2008</v>
      </c>
      <c r="AR81">
        <v>1.61E-2</v>
      </c>
      <c r="AS81">
        <v>3.0700000000000002E-2</v>
      </c>
      <c r="AT81">
        <v>4.2700000000000002E-2</v>
      </c>
      <c r="AU81">
        <v>34.9</v>
      </c>
      <c r="AV81">
        <v>34.4</v>
      </c>
      <c r="AW81">
        <v>27.5</v>
      </c>
      <c r="AX81">
        <v>34.700000000000003</v>
      </c>
      <c r="AY81">
        <v>33.5</v>
      </c>
      <c r="AZ81">
        <v>33.799999999999997</v>
      </c>
    </row>
    <row r="82" spans="1:52" x14ac:dyDescent="0.25">
      <c r="A82">
        <v>15</v>
      </c>
      <c r="B82">
        <v>1270</v>
      </c>
      <c r="C82">
        <v>27.3</v>
      </c>
      <c r="D82">
        <v>31.9</v>
      </c>
      <c r="E82">
        <v>31.8</v>
      </c>
      <c r="F82">
        <v>32.4</v>
      </c>
      <c r="G82">
        <v>31.5</v>
      </c>
      <c r="H82">
        <v>32.1</v>
      </c>
      <c r="AC82">
        <v>15</v>
      </c>
      <c r="AD82">
        <v>2012</v>
      </c>
      <c r="AE82">
        <v>1.66E-2</v>
      </c>
      <c r="AF82">
        <v>3.1199999999999999E-2</v>
      </c>
      <c r="AG82">
        <v>4.3099999999999999E-2</v>
      </c>
      <c r="AH82">
        <v>38.6</v>
      </c>
      <c r="AI82">
        <v>37.6</v>
      </c>
      <c r="AJ82">
        <v>28</v>
      </c>
      <c r="AK82">
        <v>37.799999999999997</v>
      </c>
      <c r="AL82">
        <v>36.5</v>
      </c>
      <c r="AM82">
        <v>36.799999999999997</v>
      </c>
      <c r="AP82">
        <v>15</v>
      </c>
      <c r="AQ82">
        <v>2007</v>
      </c>
      <c r="AR82">
        <v>1.66E-2</v>
      </c>
      <c r="AS82">
        <v>3.1E-2</v>
      </c>
      <c r="AT82">
        <v>4.2799999999999998E-2</v>
      </c>
      <c r="AU82">
        <v>39.1</v>
      </c>
      <c r="AV82">
        <v>38.799999999999997</v>
      </c>
      <c r="AW82">
        <v>27.3</v>
      </c>
      <c r="AX82">
        <v>39.299999999999997</v>
      </c>
      <c r="AY82">
        <v>37.700000000000003</v>
      </c>
      <c r="AZ82">
        <v>37.9</v>
      </c>
    </row>
    <row r="83" spans="1:52" x14ac:dyDescent="0.25">
      <c r="A83">
        <v>20</v>
      </c>
      <c r="B83">
        <v>1270</v>
      </c>
      <c r="C83">
        <v>27.4</v>
      </c>
      <c r="D83">
        <v>33.5</v>
      </c>
      <c r="E83">
        <v>33.5</v>
      </c>
      <c r="F83">
        <v>34.200000000000003</v>
      </c>
      <c r="G83">
        <v>33</v>
      </c>
      <c r="H83">
        <v>33.9</v>
      </c>
      <c r="AC83">
        <v>20</v>
      </c>
      <c r="AD83">
        <v>2016</v>
      </c>
      <c r="AE83">
        <v>1.67E-2</v>
      </c>
      <c r="AF83">
        <v>3.1099999999999999E-2</v>
      </c>
      <c r="AG83">
        <v>4.2900000000000001E-2</v>
      </c>
      <c r="AH83">
        <v>42.1</v>
      </c>
      <c r="AI83">
        <v>41.2</v>
      </c>
      <c r="AJ83">
        <v>28</v>
      </c>
      <c r="AK83">
        <v>41.6</v>
      </c>
      <c r="AL83">
        <v>40</v>
      </c>
      <c r="AM83">
        <v>40.299999999999997</v>
      </c>
      <c r="AP83">
        <v>20</v>
      </c>
      <c r="AQ83">
        <v>2008</v>
      </c>
      <c r="AR83">
        <v>1.67E-2</v>
      </c>
      <c r="AS83">
        <v>3.09E-2</v>
      </c>
      <c r="AT83">
        <v>4.2900000000000001E-2</v>
      </c>
      <c r="AU83">
        <v>42.3</v>
      </c>
      <c r="AV83">
        <v>42.1</v>
      </c>
      <c r="AW83">
        <v>27.5</v>
      </c>
      <c r="AX83">
        <v>42.8</v>
      </c>
      <c r="AY83">
        <v>40.9</v>
      </c>
      <c r="AZ83">
        <v>41</v>
      </c>
    </row>
    <row r="84" spans="1:52" x14ac:dyDescent="0.25">
      <c r="A84">
        <v>25</v>
      </c>
      <c r="B84">
        <v>1268</v>
      </c>
      <c r="C84">
        <v>27.6</v>
      </c>
      <c r="D84">
        <v>35</v>
      </c>
      <c r="E84">
        <v>35.299999999999997</v>
      </c>
      <c r="F84">
        <v>36.1</v>
      </c>
      <c r="G84">
        <v>34.5</v>
      </c>
      <c r="H84">
        <v>35.700000000000003</v>
      </c>
      <c r="AC84">
        <v>25</v>
      </c>
      <c r="AD84">
        <v>2022</v>
      </c>
      <c r="AE84">
        <v>1.6899999999999998E-2</v>
      </c>
      <c r="AF84">
        <v>3.0700000000000002E-2</v>
      </c>
      <c r="AG84">
        <v>4.2799999999999998E-2</v>
      </c>
      <c r="AH84">
        <v>44.8</v>
      </c>
      <c r="AI84">
        <v>44.1</v>
      </c>
      <c r="AJ84">
        <v>27.9</v>
      </c>
      <c r="AK84">
        <v>44.5</v>
      </c>
      <c r="AL84">
        <v>42.8</v>
      </c>
      <c r="AM84">
        <v>43.2</v>
      </c>
      <c r="AP84">
        <v>25</v>
      </c>
      <c r="AQ84">
        <v>1996</v>
      </c>
      <c r="AR84">
        <v>1.7000000000000001E-2</v>
      </c>
      <c r="AS84">
        <v>3.1E-2</v>
      </c>
      <c r="AT84">
        <v>4.2999999999999997E-2</v>
      </c>
      <c r="AU84">
        <v>44.9</v>
      </c>
      <c r="AV84">
        <v>44.9</v>
      </c>
      <c r="AW84">
        <v>26.9</v>
      </c>
      <c r="AX84">
        <v>45.6</v>
      </c>
      <c r="AY84">
        <v>43.5</v>
      </c>
      <c r="AZ84">
        <v>43.6</v>
      </c>
    </row>
    <row r="85" spans="1:52" x14ac:dyDescent="0.25">
      <c r="A85">
        <v>30</v>
      </c>
      <c r="B85">
        <v>1275</v>
      </c>
      <c r="C85">
        <v>27.8</v>
      </c>
      <c r="D85">
        <v>36.5</v>
      </c>
      <c r="E85">
        <v>36.799999999999997</v>
      </c>
      <c r="F85">
        <v>37.700000000000003</v>
      </c>
      <c r="G85">
        <v>35.9</v>
      </c>
      <c r="H85">
        <v>37.299999999999997</v>
      </c>
      <c r="AC85">
        <v>30</v>
      </c>
      <c r="AD85">
        <v>2013</v>
      </c>
      <c r="AE85">
        <v>1.7000000000000001E-2</v>
      </c>
      <c r="AF85">
        <v>3.0599999999999999E-2</v>
      </c>
      <c r="AG85">
        <v>4.2700000000000002E-2</v>
      </c>
      <c r="AH85">
        <v>47.2</v>
      </c>
      <c r="AI85">
        <v>46.7</v>
      </c>
      <c r="AJ85">
        <v>28</v>
      </c>
      <c r="AK85">
        <v>47.1</v>
      </c>
      <c r="AL85">
        <v>45.1</v>
      </c>
      <c r="AM85">
        <v>45.7</v>
      </c>
      <c r="AP85">
        <v>30</v>
      </c>
      <c r="AQ85">
        <v>1996</v>
      </c>
      <c r="AR85">
        <v>1.7000000000000001E-2</v>
      </c>
      <c r="AS85">
        <v>3.1E-2</v>
      </c>
      <c r="AT85">
        <v>4.2999999999999997E-2</v>
      </c>
      <c r="AU85">
        <v>46.9</v>
      </c>
      <c r="AV85">
        <v>47</v>
      </c>
      <c r="AW85">
        <v>27.3</v>
      </c>
      <c r="AX85">
        <v>47.8</v>
      </c>
      <c r="AY85">
        <v>45.6</v>
      </c>
      <c r="AZ85">
        <v>45.9</v>
      </c>
    </row>
    <row r="86" spans="1:52" x14ac:dyDescent="0.25">
      <c r="A86">
        <v>35</v>
      </c>
      <c r="B86">
        <v>1266</v>
      </c>
      <c r="C86">
        <v>28</v>
      </c>
      <c r="D86">
        <v>37.700000000000003</v>
      </c>
      <c r="E86">
        <v>38.1</v>
      </c>
      <c r="F86">
        <v>39.1</v>
      </c>
      <c r="G86">
        <v>37.1</v>
      </c>
      <c r="H86">
        <v>38.700000000000003</v>
      </c>
      <c r="AC86">
        <v>35</v>
      </c>
      <c r="AD86">
        <v>2017</v>
      </c>
      <c r="AE86">
        <v>1.7100000000000001E-2</v>
      </c>
      <c r="AF86">
        <v>3.0700000000000002E-2</v>
      </c>
      <c r="AG86">
        <v>4.2799999999999998E-2</v>
      </c>
      <c r="AH86">
        <v>49.1</v>
      </c>
      <c r="AI86">
        <v>48.7</v>
      </c>
      <c r="AJ86">
        <v>28.1</v>
      </c>
      <c r="AK86">
        <v>49.1</v>
      </c>
      <c r="AL86">
        <v>47.1</v>
      </c>
      <c r="AM86">
        <v>47.8</v>
      </c>
      <c r="AP86">
        <v>35</v>
      </c>
      <c r="AQ86">
        <v>2019</v>
      </c>
      <c r="AR86">
        <v>1.7000000000000001E-2</v>
      </c>
      <c r="AS86">
        <v>3.09E-2</v>
      </c>
      <c r="AT86">
        <v>4.2999999999999997E-2</v>
      </c>
      <c r="AU86">
        <v>48.8</v>
      </c>
      <c r="AV86">
        <v>48.9</v>
      </c>
      <c r="AW86">
        <v>27.3</v>
      </c>
      <c r="AX86">
        <v>49.7</v>
      </c>
      <c r="AY86">
        <v>47.3</v>
      </c>
      <c r="AZ86">
        <v>47.9</v>
      </c>
    </row>
    <row r="87" spans="1:52" x14ac:dyDescent="0.25">
      <c r="A87">
        <v>40</v>
      </c>
      <c r="B87">
        <v>1267</v>
      </c>
      <c r="C87">
        <v>28</v>
      </c>
      <c r="D87">
        <v>38.799999999999997</v>
      </c>
      <c r="E87">
        <v>39.1</v>
      </c>
      <c r="F87">
        <v>40</v>
      </c>
      <c r="G87">
        <v>38.1</v>
      </c>
      <c r="H87">
        <v>39.799999999999997</v>
      </c>
      <c r="AC87">
        <v>40</v>
      </c>
      <c r="AD87">
        <v>2012</v>
      </c>
      <c r="AE87">
        <v>1.72E-2</v>
      </c>
      <c r="AF87">
        <v>3.0700000000000002E-2</v>
      </c>
      <c r="AG87">
        <v>4.2900000000000001E-2</v>
      </c>
      <c r="AH87">
        <v>50.7</v>
      </c>
      <c r="AI87">
        <v>50.4</v>
      </c>
      <c r="AJ87">
        <v>28.2</v>
      </c>
      <c r="AK87">
        <v>50.8</v>
      </c>
      <c r="AL87">
        <v>48.6</v>
      </c>
      <c r="AM87">
        <v>49.6</v>
      </c>
      <c r="AP87">
        <v>40</v>
      </c>
      <c r="AQ87">
        <v>2009</v>
      </c>
      <c r="AR87">
        <v>1.72E-2</v>
      </c>
      <c r="AS87">
        <v>3.1099999999999999E-2</v>
      </c>
      <c r="AT87">
        <v>4.3099999999999999E-2</v>
      </c>
      <c r="AU87">
        <v>50.1</v>
      </c>
      <c r="AV87">
        <v>50.5</v>
      </c>
      <c r="AW87">
        <v>27.2</v>
      </c>
      <c r="AX87">
        <v>51.2</v>
      </c>
      <c r="AY87">
        <v>48.7</v>
      </c>
      <c r="AZ87">
        <v>49.5</v>
      </c>
    </row>
    <row r="88" spans="1:52" x14ac:dyDescent="0.25">
      <c r="A88">
        <v>45</v>
      </c>
      <c r="B88">
        <v>1265</v>
      </c>
      <c r="C88">
        <v>27.8</v>
      </c>
      <c r="D88">
        <v>39.6</v>
      </c>
      <c r="E88">
        <v>39.6</v>
      </c>
      <c r="F88">
        <v>40.5</v>
      </c>
      <c r="G88">
        <v>38.799999999999997</v>
      </c>
      <c r="H88">
        <v>40.5</v>
      </c>
      <c r="AC88">
        <v>45</v>
      </c>
      <c r="AD88">
        <v>2014</v>
      </c>
      <c r="AE88">
        <v>1.7299999999999999E-2</v>
      </c>
      <c r="AF88">
        <v>3.0700000000000002E-2</v>
      </c>
      <c r="AG88">
        <v>4.2900000000000001E-2</v>
      </c>
      <c r="AH88">
        <v>52</v>
      </c>
      <c r="AI88">
        <v>51.9</v>
      </c>
      <c r="AJ88">
        <v>28.3</v>
      </c>
      <c r="AK88">
        <v>52.3</v>
      </c>
      <c r="AL88">
        <v>49.9</v>
      </c>
      <c r="AM88">
        <v>51.1</v>
      </c>
      <c r="AP88">
        <v>45</v>
      </c>
      <c r="AQ88">
        <v>2004</v>
      </c>
      <c r="AR88">
        <v>1.7299999999999999E-2</v>
      </c>
      <c r="AS88">
        <v>3.1099999999999999E-2</v>
      </c>
      <c r="AT88">
        <v>4.3099999999999999E-2</v>
      </c>
      <c r="AU88">
        <v>51.4</v>
      </c>
      <c r="AV88">
        <v>51.7</v>
      </c>
      <c r="AW88">
        <v>27.2</v>
      </c>
      <c r="AX88">
        <v>52.5</v>
      </c>
      <c r="AY88">
        <v>49.8</v>
      </c>
      <c r="AZ88">
        <v>50.8</v>
      </c>
    </row>
    <row r="89" spans="1:52" x14ac:dyDescent="0.25">
      <c r="A89">
        <v>50</v>
      </c>
      <c r="B89">
        <v>1267</v>
      </c>
      <c r="C89">
        <v>27.9</v>
      </c>
      <c r="D89">
        <v>40.1</v>
      </c>
      <c r="E89">
        <v>40.299999999999997</v>
      </c>
      <c r="F89">
        <v>41.1</v>
      </c>
      <c r="G89">
        <v>39.299999999999997</v>
      </c>
      <c r="H89">
        <v>41.2</v>
      </c>
      <c r="AC89">
        <v>50</v>
      </c>
      <c r="AD89">
        <v>2017</v>
      </c>
      <c r="AE89">
        <v>1.7299999999999999E-2</v>
      </c>
      <c r="AF89">
        <v>3.0700000000000002E-2</v>
      </c>
      <c r="AG89">
        <v>4.2900000000000001E-2</v>
      </c>
      <c r="AH89">
        <v>53.1</v>
      </c>
      <c r="AI89">
        <v>53.1</v>
      </c>
      <c r="AJ89">
        <v>27.9</v>
      </c>
      <c r="AK89">
        <v>53.5</v>
      </c>
      <c r="AL89">
        <v>51.1</v>
      </c>
      <c r="AM89">
        <v>52.5</v>
      </c>
      <c r="AP89">
        <v>50</v>
      </c>
      <c r="AQ89">
        <v>2006</v>
      </c>
      <c r="AR89">
        <v>1.7399999999999999E-2</v>
      </c>
      <c r="AS89">
        <v>3.1099999999999999E-2</v>
      </c>
      <c r="AT89">
        <v>4.3099999999999999E-2</v>
      </c>
      <c r="AU89">
        <v>52.4</v>
      </c>
      <c r="AV89">
        <v>52.8</v>
      </c>
      <c r="AW89">
        <v>27.1</v>
      </c>
      <c r="AX89">
        <v>53.6</v>
      </c>
      <c r="AY89">
        <v>50.8</v>
      </c>
      <c r="AZ89">
        <v>52</v>
      </c>
    </row>
    <row r="90" spans="1:52" x14ac:dyDescent="0.25">
      <c r="A90">
        <v>55</v>
      </c>
      <c r="B90">
        <v>1267</v>
      </c>
      <c r="C90">
        <v>28</v>
      </c>
      <c r="D90">
        <v>40.799999999999997</v>
      </c>
      <c r="E90">
        <v>41.1</v>
      </c>
      <c r="F90">
        <v>42.2</v>
      </c>
      <c r="G90">
        <v>40</v>
      </c>
      <c r="H90">
        <v>42</v>
      </c>
      <c r="AC90">
        <v>55</v>
      </c>
      <c r="AD90">
        <v>2014</v>
      </c>
      <c r="AE90">
        <v>1.7399999999999999E-2</v>
      </c>
      <c r="AF90">
        <v>3.0800000000000001E-2</v>
      </c>
      <c r="AG90">
        <v>4.2900000000000001E-2</v>
      </c>
      <c r="AH90">
        <v>54.1</v>
      </c>
      <c r="AI90">
        <v>54.1</v>
      </c>
      <c r="AJ90">
        <v>28</v>
      </c>
      <c r="AK90">
        <v>54.6</v>
      </c>
      <c r="AL90">
        <v>52</v>
      </c>
      <c r="AM90">
        <v>53.5</v>
      </c>
      <c r="AP90">
        <v>55</v>
      </c>
      <c r="AQ90">
        <v>2007</v>
      </c>
      <c r="AR90">
        <v>1.7299999999999999E-2</v>
      </c>
      <c r="AS90">
        <v>3.1E-2</v>
      </c>
      <c r="AT90">
        <v>4.3099999999999999E-2</v>
      </c>
      <c r="AU90">
        <v>53.4</v>
      </c>
      <c r="AV90">
        <v>53.7</v>
      </c>
      <c r="AW90">
        <v>27.3</v>
      </c>
      <c r="AX90">
        <v>54.6</v>
      </c>
      <c r="AY90">
        <v>51.7</v>
      </c>
      <c r="AZ90">
        <v>53</v>
      </c>
    </row>
    <row r="91" spans="1:52" x14ac:dyDescent="0.25">
      <c r="A91">
        <v>60</v>
      </c>
      <c r="B91">
        <v>1268</v>
      </c>
      <c r="C91">
        <v>28.1</v>
      </c>
      <c r="D91">
        <v>41.5</v>
      </c>
      <c r="E91">
        <v>41.8</v>
      </c>
      <c r="F91">
        <v>42.8</v>
      </c>
      <c r="G91">
        <v>40.700000000000003</v>
      </c>
      <c r="H91">
        <v>42.7</v>
      </c>
      <c r="AC91">
        <v>60</v>
      </c>
      <c r="AD91">
        <v>2006</v>
      </c>
      <c r="AE91">
        <v>1.7500000000000002E-2</v>
      </c>
      <c r="AF91">
        <v>3.0599999999999999E-2</v>
      </c>
      <c r="AG91">
        <v>4.2900000000000001E-2</v>
      </c>
      <c r="AH91">
        <v>54.8</v>
      </c>
      <c r="AI91">
        <v>54.9</v>
      </c>
      <c r="AJ91">
        <v>28</v>
      </c>
      <c r="AK91">
        <v>55.3</v>
      </c>
      <c r="AL91">
        <v>52.8</v>
      </c>
      <c r="AM91">
        <v>54.5</v>
      </c>
      <c r="AP91">
        <v>60</v>
      </c>
      <c r="AQ91">
        <v>1994</v>
      </c>
      <c r="AR91">
        <v>1.7399999999999999E-2</v>
      </c>
      <c r="AS91">
        <v>3.1099999999999999E-2</v>
      </c>
      <c r="AT91">
        <v>4.3200000000000002E-2</v>
      </c>
      <c r="AU91">
        <v>54.2</v>
      </c>
      <c r="AV91">
        <v>54.7</v>
      </c>
      <c r="AW91">
        <v>27.6</v>
      </c>
      <c r="AX91">
        <v>55.5</v>
      </c>
      <c r="AY91">
        <v>52.5</v>
      </c>
      <c r="AZ91">
        <v>54</v>
      </c>
    </row>
    <row r="92" spans="1:52" x14ac:dyDescent="0.25">
      <c r="A92">
        <v>65</v>
      </c>
      <c r="B92">
        <v>1269</v>
      </c>
      <c r="C92">
        <v>28.2</v>
      </c>
      <c r="D92">
        <v>42</v>
      </c>
      <c r="E92">
        <v>42.3</v>
      </c>
      <c r="F92">
        <v>43.2</v>
      </c>
      <c r="G92">
        <v>41.1</v>
      </c>
      <c r="H92">
        <v>43.2</v>
      </c>
      <c r="AC92">
        <v>65</v>
      </c>
      <c r="AD92">
        <v>2018</v>
      </c>
      <c r="AE92">
        <v>1.7500000000000002E-2</v>
      </c>
      <c r="AF92">
        <v>3.0800000000000001E-2</v>
      </c>
      <c r="AG92">
        <v>4.3099999999999999E-2</v>
      </c>
      <c r="AH92">
        <v>55.6</v>
      </c>
      <c r="AI92">
        <v>55.7</v>
      </c>
      <c r="AJ92">
        <v>28</v>
      </c>
      <c r="AK92">
        <v>56.1</v>
      </c>
      <c r="AL92">
        <v>53.5</v>
      </c>
      <c r="AM92">
        <v>55.3</v>
      </c>
      <c r="AP92">
        <v>65</v>
      </c>
      <c r="AQ92">
        <v>1999</v>
      </c>
      <c r="AR92">
        <v>1.7500000000000002E-2</v>
      </c>
      <c r="AS92">
        <v>3.1099999999999999E-2</v>
      </c>
      <c r="AT92">
        <v>4.3200000000000002E-2</v>
      </c>
      <c r="AU92">
        <v>54.7</v>
      </c>
      <c r="AV92">
        <v>55.3</v>
      </c>
      <c r="AW92">
        <v>27.6</v>
      </c>
      <c r="AX92">
        <v>56.2</v>
      </c>
      <c r="AY92">
        <v>53.1</v>
      </c>
      <c r="AZ92">
        <v>54.7</v>
      </c>
    </row>
    <row r="93" spans="1:52" x14ac:dyDescent="0.25">
      <c r="A93">
        <v>70</v>
      </c>
      <c r="B93">
        <v>1274</v>
      </c>
      <c r="C93">
        <v>28.3</v>
      </c>
      <c r="D93">
        <v>42.5</v>
      </c>
      <c r="E93">
        <v>42.9</v>
      </c>
      <c r="F93">
        <v>44</v>
      </c>
      <c r="G93">
        <v>41.6</v>
      </c>
      <c r="H93">
        <v>43.7</v>
      </c>
      <c r="AC93">
        <v>70</v>
      </c>
      <c r="AD93">
        <v>2014</v>
      </c>
      <c r="AE93">
        <v>1.7600000000000001E-2</v>
      </c>
      <c r="AF93">
        <v>3.0800000000000001E-2</v>
      </c>
      <c r="AG93">
        <v>4.3099999999999999E-2</v>
      </c>
      <c r="AH93">
        <v>56.1</v>
      </c>
      <c r="AI93">
        <v>56.3</v>
      </c>
      <c r="AJ93">
        <v>28</v>
      </c>
      <c r="AK93">
        <v>56.8</v>
      </c>
      <c r="AL93">
        <v>54.1</v>
      </c>
      <c r="AM93">
        <v>56</v>
      </c>
      <c r="AP93">
        <v>70</v>
      </c>
      <c r="AQ93">
        <v>1992</v>
      </c>
      <c r="AR93">
        <v>1.7500000000000002E-2</v>
      </c>
      <c r="AS93">
        <v>3.1099999999999999E-2</v>
      </c>
      <c r="AT93">
        <v>4.3200000000000002E-2</v>
      </c>
      <c r="AU93">
        <v>55.4</v>
      </c>
      <c r="AV93">
        <v>56</v>
      </c>
      <c r="AW93">
        <v>27.8</v>
      </c>
      <c r="AX93">
        <v>56.8</v>
      </c>
      <c r="AY93">
        <v>53.7</v>
      </c>
      <c r="AZ93">
        <v>55.4</v>
      </c>
    </row>
    <row r="94" spans="1:52" x14ac:dyDescent="0.25">
      <c r="A94">
        <v>75</v>
      </c>
      <c r="B94">
        <v>1264</v>
      </c>
      <c r="C94">
        <v>28.4</v>
      </c>
      <c r="D94">
        <v>42.9</v>
      </c>
      <c r="E94">
        <v>43.3</v>
      </c>
      <c r="F94">
        <v>44.4</v>
      </c>
      <c r="G94">
        <v>42.2</v>
      </c>
      <c r="H94">
        <v>44.2</v>
      </c>
      <c r="AC94">
        <v>75</v>
      </c>
      <c r="AD94">
        <v>2012</v>
      </c>
      <c r="AE94">
        <v>1.7600000000000001E-2</v>
      </c>
      <c r="AF94">
        <v>3.09E-2</v>
      </c>
      <c r="AG94">
        <v>4.3099999999999999E-2</v>
      </c>
      <c r="AH94">
        <v>56.8</v>
      </c>
      <c r="AI94">
        <v>57</v>
      </c>
      <c r="AJ94">
        <v>27.9</v>
      </c>
      <c r="AK94">
        <v>57.5</v>
      </c>
      <c r="AL94">
        <v>54.7</v>
      </c>
      <c r="AM94">
        <v>56.7</v>
      </c>
      <c r="AP94">
        <v>75</v>
      </c>
      <c r="AQ94">
        <v>1988</v>
      </c>
      <c r="AR94">
        <v>1.7500000000000002E-2</v>
      </c>
      <c r="AS94">
        <v>3.1E-2</v>
      </c>
      <c r="AT94">
        <v>4.3299999999999998E-2</v>
      </c>
      <c r="AU94">
        <v>56</v>
      </c>
      <c r="AV94">
        <v>56.5</v>
      </c>
      <c r="AW94">
        <v>27.8</v>
      </c>
      <c r="AX94">
        <v>57.3</v>
      </c>
      <c r="AY94">
        <v>54.2</v>
      </c>
      <c r="AZ94">
        <v>56</v>
      </c>
    </row>
    <row r="95" spans="1:52" x14ac:dyDescent="0.25">
      <c r="A95">
        <v>80</v>
      </c>
      <c r="B95">
        <v>1269</v>
      </c>
      <c r="C95">
        <v>28.6</v>
      </c>
      <c r="D95">
        <v>43.3</v>
      </c>
      <c r="E95">
        <v>43.6</v>
      </c>
      <c r="F95">
        <v>44.6</v>
      </c>
      <c r="G95">
        <v>42.5</v>
      </c>
      <c r="H95">
        <v>44.5</v>
      </c>
      <c r="AC95">
        <v>80</v>
      </c>
      <c r="AD95">
        <v>2015</v>
      </c>
      <c r="AE95">
        <v>1.7600000000000001E-2</v>
      </c>
      <c r="AF95">
        <v>3.09E-2</v>
      </c>
      <c r="AG95">
        <v>4.3200000000000002E-2</v>
      </c>
      <c r="AH95">
        <v>57.4</v>
      </c>
      <c r="AI95">
        <v>57.6</v>
      </c>
      <c r="AJ95">
        <v>28</v>
      </c>
      <c r="AK95">
        <v>58</v>
      </c>
      <c r="AL95">
        <v>55.2</v>
      </c>
      <c r="AM95">
        <v>57.3</v>
      </c>
      <c r="AP95">
        <v>80</v>
      </c>
      <c r="AQ95">
        <v>2004</v>
      </c>
      <c r="AR95">
        <v>1.7600000000000001E-2</v>
      </c>
      <c r="AS95">
        <v>3.1E-2</v>
      </c>
      <c r="AT95">
        <v>4.3299999999999998E-2</v>
      </c>
      <c r="AU95">
        <v>56.6</v>
      </c>
      <c r="AV95">
        <v>57.2</v>
      </c>
      <c r="AW95">
        <v>27.9</v>
      </c>
      <c r="AX95">
        <v>58</v>
      </c>
      <c r="AY95">
        <v>54.8</v>
      </c>
      <c r="AZ95">
        <v>56.6</v>
      </c>
    </row>
    <row r="96" spans="1:52" x14ac:dyDescent="0.25">
      <c r="A96">
        <v>85</v>
      </c>
      <c r="B96">
        <v>1262</v>
      </c>
      <c r="C96">
        <v>28.7</v>
      </c>
      <c r="D96">
        <v>43.6</v>
      </c>
      <c r="E96">
        <v>43.8</v>
      </c>
      <c r="F96">
        <v>44.7</v>
      </c>
      <c r="G96">
        <v>42.8</v>
      </c>
      <c r="H96">
        <v>44.9</v>
      </c>
      <c r="AC96">
        <v>85</v>
      </c>
      <c r="AD96">
        <v>2002</v>
      </c>
      <c r="AE96">
        <v>1.7600000000000001E-2</v>
      </c>
      <c r="AF96">
        <v>3.0800000000000001E-2</v>
      </c>
      <c r="AG96">
        <v>4.3099999999999999E-2</v>
      </c>
      <c r="AH96">
        <v>57.7</v>
      </c>
      <c r="AI96">
        <v>58</v>
      </c>
      <c r="AJ96">
        <v>28</v>
      </c>
      <c r="AK96">
        <v>58.5</v>
      </c>
      <c r="AL96">
        <v>55.6</v>
      </c>
      <c r="AM96">
        <v>57.7</v>
      </c>
      <c r="AP96">
        <v>85</v>
      </c>
      <c r="AQ96">
        <v>1996</v>
      </c>
      <c r="AR96">
        <v>1.7600000000000001E-2</v>
      </c>
      <c r="AS96">
        <v>3.1E-2</v>
      </c>
      <c r="AT96">
        <v>4.3299999999999998E-2</v>
      </c>
      <c r="AU96">
        <v>57</v>
      </c>
      <c r="AV96">
        <v>57.6</v>
      </c>
      <c r="AW96">
        <v>28</v>
      </c>
      <c r="AX96">
        <v>58.4</v>
      </c>
      <c r="AY96">
        <v>55.2</v>
      </c>
      <c r="AZ96">
        <v>57.1</v>
      </c>
    </row>
    <row r="97" spans="1:53" x14ac:dyDescent="0.25">
      <c r="A97">
        <v>90</v>
      </c>
      <c r="B97">
        <v>1268</v>
      </c>
      <c r="C97">
        <v>28.7</v>
      </c>
      <c r="D97">
        <v>43.8</v>
      </c>
      <c r="E97">
        <v>44</v>
      </c>
      <c r="F97">
        <v>44.9</v>
      </c>
      <c r="G97">
        <v>43</v>
      </c>
      <c r="H97">
        <v>45.1</v>
      </c>
      <c r="AC97">
        <v>90</v>
      </c>
      <c r="AD97">
        <v>2000</v>
      </c>
      <c r="AE97">
        <v>1.77E-2</v>
      </c>
      <c r="AF97">
        <v>3.0800000000000001E-2</v>
      </c>
      <c r="AG97">
        <v>4.3099999999999999E-2</v>
      </c>
      <c r="AH97">
        <v>57.9</v>
      </c>
      <c r="AI97">
        <v>58.3</v>
      </c>
      <c r="AJ97">
        <v>28.1</v>
      </c>
      <c r="AK97">
        <v>58.8</v>
      </c>
      <c r="AL97">
        <v>55.9</v>
      </c>
      <c r="AM97">
        <v>58.1</v>
      </c>
      <c r="AP97">
        <v>90</v>
      </c>
      <c r="AQ97">
        <v>1990</v>
      </c>
      <c r="AR97">
        <v>1.7600000000000001E-2</v>
      </c>
      <c r="AS97">
        <v>3.1099999999999999E-2</v>
      </c>
      <c r="AT97">
        <v>4.3200000000000002E-2</v>
      </c>
      <c r="AU97">
        <v>57.3</v>
      </c>
      <c r="AV97">
        <v>57.9</v>
      </c>
      <c r="AW97">
        <v>27.9</v>
      </c>
      <c r="AX97">
        <v>58.8</v>
      </c>
      <c r="AY97">
        <v>55.5</v>
      </c>
      <c r="AZ97">
        <v>57.5</v>
      </c>
    </row>
    <row r="98" spans="1:53" x14ac:dyDescent="0.25">
      <c r="A98">
        <v>95</v>
      </c>
      <c r="B98">
        <v>1263</v>
      </c>
      <c r="C98">
        <v>28.8</v>
      </c>
      <c r="D98">
        <v>44</v>
      </c>
      <c r="E98">
        <v>44.2</v>
      </c>
      <c r="F98">
        <v>45.1</v>
      </c>
      <c r="G98">
        <v>43.1</v>
      </c>
      <c r="H98">
        <v>45.4</v>
      </c>
      <c r="AC98">
        <v>95</v>
      </c>
      <c r="AD98">
        <v>2026</v>
      </c>
      <c r="AE98">
        <v>1.77E-2</v>
      </c>
      <c r="AF98">
        <v>3.1199999999999999E-2</v>
      </c>
      <c r="AG98">
        <v>4.3400000000000001E-2</v>
      </c>
      <c r="AH98">
        <v>58.1</v>
      </c>
      <c r="AI98">
        <v>58.6</v>
      </c>
      <c r="AJ98">
        <v>27.9</v>
      </c>
      <c r="AK98">
        <v>59.1</v>
      </c>
      <c r="AL98">
        <v>56.1</v>
      </c>
      <c r="AM98">
        <v>58.3</v>
      </c>
      <c r="AP98">
        <v>95</v>
      </c>
      <c r="AQ98">
        <v>1992</v>
      </c>
      <c r="AR98">
        <v>1.77E-2</v>
      </c>
      <c r="AS98">
        <v>3.1099999999999999E-2</v>
      </c>
      <c r="AT98">
        <v>4.3400000000000001E-2</v>
      </c>
      <c r="AU98">
        <v>57.4</v>
      </c>
      <c r="AV98">
        <v>58.1</v>
      </c>
      <c r="AW98">
        <v>27.8</v>
      </c>
      <c r="AX98">
        <v>58.9</v>
      </c>
      <c r="AY98">
        <v>55.7</v>
      </c>
      <c r="AZ98">
        <v>57.7</v>
      </c>
    </row>
    <row r="99" spans="1:53" x14ac:dyDescent="0.25">
      <c r="A99">
        <v>100</v>
      </c>
      <c r="B99">
        <v>1262</v>
      </c>
      <c r="C99">
        <v>28.8</v>
      </c>
      <c r="D99">
        <v>44.1</v>
      </c>
      <c r="E99">
        <v>44.3</v>
      </c>
      <c r="F99">
        <v>45.3</v>
      </c>
      <c r="G99">
        <v>43.2</v>
      </c>
      <c r="H99">
        <v>45.6</v>
      </c>
      <c r="AC99">
        <v>100</v>
      </c>
      <c r="AD99">
        <v>2019</v>
      </c>
      <c r="AE99">
        <v>1.77E-2</v>
      </c>
      <c r="AF99">
        <v>3.1199999999999999E-2</v>
      </c>
      <c r="AG99">
        <v>4.3400000000000001E-2</v>
      </c>
      <c r="AH99">
        <v>58.7</v>
      </c>
      <c r="AI99">
        <v>59</v>
      </c>
      <c r="AJ99">
        <v>28.1</v>
      </c>
      <c r="AK99">
        <v>59.4</v>
      </c>
      <c r="AL99">
        <v>56.6</v>
      </c>
      <c r="AM99">
        <v>58.8</v>
      </c>
      <c r="AP99">
        <v>100</v>
      </c>
      <c r="AQ99">
        <v>1989</v>
      </c>
      <c r="AR99">
        <v>1.7600000000000001E-2</v>
      </c>
      <c r="AS99">
        <v>3.1099999999999999E-2</v>
      </c>
      <c r="AT99">
        <v>4.3299999999999998E-2</v>
      </c>
      <c r="AU99">
        <v>57.7</v>
      </c>
      <c r="AV99">
        <v>58.4</v>
      </c>
      <c r="AW99">
        <v>28</v>
      </c>
      <c r="AX99">
        <v>59.2</v>
      </c>
      <c r="AY99">
        <v>55.9</v>
      </c>
      <c r="AZ99">
        <v>58</v>
      </c>
    </row>
    <row r="100" spans="1:53" x14ac:dyDescent="0.25">
      <c r="A100">
        <v>105</v>
      </c>
      <c r="B100">
        <v>1265</v>
      </c>
      <c r="C100">
        <v>28.8</v>
      </c>
      <c r="D100">
        <v>44.3</v>
      </c>
      <c r="E100">
        <v>44.4</v>
      </c>
      <c r="F100">
        <v>45.5</v>
      </c>
      <c r="G100">
        <v>43.3</v>
      </c>
      <c r="H100">
        <v>45.8</v>
      </c>
      <c r="AC100">
        <v>105</v>
      </c>
      <c r="AD100">
        <v>2020</v>
      </c>
      <c r="AE100">
        <v>1.77E-2</v>
      </c>
      <c r="AF100">
        <v>3.1099999999999999E-2</v>
      </c>
      <c r="AG100">
        <v>4.3299999999999998E-2</v>
      </c>
      <c r="AH100">
        <v>59</v>
      </c>
      <c r="AI100">
        <v>59.4</v>
      </c>
      <c r="AJ100">
        <v>28</v>
      </c>
      <c r="AK100">
        <v>59.9</v>
      </c>
      <c r="AL100">
        <v>56.9</v>
      </c>
      <c r="AM100">
        <v>59.2</v>
      </c>
      <c r="AP100">
        <v>105</v>
      </c>
      <c r="AQ100">
        <v>1990</v>
      </c>
      <c r="AR100">
        <v>1.7600000000000001E-2</v>
      </c>
      <c r="AS100">
        <v>3.1E-2</v>
      </c>
      <c r="AT100">
        <v>4.3299999999999998E-2</v>
      </c>
      <c r="AU100">
        <v>57.8</v>
      </c>
      <c r="AV100">
        <v>58.5</v>
      </c>
      <c r="AW100">
        <v>27.6</v>
      </c>
      <c r="AX100">
        <v>59.4</v>
      </c>
      <c r="AY100">
        <v>55.9</v>
      </c>
      <c r="AZ100">
        <v>58.2</v>
      </c>
    </row>
    <row r="101" spans="1:53" x14ac:dyDescent="0.25">
      <c r="A101">
        <v>110</v>
      </c>
      <c r="B101">
        <v>1260</v>
      </c>
      <c r="C101">
        <v>28.8</v>
      </c>
      <c r="D101">
        <v>44.3</v>
      </c>
      <c r="E101">
        <v>44.5</v>
      </c>
      <c r="F101">
        <v>45.5</v>
      </c>
      <c r="G101">
        <v>43.3</v>
      </c>
      <c r="H101">
        <v>45.9</v>
      </c>
      <c r="AC101">
        <v>110</v>
      </c>
      <c r="AD101">
        <v>2024</v>
      </c>
      <c r="AE101">
        <v>1.77E-2</v>
      </c>
      <c r="AF101">
        <v>3.1099999999999999E-2</v>
      </c>
      <c r="AG101">
        <v>4.3299999999999998E-2</v>
      </c>
      <c r="AH101">
        <v>59.3</v>
      </c>
      <c r="AI101">
        <v>59.8</v>
      </c>
      <c r="AJ101">
        <v>28.1</v>
      </c>
      <c r="AK101">
        <v>60.2</v>
      </c>
      <c r="AL101">
        <v>57.2</v>
      </c>
      <c r="AM101">
        <v>59.5</v>
      </c>
      <c r="AP101">
        <v>110</v>
      </c>
      <c r="AQ101">
        <v>2005</v>
      </c>
      <c r="AR101">
        <v>1.7600000000000001E-2</v>
      </c>
      <c r="AS101">
        <v>3.1E-2</v>
      </c>
      <c r="AT101">
        <v>4.3099999999999999E-2</v>
      </c>
      <c r="AU101">
        <v>58.1</v>
      </c>
      <c r="AV101">
        <v>58.6</v>
      </c>
      <c r="AW101">
        <v>28</v>
      </c>
      <c r="AX101">
        <v>59.4</v>
      </c>
      <c r="AY101">
        <v>56.2</v>
      </c>
      <c r="AZ101">
        <v>58.4</v>
      </c>
    </row>
    <row r="102" spans="1:53" x14ac:dyDescent="0.25">
      <c r="A102">
        <v>115</v>
      </c>
      <c r="B102">
        <v>1261</v>
      </c>
      <c r="C102">
        <v>28.8</v>
      </c>
      <c r="D102">
        <v>44.5</v>
      </c>
      <c r="E102">
        <v>44.5</v>
      </c>
      <c r="F102">
        <v>45.5</v>
      </c>
      <c r="G102">
        <v>43.4</v>
      </c>
      <c r="H102">
        <v>46</v>
      </c>
      <c r="AC102">
        <v>115</v>
      </c>
      <c r="AD102">
        <v>2020</v>
      </c>
      <c r="AE102">
        <v>1.77E-2</v>
      </c>
      <c r="AF102">
        <v>3.1099999999999999E-2</v>
      </c>
      <c r="AG102">
        <v>4.3400000000000001E-2</v>
      </c>
      <c r="AH102">
        <v>59.4</v>
      </c>
      <c r="AI102">
        <v>59.9</v>
      </c>
      <c r="AJ102">
        <v>28</v>
      </c>
      <c r="AK102">
        <v>60.4</v>
      </c>
      <c r="AL102">
        <v>57.3</v>
      </c>
      <c r="AM102">
        <v>59.6</v>
      </c>
      <c r="AP102">
        <v>115</v>
      </c>
      <c r="AQ102">
        <v>2009</v>
      </c>
      <c r="AR102">
        <v>1.77E-2</v>
      </c>
      <c r="AS102">
        <v>3.1199999999999999E-2</v>
      </c>
      <c r="AT102">
        <v>4.3299999999999998E-2</v>
      </c>
      <c r="AU102">
        <v>58.4</v>
      </c>
      <c r="AV102">
        <v>58.9</v>
      </c>
      <c r="AW102">
        <v>28.3</v>
      </c>
      <c r="AX102">
        <v>59.8</v>
      </c>
      <c r="AY102">
        <v>56.5</v>
      </c>
      <c r="AZ102">
        <v>58.6</v>
      </c>
    </row>
    <row r="103" spans="1:53" x14ac:dyDescent="0.25">
      <c r="A103">
        <v>120</v>
      </c>
      <c r="B103">
        <v>1259</v>
      </c>
      <c r="C103">
        <v>28.4</v>
      </c>
      <c r="D103">
        <v>44.4</v>
      </c>
      <c r="E103">
        <v>44.4</v>
      </c>
      <c r="F103">
        <v>45.2</v>
      </c>
      <c r="G103">
        <v>43.3</v>
      </c>
      <c r="H103">
        <v>45.9</v>
      </c>
      <c r="AC103">
        <v>120</v>
      </c>
      <c r="AD103">
        <v>2020</v>
      </c>
      <c r="AE103">
        <v>1.78E-2</v>
      </c>
      <c r="AF103">
        <v>3.1E-2</v>
      </c>
      <c r="AG103">
        <v>4.3400000000000001E-2</v>
      </c>
      <c r="AH103">
        <v>59.7</v>
      </c>
      <c r="AI103">
        <v>60</v>
      </c>
      <c r="AJ103">
        <v>28</v>
      </c>
      <c r="AK103">
        <v>60.4</v>
      </c>
      <c r="AL103">
        <v>57.5</v>
      </c>
      <c r="AM103">
        <v>59.9</v>
      </c>
      <c r="AP103">
        <v>120</v>
      </c>
      <c r="AQ103">
        <v>1998</v>
      </c>
      <c r="AR103">
        <v>1.7500000000000002E-2</v>
      </c>
      <c r="AS103">
        <v>3.1099999999999999E-2</v>
      </c>
      <c r="AT103">
        <v>4.2999999999999997E-2</v>
      </c>
      <c r="AU103">
        <v>58.6</v>
      </c>
      <c r="AV103">
        <v>59.1</v>
      </c>
      <c r="AW103">
        <v>28.1</v>
      </c>
      <c r="AX103">
        <v>59.9</v>
      </c>
      <c r="AY103">
        <v>56.6</v>
      </c>
      <c r="AZ103">
        <v>58.9</v>
      </c>
    </row>
    <row r="104" spans="1:53" x14ac:dyDescent="0.25">
      <c r="A104">
        <v>125</v>
      </c>
      <c r="B104">
        <v>1261</v>
      </c>
      <c r="C104">
        <v>28.7</v>
      </c>
      <c r="D104">
        <v>44.4</v>
      </c>
      <c r="E104">
        <v>44.5</v>
      </c>
      <c r="F104">
        <v>45.2</v>
      </c>
      <c r="G104">
        <v>43.3</v>
      </c>
      <c r="H104">
        <v>46</v>
      </c>
      <c r="AC104">
        <v>125</v>
      </c>
      <c r="AD104">
        <v>2020</v>
      </c>
      <c r="AE104">
        <v>1.78E-2</v>
      </c>
      <c r="AF104">
        <v>3.1099999999999999E-2</v>
      </c>
      <c r="AG104">
        <v>4.3499999999999997E-2</v>
      </c>
      <c r="AH104">
        <v>59.9</v>
      </c>
      <c r="AI104">
        <v>60.3</v>
      </c>
      <c r="AJ104">
        <v>27.9</v>
      </c>
      <c r="AK104">
        <v>60.7</v>
      </c>
      <c r="AL104">
        <v>57.8</v>
      </c>
      <c r="AM104">
        <v>60.1</v>
      </c>
      <c r="AP104">
        <v>125</v>
      </c>
      <c r="AQ104">
        <v>2003</v>
      </c>
      <c r="AR104">
        <v>1.77E-2</v>
      </c>
      <c r="AS104">
        <v>3.1099999999999999E-2</v>
      </c>
      <c r="AT104">
        <v>4.3299999999999998E-2</v>
      </c>
      <c r="AU104">
        <v>58.8</v>
      </c>
      <c r="AV104">
        <v>59.3</v>
      </c>
      <c r="AW104">
        <v>28.6</v>
      </c>
      <c r="AX104">
        <v>60.1</v>
      </c>
      <c r="AY104">
        <v>56.9</v>
      </c>
      <c r="AZ104">
        <v>59</v>
      </c>
    </row>
    <row r="105" spans="1:53" x14ac:dyDescent="0.25">
      <c r="A105">
        <v>130</v>
      </c>
      <c r="B105">
        <v>1262</v>
      </c>
      <c r="C105">
        <v>28.6</v>
      </c>
      <c r="D105">
        <v>44.4</v>
      </c>
      <c r="E105">
        <v>44.5</v>
      </c>
      <c r="F105">
        <v>45.2</v>
      </c>
      <c r="G105">
        <v>43.3</v>
      </c>
      <c r="H105">
        <v>46</v>
      </c>
      <c r="AC105">
        <v>130</v>
      </c>
      <c r="AD105">
        <v>2027</v>
      </c>
      <c r="AE105">
        <v>1.77E-2</v>
      </c>
      <c r="AF105">
        <v>3.1E-2</v>
      </c>
      <c r="AG105">
        <v>4.3299999999999998E-2</v>
      </c>
      <c r="AH105">
        <v>60.1</v>
      </c>
      <c r="AI105">
        <v>60.5</v>
      </c>
      <c r="AJ105">
        <v>27.9</v>
      </c>
      <c r="AK105">
        <v>60.9</v>
      </c>
      <c r="AL105">
        <v>58</v>
      </c>
      <c r="AM105">
        <v>60.3</v>
      </c>
      <c r="AP105" s="12">
        <v>130</v>
      </c>
      <c r="AQ105" s="12">
        <v>1989</v>
      </c>
      <c r="AR105" s="12">
        <v>1.9E-2</v>
      </c>
      <c r="AS105" s="12">
        <v>3.1199999999999999E-2</v>
      </c>
      <c r="AT105" s="12">
        <v>4.4600000000000001E-2</v>
      </c>
      <c r="AU105" s="12">
        <v>59</v>
      </c>
      <c r="AV105" s="12">
        <v>59.5</v>
      </c>
      <c r="AW105" s="12">
        <v>28.5</v>
      </c>
      <c r="AX105" s="12">
        <v>60.3</v>
      </c>
      <c r="AY105" s="12">
        <v>57.1</v>
      </c>
      <c r="AZ105" s="12">
        <v>59.3</v>
      </c>
      <c r="BA105" s="14">
        <v>31.8</v>
      </c>
    </row>
    <row r="106" spans="1:53" x14ac:dyDescent="0.25">
      <c r="A106">
        <v>135</v>
      </c>
      <c r="B106">
        <v>1263</v>
      </c>
      <c r="C106">
        <v>28.4</v>
      </c>
      <c r="D106">
        <v>44.4</v>
      </c>
      <c r="E106">
        <v>44.5</v>
      </c>
      <c r="F106">
        <v>45.2</v>
      </c>
      <c r="G106">
        <v>43.2</v>
      </c>
      <c r="H106">
        <v>46</v>
      </c>
      <c r="AC106">
        <v>135</v>
      </c>
      <c r="AD106">
        <v>2026</v>
      </c>
      <c r="AE106">
        <v>1.78E-2</v>
      </c>
      <c r="AF106">
        <v>3.1099999999999999E-2</v>
      </c>
      <c r="AG106">
        <v>4.3400000000000001E-2</v>
      </c>
      <c r="AH106">
        <v>60.2</v>
      </c>
      <c r="AI106">
        <v>60.7</v>
      </c>
      <c r="AJ106">
        <v>27.7</v>
      </c>
      <c r="AK106">
        <v>61.1</v>
      </c>
      <c r="AL106">
        <v>58.1</v>
      </c>
      <c r="AM106">
        <v>60.4</v>
      </c>
      <c r="AP106">
        <v>135</v>
      </c>
      <c r="AQ106">
        <v>2532</v>
      </c>
      <c r="AR106">
        <v>1.7999999999999999E-2</v>
      </c>
      <c r="AS106">
        <v>3.1099999999999999E-2</v>
      </c>
      <c r="AT106">
        <v>4.3099999999999999E-2</v>
      </c>
      <c r="AU106">
        <v>62.7</v>
      </c>
      <c r="AV106">
        <v>62.6</v>
      </c>
      <c r="AW106">
        <v>28.5</v>
      </c>
      <c r="AX106">
        <v>63.6</v>
      </c>
      <c r="AY106">
        <v>59.7</v>
      </c>
      <c r="AZ106">
        <v>62</v>
      </c>
    </row>
    <row r="107" spans="1:53" x14ac:dyDescent="0.25">
      <c r="A107">
        <v>140</v>
      </c>
      <c r="B107">
        <v>1267</v>
      </c>
      <c r="C107">
        <v>28.6</v>
      </c>
      <c r="D107">
        <v>44.4</v>
      </c>
      <c r="E107">
        <v>44.5</v>
      </c>
      <c r="F107">
        <v>45.3</v>
      </c>
      <c r="G107">
        <v>43.3</v>
      </c>
      <c r="H107">
        <v>46.1</v>
      </c>
      <c r="AC107">
        <v>140</v>
      </c>
      <c r="AD107">
        <v>2022</v>
      </c>
      <c r="AE107">
        <v>1.78E-2</v>
      </c>
      <c r="AF107">
        <v>3.1099999999999999E-2</v>
      </c>
      <c r="AG107">
        <v>4.3400000000000001E-2</v>
      </c>
      <c r="AH107">
        <v>60.4</v>
      </c>
      <c r="AI107">
        <v>60.8</v>
      </c>
      <c r="AJ107">
        <v>27.8</v>
      </c>
      <c r="AK107">
        <v>61.2</v>
      </c>
      <c r="AL107">
        <v>58.3</v>
      </c>
      <c r="AM107">
        <v>60.6</v>
      </c>
      <c r="AP107">
        <v>140</v>
      </c>
      <c r="AQ107">
        <v>2526</v>
      </c>
      <c r="AR107">
        <v>1.8100000000000002E-2</v>
      </c>
      <c r="AS107">
        <v>3.1099999999999999E-2</v>
      </c>
      <c r="AT107">
        <v>4.3200000000000002E-2</v>
      </c>
      <c r="AU107">
        <v>65.2</v>
      </c>
      <c r="AV107">
        <v>65.400000000000006</v>
      </c>
      <c r="AW107">
        <v>28.3</v>
      </c>
      <c r="AX107">
        <v>66.5</v>
      </c>
      <c r="AY107">
        <v>62.3</v>
      </c>
      <c r="AZ107">
        <v>64.5</v>
      </c>
    </row>
    <row r="108" spans="1:53" x14ac:dyDescent="0.25">
      <c r="A108" s="12">
        <v>145</v>
      </c>
      <c r="B108" s="12">
        <v>1265</v>
      </c>
      <c r="C108" s="12">
        <v>28.4</v>
      </c>
      <c r="D108" s="12">
        <v>44.5</v>
      </c>
      <c r="E108" s="12">
        <v>44.6</v>
      </c>
      <c r="F108" s="12">
        <v>45.3</v>
      </c>
      <c r="G108" s="12">
        <v>43.3</v>
      </c>
      <c r="H108" s="12">
        <v>46.1</v>
      </c>
      <c r="I108">
        <f>H108-C108</f>
        <v>17.700000000000003</v>
      </c>
      <c r="AC108">
        <v>145</v>
      </c>
      <c r="AD108">
        <v>2021</v>
      </c>
      <c r="AE108">
        <v>1.78E-2</v>
      </c>
      <c r="AF108">
        <v>3.1E-2</v>
      </c>
      <c r="AG108">
        <v>4.3400000000000001E-2</v>
      </c>
      <c r="AH108">
        <v>60.3</v>
      </c>
      <c r="AI108">
        <v>60.8</v>
      </c>
      <c r="AJ108">
        <v>27.6</v>
      </c>
      <c r="AK108">
        <v>61.3</v>
      </c>
      <c r="AL108">
        <v>58.3</v>
      </c>
      <c r="AM108">
        <v>60.6</v>
      </c>
      <c r="AP108">
        <v>145</v>
      </c>
      <c r="AQ108">
        <v>2533</v>
      </c>
      <c r="AR108">
        <v>1.8200000000000001E-2</v>
      </c>
      <c r="AS108">
        <v>3.1099999999999999E-2</v>
      </c>
      <c r="AT108">
        <v>4.3299999999999998E-2</v>
      </c>
      <c r="AU108">
        <v>67.400000000000006</v>
      </c>
      <c r="AV108">
        <v>67.599999999999994</v>
      </c>
      <c r="AW108">
        <v>28.7</v>
      </c>
      <c r="AX108">
        <v>68.7</v>
      </c>
      <c r="AY108">
        <v>64.5</v>
      </c>
      <c r="AZ108">
        <v>66.5</v>
      </c>
    </row>
    <row r="109" spans="1:53" x14ac:dyDescent="0.25">
      <c r="A109">
        <v>150</v>
      </c>
      <c r="B109">
        <v>1619</v>
      </c>
      <c r="C109">
        <v>28.7</v>
      </c>
      <c r="D109">
        <v>45.7</v>
      </c>
      <c r="E109">
        <v>45.6</v>
      </c>
      <c r="F109">
        <v>46.3</v>
      </c>
      <c r="G109">
        <v>44.2</v>
      </c>
      <c r="H109">
        <v>47.1</v>
      </c>
      <c r="AC109">
        <v>150</v>
      </c>
      <c r="AD109">
        <v>2014</v>
      </c>
      <c r="AE109">
        <v>1.78E-2</v>
      </c>
      <c r="AF109">
        <v>3.09E-2</v>
      </c>
      <c r="AG109">
        <v>4.3400000000000001E-2</v>
      </c>
      <c r="AH109">
        <v>60.4</v>
      </c>
      <c r="AI109">
        <v>60.8</v>
      </c>
      <c r="AJ109">
        <v>27.6</v>
      </c>
      <c r="AK109">
        <v>61.2</v>
      </c>
      <c r="AL109">
        <v>58.3</v>
      </c>
      <c r="AM109">
        <v>60.6</v>
      </c>
      <c r="AP109">
        <v>150</v>
      </c>
      <c r="AQ109">
        <v>2535</v>
      </c>
      <c r="AR109">
        <v>1.84E-2</v>
      </c>
      <c r="AS109">
        <v>3.1199999999999999E-2</v>
      </c>
      <c r="AT109">
        <v>4.3299999999999998E-2</v>
      </c>
      <c r="AU109">
        <v>69.099999999999994</v>
      </c>
      <c r="AV109">
        <v>69.400000000000006</v>
      </c>
      <c r="AW109">
        <v>28.8</v>
      </c>
      <c r="AX109">
        <v>70.400000000000006</v>
      </c>
      <c r="AY109">
        <v>66.099999999999994</v>
      </c>
      <c r="AZ109">
        <v>68.2</v>
      </c>
    </row>
    <row r="110" spans="1:53" x14ac:dyDescent="0.25">
      <c r="A110">
        <v>155</v>
      </c>
      <c r="B110">
        <v>1614</v>
      </c>
      <c r="C110">
        <v>28.6</v>
      </c>
      <c r="D110">
        <v>47</v>
      </c>
      <c r="E110">
        <v>46.8</v>
      </c>
      <c r="F110">
        <v>47.7</v>
      </c>
      <c r="G110">
        <v>45.4</v>
      </c>
      <c r="H110">
        <v>48.4</v>
      </c>
      <c r="AC110">
        <v>155</v>
      </c>
      <c r="AD110">
        <v>2026</v>
      </c>
      <c r="AE110">
        <v>1.78E-2</v>
      </c>
      <c r="AF110">
        <v>3.1E-2</v>
      </c>
      <c r="AG110">
        <v>4.3299999999999998E-2</v>
      </c>
      <c r="AH110">
        <v>60.4</v>
      </c>
      <c r="AI110">
        <v>60.9</v>
      </c>
      <c r="AJ110">
        <v>27.7</v>
      </c>
      <c r="AK110">
        <v>61.3</v>
      </c>
      <c r="AL110">
        <v>58.3</v>
      </c>
      <c r="AM110">
        <v>60.7</v>
      </c>
      <c r="AP110">
        <v>155</v>
      </c>
      <c r="AQ110">
        <v>2535</v>
      </c>
      <c r="AR110">
        <v>1.83E-2</v>
      </c>
      <c r="AS110">
        <v>3.1199999999999999E-2</v>
      </c>
      <c r="AT110">
        <v>4.3299999999999998E-2</v>
      </c>
      <c r="AU110">
        <v>70.5</v>
      </c>
      <c r="AV110">
        <v>70.900000000000006</v>
      </c>
      <c r="AW110">
        <v>28.9</v>
      </c>
      <c r="AX110">
        <v>71.900000000000006</v>
      </c>
      <c r="AY110">
        <v>67.5</v>
      </c>
      <c r="AZ110">
        <v>69.7</v>
      </c>
    </row>
    <row r="111" spans="1:53" x14ac:dyDescent="0.25">
      <c r="A111">
        <v>160</v>
      </c>
      <c r="B111">
        <v>1612</v>
      </c>
      <c r="C111">
        <v>28.3</v>
      </c>
      <c r="D111">
        <v>47.9</v>
      </c>
      <c r="E111">
        <v>47.8</v>
      </c>
      <c r="F111">
        <v>48.7</v>
      </c>
      <c r="G111">
        <v>46.3</v>
      </c>
      <c r="H111">
        <v>49.5</v>
      </c>
      <c r="AC111">
        <v>160</v>
      </c>
      <c r="AD111">
        <v>2024</v>
      </c>
      <c r="AE111">
        <v>1.78E-2</v>
      </c>
      <c r="AF111">
        <v>3.1099999999999999E-2</v>
      </c>
      <c r="AG111">
        <v>4.3400000000000001E-2</v>
      </c>
      <c r="AH111">
        <v>60.5</v>
      </c>
      <c r="AI111">
        <v>61</v>
      </c>
      <c r="AJ111">
        <v>27.8</v>
      </c>
      <c r="AK111">
        <v>61.4</v>
      </c>
      <c r="AL111">
        <v>58.4</v>
      </c>
      <c r="AM111">
        <v>60.8</v>
      </c>
      <c r="AP111">
        <v>160</v>
      </c>
      <c r="AQ111">
        <v>2536</v>
      </c>
      <c r="AR111">
        <v>1.84E-2</v>
      </c>
      <c r="AS111">
        <v>3.1199999999999999E-2</v>
      </c>
      <c r="AT111">
        <v>4.3400000000000001E-2</v>
      </c>
      <c r="AU111">
        <v>71.599999999999994</v>
      </c>
      <c r="AV111">
        <v>72</v>
      </c>
      <c r="AW111">
        <v>28.7</v>
      </c>
      <c r="AX111">
        <v>73.2</v>
      </c>
      <c r="AY111">
        <v>68.599999999999994</v>
      </c>
      <c r="AZ111">
        <v>70.900000000000006</v>
      </c>
    </row>
    <row r="112" spans="1:53" x14ac:dyDescent="0.25">
      <c r="A112">
        <v>165</v>
      </c>
      <c r="B112">
        <v>1616</v>
      </c>
      <c r="C112">
        <v>28.6</v>
      </c>
      <c r="D112">
        <v>48.9</v>
      </c>
      <c r="E112">
        <v>48.8</v>
      </c>
      <c r="F112">
        <v>49.7</v>
      </c>
      <c r="G112">
        <v>47.2</v>
      </c>
      <c r="H112">
        <v>50.5</v>
      </c>
      <c r="AC112">
        <v>165</v>
      </c>
      <c r="AD112">
        <v>2022</v>
      </c>
      <c r="AE112">
        <v>1.78E-2</v>
      </c>
      <c r="AF112">
        <v>3.1E-2</v>
      </c>
      <c r="AG112">
        <v>4.3299999999999998E-2</v>
      </c>
      <c r="AH112">
        <v>60.5</v>
      </c>
      <c r="AI112">
        <v>61</v>
      </c>
      <c r="AJ112">
        <v>27.6</v>
      </c>
      <c r="AK112">
        <v>61.5</v>
      </c>
      <c r="AL112">
        <v>58.4</v>
      </c>
      <c r="AM112">
        <v>60.8</v>
      </c>
      <c r="AP112">
        <v>165</v>
      </c>
      <c r="AQ112">
        <v>2535</v>
      </c>
      <c r="AR112">
        <v>1.8499999999999999E-2</v>
      </c>
      <c r="AS112">
        <v>3.1099999999999999E-2</v>
      </c>
      <c r="AT112">
        <v>4.3299999999999998E-2</v>
      </c>
      <c r="AU112">
        <v>72.599999999999994</v>
      </c>
      <c r="AV112">
        <v>73.099999999999994</v>
      </c>
      <c r="AW112">
        <v>29</v>
      </c>
      <c r="AX112">
        <v>74.099999999999994</v>
      </c>
      <c r="AY112">
        <v>69.599999999999994</v>
      </c>
      <c r="AZ112">
        <v>71.900000000000006</v>
      </c>
    </row>
    <row r="113" spans="1:52" x14ac:dyDescent="0.25">
      <c r="A113">
        <v>170</v>
      </c>
      <c r="B113">
        <v>1609</v>
      </c>
      <c r="C113">
        <v>28.8</v>
      </c>
      <c r="D113">
        <v>49.6</v>
      </c>
      <c r="E113">
        <v>49.5</v>
      </c>
      <c r="F113">
        <v>50.5</v>
      </c>
      <c r="G113">
        <v>47.8</v>
      </c>
      <c r="H113">
        <v>51.2</v>
      </c>
      <c r="M113" s="12">
        <v>17.7</v>
      </c>
      <c r="N113" s="12">
        <v>28.2</v>
      </c>
      <c r="O113" s="12">
        <v>41.2</v>
      </c>
      <c r="AC113">
        <v>170</v>
      </c>
      <c r="AD113">
        <v>2018</v>
      </c>
      <c r="AE113">
        <v>1.77E-2</v>
      </c>
      <c r="AF113">
        <v>3.0800000000000001E-2</v>
      </c>
      <c r="AG113">
        <v>4.3200000000000002E-2</v>
      </c>
      <c r="AH113">
        <v>60.4</v>
      </c>
      <c r="AI113">
        <v>60.9</v>
      </c>
      <c r="AJ113">
        <v>27.6</v>
      </c>
      <c r="AK113">
        <v>61.4</v>
      </c>
      <c r="AL113">
        <v>58.4</v>
      </c>
      <c r="AM113">
        <v>60.7</v>
      </c>
      <c r="AP113">
        <v>170</v>
      </c>
      <c r="AQ113">
        <v>2534</v>
      </c>
      <c r="AR113">
        <v>1.8499999999999999E-2</v>
      </c>
      <c r="AS113">
        <v>3.1199999999999999E-2</v>
      </c>
      <c r="AT113">
        <v>4.3400000000000001E-2</v>
      </c>
      <c r="AU113">
        <v>73.2</v>
      </c>
      <c r="AV113">
        <v>73.8</v>
      </c>
      <c r="AW113">
        <v>28.8</v>
      </c>
      <c r="AX113">
        <v>74.900000000000006</v>
      </c>
      <c r="AY113">
        <v>70.3</v>
      </c>
      <c r="AZ113">
        <v>72.7</v>
      </c>
    </row>
    <row r="114" spans="1:52" x14ac:dyDescent="0.25">
      <c r="A114">
        <v>175</v>
      </c>
      <c r="B114">
        <v>1614</v>
      </c>
      <c r="C114">
        <v>28.8</v>
      </c>
      <c r="D114">
        <v>50.2</v>
      </c>
      <c r="E114">
        <v>50.1</v>
      </c>
      <c r="F114">
        <v>51.1</v>
      </c>
      <c r="G114">
        <v>48.4</v>
      </c>
      <c r="H114">
        <v>52</v>
      </c>
      <c r="M114" s="12">
        <v>1250</v>
      </c>
      <c r="N114" s="12">
        <v>1600</v>
      </c>
      <c r="O114" s="12">
        <v>2000</v>
      </c>
      <c r="AC114">
        <v>175</v>
      </c>
      <c r="AD114">
        <v>2014</v>
      </c>
      <c r="AE114">
        <v>1.77E-2</v>
      </c>
      <c r="AF114">
        <v>3.09E-2</v>
      </c>
      <c r="AG114">
        <v>4.3200000000000002E-2</v>
      </c>
      <c r="AH114">
        <v>60.4</v>
      </c>
      <c r="AI114">
        <v>60.9</v>
      </c>
      <c r="AJ114">
        <v>27.5</v>
      </c>
      <c r="AK114">
        <v>61.4</v>
      </c>
      <c r="AL114">
        <v>58.4</v>
      </c>
      <c r="AM114">
        <v>60.8</v>
      </c>
      <c r="AP114">
        <v>175</v>
      </c>
      <c r="AQ114">
        <v>2533</v>
      </c>
      <c r="AR114">
        <v>1.8599999999999998E-2</v>
      </c>
      <c r="AS114">
        <v>3.1099999999999999E-2</v>
      </c>
      <c r="AT114">
        <v>4.3299999999999998E-2</v>
      </c>
      <c r="AU114">
        <v>73.7</v>
      </c>
      <c r="AV114">
        <v>74.3</v>
      </c>
      <c r="AW114">
        <v>28.9</v>
      </c>
      <c r="AX114">
        <v>75.400000000000006</v>
      </c>
      <c r="AY114">
        <v>70.7</v>
      </c>
      <c r="AZ114">
        <v>73.2</v>
      </c>
    </row>
    <row r="115" spans="1:52" x14ac:dyDescent="0.25">
      <c r="A115">
        <v>180</v>
      </c>
      <c r="B115">
        <v>1605</v>
      </c>
      <c r="C115">
        <v>28.8</v>
      </c>
      <c r="D115">
        <v>50.8</v>
      </c>
      <c r="E115">
        <v>50.7</v>
      </c>
      <c r="F115">
        <v>51.6</v>
      </c>
      <c r="G115">
        <v>48.9</v>
      </c>
      <c r="H115">
        <v>52.6</v>
      </c>
      <c r="Q115" s="12">
        <v>31.8</v>
      </c>
      <c r="R115" s="12">
        <v>50.1</v>
      </c>
      <c r="S115" s="12">
        <v>79.900000000000006</v>
      </c>
      <c r="U115" s="12">
        <v>33.700000000000003</v>
      </c>
      <c r="V115" s="31">
        <v>49.9</v>
      </c>
      <c r="AC115">
        <v>180</v>
      </c>
      <c r="AD115">
        <v>2028</v>
      </c>
      <c r="AE115">
        <v>1.78E-2</v>
      </c>
      <c r="AF115">
        <v>3.1E-2</v>
      </c>
      <c r="AG115">
        <v>4.3299999999999998E-2</v>
      </c>
      <c r="AH115">
        <v>60.3</v>
      </c>
      <c r="AI115">
        <v>60.9</v>
      </c>
      <c r="AJ115">
        <v>27.5</v>
      </c>
      <c r="AK115">
        <v>61.3</v>
      </c>
      <c r="AL115">
        <v>58.3</v>
      </c>
      <c r="AM115">
        <v>60.7</v>
      </c>
      <c r="AP115">
        <v>180</v>
      </c>
      <c r="AQ115">
        <v>2529</v>
      </c>
      <c r="AR115">
        <v>1.8599999999999998E-2</v>
      </c>
      <c r="AS115">
        <v>3.1099999999999999E-2</v>
      </c>
      <c r="AT115">
        <v>4.3400000000000001E-2</v>
      </c>
      <c r="AU115">
        <v>74.400000000000006</v>
      </c>
      <c r="AV115">
        <v>74.900000000000006</v>
      </c>
      <c r="AW115">
        <v>29.1</v>
      </c>
      <c r="AX115">
        <v>76</v>
      </c>
      <c r="AY115">
        <v>71.400000000000006</v>
      </c>
      <c r="AZ115">
        <v>73.8</v>
      </c>
    </row>
    <row r="116" spans="1:52" x14ac:dyDescent="0.25">
      <c r="A116">
        <v>185</v>
      </c>
      <c r="B116">
        <v>1605</v>
      </c>
      <c r="C116">
        <v>28.6</v>
      </c>
      <c r="D116">
        <v>51.2</v>
      </c>
      <c r="E116">
        <v>51.2</v>
      </c>
      <c r="F116">
        <v>52.1</v>
      </c>
      <c r="G116">
        <v>49.2</v>
      </c>
      <c r="H116">
        <v>53.1</v>
      </c>
      <c r="Q116" s="12">
        <v>2000</v>
      </c>
      <c r="R116" s="12">
        <v>2500</v>
      </c>
      <c r="S116" s="12">
        <v>3200</v>
      </c>
      <c r="U116" s="12">
        <v>2000</v>
      </c>
      <c r="V116" s="32">
        <v>2500</v>
      </c>
      <c r="AC116" s="12">
        <v>185</v>
      </c>
      <c r="AD116" s="12">
        <v>2021</v>
      </c>
      <c r="AE116" s="12">
        <v>1.78E-2</v>
      </c>
      <c r="AF116" s="12">
        <v>3.1E-2</v>
      </c>
      <c r="AG116" s="12">
        <v>4.3400000000000001E-2</v>
      </c>
      <c r="AH116" s="12">
        <v>60.3</v>
      </c>
      <c r="AI116" s="12">
        <v>60.9</v>
      </c>
      <c r="AJ116" s="12">
        <v>27.6</v>
      </c>
      <c r="AK116" s="12">
        <v>61.3</v>
      </c>
      <c r="AL116" s="12">
        <v>58.2</v>
      </c>
      <c r="AM116" s="12">
        <v>60.7</v>
      </c>
      <c r="AN116" s="14">
        <v>33.700000000000003</v>
      </c>
      <c r="AP116">
        <v>185</v>
      </c>
      <c r="AQ116">
        <v>2535</v>
      </c>
      <c r="AR116">
        <v>1.8599999999999998E-2</v>
      </c>
      <c r="AS116">
        <v>3.1199999999999999E-2</v>
      </c>
      <c r="AT116">
        <v>4.3400000000000001E-2</v>
      </c>
      <c r="AU116">
        <v>74.5</v>
      </c>
      <c r="AV116">
        <v>75.400000000000006</v>
      </c>
      <c r="AW116">
        <v>28.7</v>
      </c>
      <c r="AX116">
        <v>76.400000000000006</v>
      </c>
      <c r="AY116">
        <v>71.7</v>
      </c>
      <c r="AZ116">
        <v>74.2</v>
      </c>
    </row>
    <row r="117" spans="1:52" x14ac:dyDescent="0.25">
      <c r="A117">
        <v>190</v>
      </c>
      <c r="B117">
        <v>1612</v>
      </c>
      <c r="C117">
        <v>28.4</v>
      </c>
      <c r="D117">
        <v>51.6</v>
      </c>
      <c r="E117">
        <v>51.5</v>
      </c>
      <c r="F117">
        <v>52.5</v>
      </c>
      <c r="G117">
        <v>49.6</v>
      </c>
      <c r="H117">
        <v>53.5</v>
      </c>
      <c r="AC117">
        <v>190</v>
      </c>
      <c r="AD117">
        <v>2511</v>
      </c>
      <c r="AE117">
        <v>1.7899999999999999E-2</v>
      </c>
      <c r="AF117">
        <v>3.0800000000000001E-2</v>
      </c>
      <c r="AG117">
        <v>4.2999999999999997E-2</v>
      </c>
      <c r="AH117">
        <v>63.5</v>
      </c>
      <c r="AI117">
        <v>63.2</v>
      </c>
      <c r="AJ117">
        <v>27.4</v>
      </c>
      <c r="AK117">
        <v>63.8</v>
      </c>
      <c r="AL117">
        <v>60.4</v>
      </c>
      <c r="AM117">
        <v>62.8</v>
      </c>
      <c r="AP117">
        <v>190</v>
      </c>
      <c r="AQ117">
        <v>2521</v>
      </c>
      <c r="AR117">
        <v>1.8700000000000001E-2</v>
      </c>
      <c r="AS117">
        <v>3.1199999999999999E-2</v>
      </c>
      <c r="AT117">
        <v>4.36E-2</v>
      </c>
      <c r="AU117">
        <v>75</v>
      </c>
      <c r="AV117">
        <v>75.7</v>
      </c>
      <c r="AW117">
        <v>28.6</v>
      </c>
      <c r="AX117">
        <v>76.900000000000006</v>
      </c>
      <c r="AY117">
        <v>72.099999999999994</v>
      </c>
      <c r="AZ117">
        <v>74.7</v>
      </c>
    </row>
    <row r="118" spans="1:52" x14ac:dyDescent="0.25">
      <c r="A118">
        <v>195</v>
      </c>
      <c r="B118">
        <v>1605</v>
      </c>
      <c r="C118">
        <v>28.5</v>
      </c>
      <c r="D118">
        <v>51.8</v>
      </c>
      <c r="E118">
        <v>51.9</v>
      </c>
      <c r="F118">
        <v>52.8</v>
      </c>
      <c r="G118">
        <v>49.9</v>
      </c>
      <c r="H118">
        <v>53.9</v>
      </c>
      <c r="AC118">
        <v>195</v>
      </c>
      <c r="AD118">
        <v>2514</v>
      </c>
      <c r="AE118">
        <v>1.8200000000000001E-2</v>
      </c>
      <c r="AF118">
        <v>3.1199999999999999E-2</v>
      </c>
      <c r="AG118">
        <v>4.3400000000000001E-2</v>
      </c>
      <c r="AH118">
        <v>66.2</v>
      </c>
      <c r="AI118">
        <v>65.900000000000006</v>
      </c>
      <c r="AJ118">
        <v>27.5</v>
      </c>
      <c r="AK118">
        <v>66.5</v>
      </c>
      <c r="AL118">
        <v>62.9</v>
      </c>
      <c r="AM118">
        <v>65.099999999999994</v>
      </c>
      <c r="AP118">
        <v>195</v>
      </c>
      <c r="AQ118">
        <v>2507</v>
      </c>
      <c r="AR118">
        <v>1.8700000000000001E-2</v>
      </c>
      <c r="AS118">
        <v>3.1199999999999999E-2</v>
      </c>
      <c r="AT118">
        <v>4.3499999999999997E-2</v>
      </c>
      <c r="AU118">
        <v>75.3</v>
      </c>
      <c r="AV118">
        <v>76.099999999999994</v>
      </c>
      <c r="AW118">
        <v>28.7</v>
      </c>
      <c r="AX118">
        <v>77.2</v>
      </c>
      <c r="AY118">
        <v>72.400000000000006</v>
      </c>
      <c r="AZ118">
        <v>75</v>
      </c>
    </row>
    <row r="119" spans="1:52" x14ac:dyDescent="0.25">
      <c r="A119">
        <v>200</v>
      </c>
      <c r="B119">
        <v>1602</v>
      </c>
      <c r="C119">
        <v>28.5</v>
      </c>
      <c r="D119">
        <v>52.1</v>
      </c>
      <c r="E119">
        <v>52.1</v>
      </c>
      <c r="F119">
        <v>53</v>
      </c>
      <c r="G119">
        <v>50.1</v>
      </c>
      <c r="H119">
        <v>54.1</v>
      </c>
      <c r="AC119">
        <v>200</v>
      </c>
      <c r="AD119">
        <v>2526</v>
      </c>
      <c r="AE119">
        <v>1.8200000000000001E-2</v>
      </c>
      <c r="AF119">
        <v>3.1099999999999999E-2</v>
      </c>
      <c r="AG119">
        <v>4.3299999999999998E-2</v>
      </c>
      <c r="AH119">
        <v>67.900000000000006</v>
      </c>
      <c r="AI119">
        <v>67.900000000000006</v>
      </c>
      <c r="AJ119">
        <v>27.5</v>
      </c>
      <c r="AK119">
        <v>68.5</v>
      </c>
      <c r="AL119">
        <v>64.8</v>
      </c>
      <c r="AM119">
        <v>66.8</v>
      </c>
      <c r="AP119">
        <v>200</v>
      </c>
      <c r="AQ119">
        <v>2499</v>
      </c>
      <c r="AR119">
        <v>1.8599999999999998E-2</v>
      </c>
      <c r="AS119">
        <v>3.1199999999999999E-2</v>
      </c>
      <c r="AT119">
        <v>4.3499999999999997E-2</v>
      </c>
      <c r="AU119">
        <v>75.5</v>
      </c>
      <c r="AV119">
        <v>76.3</v>
      </c>
      <c r="AW119">
        <v>28.9</v>
      </c>
      <c r="AX119">
        <v>77.400000000000006</v>
      </c>
      <c r="AY119">
        <v>72.599999999999994</v>
      </c>
      <c r="AZ119">
        <v>75.2</v>
      </c>
    </row>
    <row r="120" spans="1:52" x14ac:dyDescent="0.25">
      <c r="A120">
        <v>205</v>
      </c>
      <c r="B120">
        <v>1587</v>
      </c>
      <c r="C120">
        <v>28.4</v>
      </c>
      <c r="D120">
        <v>52.3</v>
      </c>
      <c r="E120">
        <v>52.2</v>
      </c>
      <c r="F120">
        <v>53.3</v>
      </c>
      <c r="G120">
        <v>50.3</v>
      </c>
      <c r="H120">
        <v>54.4</v>
      </c>
      <c r="AC120">
        <v>205</v>
      </c>
      <c r="AD120">
        <v>2520</v>
      </c>
      <c r="AE120">
        <v>1.84E-2</v>
      </c>
      <c r="AF120">
        <v>3.1099999999999999E-2</v>
      </c>
      <c r="AG120">
        <v>4.3299999999999998E-2</v>
      </c>
      <c r="AH120">
        <v>69.400000000000006</v>
      </c>
      <c r="AI120">
        <v>69.400000000000006</v>
      </c>
      <c r="AJ120">
        <v>27.5</v>
      </c>
      <c r="AK120">
        <v>70.099999999999994</v>
      </c>
      <c r="AL120">
        <v>66.400000000000006</v>
      </c>
      <c r="AM120">
        <v>68.400000000000006</v>
      </c>
      <c r="AP120">
        <v>205</v>
      </c>
      <c r="AQ120">
        <v>2538</v>
      </c>
      <c r="AR120">
        <v>1.8700000000000001E-2</v>
      </c>
      <c r="AS120">
        <v>3.1199999999999999E-2</v>
      </c>
      <c r="AT120">
        <v>4.3499999999999997E-2</v>
      </c>
      <c r="AU120">
        <v>75.5</v>
      </c>
      <c r="AV120">
        <v>76.400000000000006</v>
      </c>
      <c r="AW120">
        <v>28.7</v>
      </c>
      <c r="AX120">
        <v>77.400000000000006</v>
      </c>
      <c r="AY120">
        <v>72.599999999999994</v>
      </c>
      <c r="AZ120">
        <v>75.5</v>
      </c>
    </row>
    <row r="121" spans="1:52" x14ac:dyDescent="0.25">
      <c r="A121">
        <v>210</v>
      </c>
      <c r="B121">
        <v>1599</v>
      </c>
      <c r="C121">
        <v>28.2</v>
      </c>
      <c r="D121">
        <v>52.4</v>
      </c>
      <c r="E121">
        <v>52.4</v>
      </c>
      <c r="F121">
        <v>53.4</v>
      </c>
      <c r="G121">
        <v>50.4</v>
      </c>
      <c r="H121">
        <v>54.5</v>
      </c>
      <c r="AC121">
        <v>210</v>
      </c>
      <c r="AD121">
        <v>2532</v>
      </c>
      <c r="AE121">
        <v>1.84E-2</v>
      </c>
      <c r="AF121">
        <v>3.1099999999999999E-2</v>
      </c>
      <c r="AG121">
        <v>4.3400000000000001E-2</v>
      </c>
      <c r="AH121">
        <v>70.5</v>
      </c>
      <c r="AI121">
        <v>70.7</v>
      </c>
      <c r="AJ121">
        <v>27.6</v>
      </c>
      <c r="AK121">
        <v>71.400000000000006</v>
      </c>
      <c r="AL121">
        <v>67.400000000000006</v>
      </c>
      <c r="AM121">
        <v>69.599999999999994</v>
      </c>
      <c r="AP121">
        <v>210</v>
      </c>
      <c r="AQ121">
        <v>2520</v>
      </c>
      <c r="AR121">
        <v>1.8700000000000001E-2</v>
      </c>
      <c r="AS121">
        <v>3.1099999999999999E-2</v>
      </c>
      <c r="AT121">
        <v>4.3499999999999997E-2</v>
      </c>
      <c r="AU121">
        <v>75.8</v>
      </c>
      <c r="AV121">
        <v>76.599999999999994</v>
      </c>
      <c r="AW121">
        <v>28.7</v>
      </c>
      <c r="AX121">
        <v>77.7</v>
      </c>
      <c r="AY121">
        <v>73</v>
      </c>
      <c r="AZ121">
        <v>75.599999999999994</v>
      </c>
    </row>
    <row r="122" spans="1:52" x14ac:dyDescent="0.25">
      <c r="A122">
        <v>215</v>
      </c>
      <c r="B122">
        <v>1594</v>
      </c>
      <c r="C122">
        <v>28.3</v>
      </c>
      <c r="D122">
        <v>52.6</v>
      </c>
      <c r="E122">
        <v>52.5</v>
      </c>
      <c r="F122">
        <v>53.5</v>
      </c>
      <c r="G122">
        <v>50.5</v>
      </c>
      <c r="H122">
        <v>54.7</v>
      </c>
      <c r="AC122">
        <v>215</v>
      </c>
      <c r="AD122">
        <v>2511</v>
      </c>
      <c r="AE122">
        <v>1.84E-2</v>
      </c>
      <c r="AF122">
        <v>3.1099999999999999E-2</v>
      </c>
      <c r="AG122">
        <v>4.3400000000000001E-2</v>
      </c>
      <c r="AH122">
        <v>71.3</v>
      </c>
      <c r="AI122">
        <v>71.7</v>
      </c>
      <c r="AJ122">
        <v>27.6</v>
      </c>
      <c r="AK122">
        <v>72.400000000000006</v>
      </c>
      <c r="AL122">
        <v>68.400000000000006</v>
      </c>
      <c r="AM122">
        <v>70.599999999999994</v>
      </c>
      <c r="AP122">
        <v>215</v>
      </c>
      <c r="AQ122">
        <v>2530</v>
      </c>
      <c r="AR122">
        <v>1.8700000000000001E-2</v>
      </c>
      <c r="AS122">
        <v>3.1199999999999999E-2</v>
      </c>
      <c r="AT122">
        <v>4.3499999999999997E-2</v>
      </c>
      <c r="AU122">
        <v>76.099999999999994</v>
      </c>
      <c r="AV122">
        <v>76.900000000000006</v>
      </c>
      <c r="AW122">
        <v>28.8</v>
      </c>
      <c r="AX122">
        <v>78</v>
      </c>
      <c r="AY122">
        <v>73.2</v>
      </c>
      <c r="AZ122">
        <v>75.900000000000006</v>
      </c>
    </row>
    <row r="123" spans="1:52" x14ac:dyDescent="0.25">
      <c r="A123">
        <v>220</v>
      </c>
      <c r="B123">
        <v>1598</v>
      </c>
      <c r="C123">
        <v>28.2</v>
      </c>
      <c r="D123">
        <v>52.5</v>
      </c>
      <c r="E123">
        <v>52.7</v>
      </c>
      <c r="F123">
        <v>53.6</v>
      </c>
      <c r="G123">
        <v>50.6</v>
      </c>
      <c r="H123">
        <v>54.7</v>
      </c>
      <c r="AC123">
        <v>220</v>
      </c>
      <c r="AD123">
        <v>2502</v>
      </c>
      <c r="AE123">
        <v>1.8499999999999999E-2</v>
      </c>
      <c r="AF123">
        <v>3.1099999999999999E-2</v>
      </c>
      <c r="AG123">
        <v>4.3400000000000001E-2</v>
      </c>
      <c r="AH123">
        <v>72.099999999999994</v>
      </c>
      <c r="AI123">
        <v>72.5</v>
      </c>
      <c r="AJ123">
        <v>0</v>
      </c>
      <c r="AK123">
        <v>73.2</v>
      </c>
      <c r="AL123">
        <v>69.2</v>
      </c>
      <c r="AM123">
        <v>71.5</v>
      </c>
      <c r="AP123">
        <v>220</v>
      </c>
      <c r="AQ123">
        <v>2522</v>
      </c>
      <c r="AR123">
        <v>1.8700000000000001E-2</v>
      </c>
      <c r="AS123">
        <v>3.1199999999999999E-2</v>
      </c>
      <c r="AT123">
        <v>4.3499999999999997E-2</v>
      </c>
      <c r="AU123">
        <v>76.3</v>
      </c>
      <c r="AV123">
        <v>77.099999999999994</v>
      </c>
      <c r="AW123">
        <v>28.8</v>
      </c>
      <c r="AX123">
        <v>78.2</v>
      </c>
      <c r="AY123">
        <v>73.5</v>
      </c>
      <c r="AZ123">
        <v>76.099999999999994</v>
      </c>
    </row>
    <row r="124" spans="1:52" x14ac:dyDescent="0.25">
      <c r="A124">
        <v>225</v>
      </c>
      <c r="B124">
        <v>1599</v>
      </c>
      <c r="C124">
        <v>28.1</v>
      </c>
      <c r="D124">
        <v>52.7</v>
      </c>
      <c r="E124">
        <v>52.7</v>
      </c>
      <c r="F124">
        <v>53.7</v>
      </c>
      <c r="G124">
        <v>50.7</v>
      </c>
      <c r="H124">
        <v>54.8</v>
      </c>
      <c r="AC124">
        <v>225</v>
      </c>
      <c r="AD124">
        <v>2514</v>
      </c>
      <c r="AE124">
        <v>1.8499999999999999E-2</v>
      </c>
      <c r="AF124">
        <v>3.1099999999999999E-2</v>
      </c>
      <c r="AG124">
        <v>4.3499999999999997E-2</v>
      </c>
      <c r="AH124">
        <v>72.900000000000006</v>
      </c>
      <c r="AI124">
        <v>73.2</v>
      </c>
      <c r="AJ124">
        <v>28.8</v>
      </c>
      <c r="AK124">
        <v>74</v>
      </c>
      <c r="AL124">
        <v>70</v>
      </c>
      <c r="AM124">
        <v>72.3</v>
      </c>
      <c r="AP124">
        <v>225</v>
      </c>
      <c r="AQ124">
        <v>2517</v>
      </c>
      <c r="AR124">
        <v>1.8700000000000001E-2</v>
      </c>
      <c r="AS124">
        <v>3.1300000000000001E-2</v>
      </c>
      <c r="AT124">
        <v>4.3499999999999997E-2</v>
      </c>
      <c r="AU124">
        <v>76.5</v>
      </c>
      <c r="AV124">
        <v>77.400000000000006</v>
      </c>
      <c r="AW124">
        <v>29.1</v>
      </c>
      <c r="AX124">
        <v>78.400000000000006</v>
      </c>
      <c r="AY124">
        <v>73.7</v>
      </c>
      <c r="AZ124">
        <v>76.3</v>
      </c>
    </row>
    <row r="125" spans="1:52" x14ac:dyDescent="0.25">
      <c r="A125">
        <v>230</v>
      </c>
      <c r="B125">
        <v>1620</v>
      </c>
      <c r="C125">
        <v>28.2</v>
      </c>
      <c r="D125">
        <v>52.7</v>
      </c>
      <c r="E125">
        <v>52.7</v>
      </c>
      <c r="F125">
        <v>53.7</v>
      </c>
      <c r="G125">
        <v>50.7</v>
      </c>
      <c r="H125">
        <v>54.9</v>
      </c>
      <c r="AC125">
        <v>230</v>
      </c>
      <c r="AD125">
        <v>2514</v>
      </c>
      <c r="AE125">
        <v>1.8599999999999998E-2</v>
      </c>
      <c r="AF125">
        <v>3.1399999999999997E-2</v>
      </c>
      <c r="AG125">
        <v>4.36E-2</v>
      </c>
      <c r="AH125">
        <v>73.599999999999994</v>
      </c>
      <c r="AI125">
        <v>74</v>
      </c>
      <c r="AJ125">
        <v>28.8</v>
      </c>
      <c r="AK125">
        <v>74.8</v>
      </c>
      <c r="AL125">
        <v>70.599999999999994</v>
      </c>
      <c r="AM125">
        <v>73</v>
      </c>
      <c r="AP125">
        <v>230</v>
      </c>
      <c r="AQ125">
        <v>2517</v>
      </c>
      <c r="AR125">
        <v>1.8599999999999998E-2</v>
      </c>
      <c r="AS125">
        <v>3.1199999999999999E-2</v>
      </c>
      <c r="AT125">
        <v>4.3499999999999997E-2</v>
      </c>
      <c r="AU125">
        <v>76.8</v>
      </c>
      <c r="AV125">
        <v>77.7</v>
      </c>
      <c r="AW125">
        <v>29</v>
      </c>
      <c r="AX125">
        <v>78.599999999999994</v>
      </c>
      <c r="AY125">
        <v>73.900000000000006</v>
      </c>
      <c r="AZ125">
        <v>76.5</v>
      </c>
    </row>
    <row r="126" spans="1:52" x14ac:dyDescent="0.25">
      <c r="A126">
        <v>235</v>
      </c>
      <c r="B126">
        <v>1619</v>
      </c>
      <c r="C126">
        <v>28.2</v>
      </c>
      <c r="D126">
        <v>52.7</v>
      </c>
      <c r="E126">
        <v>52.6</v>
      </c>
      <c r="F126">
        <v>53.7</v>
      </c>
      <c r="G126">
        <v>50.7</v>
      </c>
      <c r="H126">
        <v>54.9</v>
      </c>
      <c r="AC126">
        <v>235</v>
      </c>
      <c r="AD126">
        <v>2517</v>
      </c>
      <c r="AE126">
        <v>1.8599999999999998E-2</v>
      </c>
      <c r="AF126">
        <v>3.1399999999999997E-2</v>
      </c>
      <c r="AG126">
        <v>4.36E-2</v>
      </c>
      <c r="AH126">
        <v>74.2</v>
      </c>
      <c r="AI126">
        <v>74.599999999999994</v>
      </c>
      <c r="AJ126">
        <v>28.6</v>
      </c>
      <c r="AK126">
        <v>75.5</v>
      </c>
      <c r="AL126">
        <v>71.2</v>
      </c>
      <c r="AM126">
        <v>73.7</v>
      </c>
      <c r="AP126">
        <v>235</v>
      </c>
      <c r="AQ126">
        <v>2516</v>
      </c>
      <c r="AR126">
        <v>1.8700000000000001E-2</v>
      </c>
      <c r="AS126">
        <v>3.1300000000000001E-2</v>
      </c>
      <c r="AT126">
        <v>4.36E-2</v>
      </c>
      <c r="AU126">
        <v>76.8</v>
      </c>
      <c r="AV126">
        <v>77.7</v>
      </c>
      <c r="AW126">
        <v>28.9</v>
      </c>
      <c r="AX126">
        <v>78.7</v>
      </c>
      <c r="AY126">
        <v>73.900000000000006</v>
      </c>
      <c r="AZ126">
        <v>76.7</v>
      </c>
    </row>
    <row r="127" spans="1:52" x14ac:dyDescent="0.25">
      <c r="A127">
        <v>240</v>
      </c>
      <c r="B127">
        <v>1620</v>
      </c>
      <c r="C127">
        <v>28.2</v>
      </c>
      <c r="D127">
        <v>52.8</v>
      </c>
      <c r="E127">
        <v>52.9</v>
      </c>
      <c r="F127">
        <v>53.9</v>
      </c>
      <c r="G127">
        <v>50.8</v>
      </c>
      <c r="H127">
        <v>55</v>
      </c>
      <c r="AC127">
        <v>240</v>
      </c>
      <c r="AD127">
        <v>2505</v>
      </c>
      <c r="AE127">
        <v>1.8700000000000001E-2</v>
      </c>
      <c r="AF127">
        <v>3.1399999999999997E-2</v>
      </c>
      <c r="AG127">
        <v>4.3700000000000003E-2</v>
      </c>
      <c r="AH127">
        <v>74.599999999999994</v>
      </c>
      <c r="AI127">
        <v>75.099999999999994</v>
      </c>
      <c r="AJ127">
        <v>28.7</v>
      </c>
      <c r="AK127">
        <v>75.900000000000006</v>
      </c>
      <c r="AL127">
        <v>71.599999999999994</v>
      </c>
      <c r="AM127">
        <v>74.2</v>
      </c>
      <c r="AP127">
        <v>240</v>
      </c>
      <c r="AQ127">
        <v>2518</v>
      </c>
      <c r="AR127">
        <v>1.8800000000000001E-2</v>
      </c>
      <c r="AS127">
        <v>3.1199999999999999E-2</v>
      </c>
      <c r="AT127">
        <v>4.3499999999999997E-2</v>
      </c>
      <c r="AU127">
        <v>77</v>
      </c>
      <c r="AV127">
        <v>77.900000000000006</v>
      </c>
      <c r="AW127">
        <v>29</v>
      </c>
      <c r="AX127">
        <v>78.8</v>
      </c>
      <c r="AY127">
        <v>74.099999999999994</v>
      </c>
      <c r="AZ127">
        <v>76.599999999999994</v>
      </c>
    </row>
    <row r="128" spans="1:52" x14ac:dyDescent="0.25">
      <c r="A128">
        <v>245</v>
      </c>
      <c r="B128">
        <v>1620</v>
      </c>
      <c r="C128">
        <v>28</v>
      </c>
      <c r="D128">
        <v>53</v>
      </c>
      <c r="E128">
        <v>53</v>
      </c>
      <c r="F128">
        <v>54</v>
      </c>
      <c r="G128">
        <v>50.9</v>
      </c>
      <c r="H128">
        <v>55.2</v>
      </c>
      <c r="AC128">
        <v>245</v>
      </c>
      <c r="AD128">
        <v>2520</v>
      </c>
      <c r="AE128">
        <v>1.8700000000000001E-2</v>
      </c>
      <c r="AF128">
        <v>3.1199999999999999E-2</v>
      </c>
      <c r="AG128">
        <v>4.36E-2</v>
      </c>
      <c r="AH128">
        <v>75.099999999999994</v>
      </c>
      <c r="AI128">
        <v>75.599999999999994</v>
      </c>
      <c r="AJ128">
        <v>28.9</v>
      </c>
      <c r="AK128">
        <v>76.3</v>
      </c>
      <c r="AL128">
        <v>72.099999999999994</v>
      </c>
      <c r="AM128">
        <v>74.7</v>
      </c>
      <c r="AP128">
        <v>245</v>
      </c>
      <c r="AQ128">
        <v>2517</v>
      </c>
      <c r="AR128">
        <v>1.8700000000000001E-2</v>
      </c>
      <c r="AS128">
        <v>3.1099999999999999E-2</v>
      </c>
      <c r="AT128">
        <v>4.3499999999999997E-2</v>
      </c>
      <c r="AU128">
        <v>76.8</v>
      </c>
      <c r="AV128">
        <v>77.8</v>
      </c>
      <c r="AW128">
        <v>28.7</v>
      </c>
      <c r="AX128">
        <v>78.7</v>
      </c>
      <c r="AY128">
        <v>74</v>
      </c>
      <c r="AZ128">
        <v>76.7</v>
      </c>
    </row>
    <row r="129" spans="1:53" x14ac:dyDescent="0.25">
      <c r="A129">
        <v>250</v>
      </c>
      <c r="B129">
        <v>1620</v>
      </c>
      <c r="C129">
        <v>27.8</v>
      </c>
      <c r="D129">
        <v>53.1</v>
      </c>
      <c r="E129">
        <v>53</v>
      </c>
      <c r="F129">
        <v>54.1</v>
      </c>
      <c r="G129">
        <v>51</v>
      </c>
      <c r="H129">
        <v>55.3</v>
      </c>
      <c r="AC129">
        <v>250</v>
      </c>
      <c r="AD129">
        <v>2530</v>
      </c>
      <c r="AE129">
        <v>1.8700000000000001E-2</v>
      </c>
      <c r="AF129">
        <v>3.1199999999999999E-2</v>
      </c>
      <c r="AG129">
        <v>4.36E-2</v>
      </c>
      <c r="AH129">
        <v>75.400000000000006</v>
      </c>
      <c r="AI129">
        <v>76</v>
      </c>
      <c r="AJ129">
        <v>28.9</v>
      </c>
      <c r="AK129">
        <v>76.8</v>
      </c>
      <c r="AL129">
        <v>72.5</v>
      </c>
      <c r="AM129">
        <v>75.099999999999994</v>
      </c>
      <c r="AP129">
        <v>250</v>
      </c>
      <c r="AQ129">
        <v>2523</v>
      </c>
      <c r="AR129">
        <v>1.8700000000000001E-2</v>
      </c>
      <c r="AS129">
        <v>3.1099999999999999E-2</v>
      </c>
      <c r="AT129">
        <v>4.3499999999999997E-2</v>
      </c>
      <c r="AU129">
        <v>76.900000000000006</v>
      </c>
      <c r="AV129">
        <v>77.8</v>
      </c>
      <c r="AW129">
        <v>29</v>
      </c>
      <c r="AX129">
        <v>78.7</v>
      </c>
      <c r="AY129">
        <v>74</v>
      </c>
      <c r="AZ129">
        <v>76.599999999999994</v>
      </c>
    </row>
    <row r="130" spans="1:53" x14ac:dyDescent="0.25">
      <c r="A130">
        <v>255</v>
      </c>
      <c r="B130">
        <v>1624</v>
      </c>
      <c r="C130">
        <v>27.7</v>
      </c>
      <c r="D130">
        <v>53.1</v>
      </c>
      <c r="E130">
        <v>53.1</v>
      </c>
      <c r="F130">
        <v>54.1</v>
      </c>
      <c r="G130">
        <v>51.1</v>
      </c>
      <c r="H130">
        <v>55.4</v>
      </c>
      <c r="AC130">
        <v>255</v>
      </c>
      <c r="AD130">
        <v>2518</v>
      </c>
      <c r="AE130">
        <v>1.8700000000000001E-2</v>
      </c>
      <c r="AF130">
        <v>3.1199999999999999E-2</v>
      </c>
      <c r="AG130">
        <v>4.3700000000000003E-2</v>
      </c>
      <c r="AH130">
        <v>75.8</v>
      </c>
      <c r="AI130">
        <v>76.400000000000006</v>
      </c>
      <c r="AJ130">
        <v>28.8</v>
      </c>
      <c r="AK130">
        <v>77.2</v>
      </c>
      <c r="AL130">
        <v>72.8</v>
      </c>
      <c r="AM130">
        <v>75.400000000000006</v>
      </c>
      <c r="AP130">
        <v>255</v>
      </c>
      <c r="AQ130">
        <v>2528</v>
      </c>
      <c r="AR130">
        <v>1.8800000000000001E-2</v>
      </c>
      <c r="AS130">
        <v>3.1199999999999999E-2</v>
      </c>
      <c r="AT130">
        <v>4.3499999999999997E-2</v>
      </c>
      <c r="AU130">
        <v>77</v>
      </c>
      <c r="AV130">
        <v>77.900000000000006</v>
      </c>
      <c r="AW130">
        <v>29.1</v>
      </c>
      <c r="AX130">
        <v>78.900000000000006</v>
      </c>
      <c r="AY130">
        <v>74.099999999999994</v>
      </c>
      <c r="AZ130">
        <v>76.8</v>
      </c>
    </row>
    <row r="131" spans="1:53" x14ac:dyDescent="0.25">
      <c r="A131">
        <v>260</v>
      </c>
      <c r="B131">
        <v>1627</v>
      </c>
      <c r="C131">
        <v>27.7</v>
      </c>
      <c r="D131">
        <v>53.1</v>
      </c>
      <c r="E131">
        <v>53.2</v>
      </c>
      <c r="F131">
        <v>54.2</v>
      </c>
      <c r="G131">
        <v>51.1</v>
      </c>
      <c r="H131">
        <v>55.3</v>
      </c>
      <c r="AC131">
        <v>260</v>
      </c>
      <c r="AD131">
        <v>2516</v>
      </c>
      <c r="AE131">
        <v>1.8700000000000001E-2</v>
      </c>
      <c r="AF131">
        <v>3.1300000000000001E-2</v>
      </c>
      <c r="AG131">
        <v>4.36E-2</v>
      </c>
      <c r="AH131">
        <v>76.099999999999994</v>
      </c>
      <c r="AI131">
        <v>76.7</v>
      </c>
      <c r="AJ131">
        <v>28.8</v>
      </c>
      <c r="AK131">
        <v>77.5</v>
      </c>
      <c r="AL131">
        <v>73.2</v>
      </c>
      <c r="AM131">
        <v>75.8</v>
      </c>
      <c r="AP131">
        <v>260</v>
      </c>
      <c r="AQ131">
        <v>2531</v>
      </c>
      <c r="AR131">
        <v>1.8700000000000001E-2</v>
      </c>
      <c r="AS131">
        <v>3.1199999999999999E-2</v>
      </c>
      <c r="AT131">
        <v>4.3499999999999997E-2</v>
      </c>
      <c r="AU131">
        <v>77.2</v>
      </c>
      <c r="AV131">
        <v>78</v>
      </c>
      <c r="AW131">
        <v>28.7</v>
      </c>
      <c r="AX131">
        <v>78.900000000000006</v>
      </c>
      <c r="AY131">
        <v>74.2</v>
      </c>
      <c r="AZ131">
        <v>77</v>
      </c>
    </row>
    <row r="132" spans="1:53" x14ac:dyDescent="0.25">
      <c r="A132">
        <v>265</v>
      </c>
      <c r="B132">
        <v>1626</v>
      </c>
      <c r="C132">
        <v>27.7</v>
      </c>
      <c r="D132">
        <v>53.2</v>
      </c>
      <c r="E132">
        <v>53.2</v>
      </c>
      <c r="F132">
        <v>54.2</v>
      </c>
      <c r="G132">
        <v>51.2</v>
      </c>
      <c r="H132">
        <v>55.4</v>
      </c>
      <c r="AC132">
        <v>265</v>
      </c>
      <c r="AD132">
        <v>2524</v>
      </c>
      <c r="AE132">
        <v>1.8700000000000001E-2</v>
      </c>
      <c r="AF132">
        <v>3.1300000000000001E-2</v>
      </c>
      <c r="AG132">
        <v>4.36E-2</v>
      </c>
      <c r="AH132">
        <v>76.400000000000006</v>
      </c>
      <c r="AI132">
        <v>76.900000000000006</v>
      </c>
      <c r="AJ132">
        <v>28.7</v>
      </c>
      <c r="AK132">
        <v>77.599999999999994</v>
      </c>
      <c r="AL132">
        <v>73.3</v>
      </c>
      <c r="AM132">
        <v>75.900000000000006</v>
      </c>
      <c r="AP132">
        <v>265</v>
      </c>
      <c r="AQ132">
        <v>2531</v>
      </c>
      <c r="AR132">
        <v>1.8800000000000001E-2</v>
      </c>
      <c r="AS132">
        <v>3.1300000000000001E-2</v>
      </c>
      <c r="AT132">
        <v>4.36E-2</v>
      </c>
      <c r="AU132">
        <v>77.2</v>
      </c>
      <c r="AV132">
        <v>78.099999999999994</v>
      </c>
      <c r="AW132">
        <v>28.6</v>
      </c>
      <c r="AX132">
        <v>79.099999999999994</v>
      </c>
      <c r="AY132">
        <v>74.3</v>
      </c>
      <c r="AZ132">
        <v>77</v>
      </c>
    </row>
    <row r="133" spans="1:53" x14ac:dyDescent="0.25">
      <c r="A133">
        <v>270</v>
      </c>
      <c r="B133">
        <v>1631</v>
      </c>
      <c r="C133">
        <v>27.7</v>
      </c>
      <c r="D133">
        <v>53.2</v>
      </c>
      <c r="E133">
        <v>53.3</v>
      </c>
      <c r="F133">
        <v>54.3</v>
      </c>
      <c r="G133">
        <v>51.2</v>
      </c>
      <c r="H133">
        <v>55.5</v>
      </c>
      <c r="AC133">
        <v>270</v>
      </c>
      <c r="AD133">
        <v>2523</v>
      </c>
      <c r="AE133">
        <v>1.8700000000000001E-2</v>
      </c>
      <c r="AF133">
        <v>3.1300000000000001E-2</v>
      </c>
      <c r="AG133">
        <v>4.36E-2</v>
      </c>
      <c r="AH133">
        <v>76.8</v>
      </c>
      <c r="AI133">
        <v>77.2</v>
      </c>
      <c r="AJ133">
        <v>28.8</v>
      </c>
      <c r="AK133">
        <v>78</v>
      </c>
      <c r="AL133">
        <v>73.8</v>
      </c>
      <c r="AM133">
        <v>76.3</v>
      </c>
      <c r="AP133">
        <v>270</v>
      </c>
      <c r="AQ133">
        <v>2519</v>
      </c>
      <c r="AR133">
        <v>1.8800000000000001E-2</v>
      </c>
      <c r="AS133">
        <v>3.1099999999999999E-2</v>
      </c>
      <c r="AT133">
        <v>4.3499999999999997E-2</v>
      </c>
      <c r="AU133">
        <v>77.2</v>
      </c>
      <c r="AV133">
        <v>78.099999999999994</v>
      </c>
      <c r="AW133">
        <v>28.9</v>
      </c>
      <c r="AX133">
        <v>78.900000000000006</v>
      </c>
      <c r="AY133">
        <v>74.3</v>
      </c>
      <c r="AZ133">
        <v>76.900000000000006</v>
      </c>
    </row>
    <row r="134" spans="1:53" x14ac:dyDescent="0.25">
      <c r="A134">
        <v>275</v>
      </c>
      <c r="B134">
        <v>1629</v>
      </c>
      <c r="C134">
        <v>27.6</v>
      </c>
      <c r="D134">
        <v>53.3</v>
      </c>
      <c r="E134">
        <v>53.3</v>
      </c>
      <c r="F134">
        <v>54.3</v>
      </c>
      <c r="G134">
        <v>51.3</v>
      </c>
      <c r="H134">
        <v>55.5</v>
      </c>
      <c r="AC134">
        <v>275</v>
      </c>
      <c r="AD134">
        <v>2518</v>
      </c>
      <c r="AE134">
        <v>1.8700000000000001E-2</v>
      </c>
      <c r="AF134">
        <v>3.1199999999999999E-2</v>
      </c>
      <c r="AG134">
        <v>4.36E-2</v>
      </c>
      <c r="AH134">
        <v>76.900000000000006</v>
      </c>
      <c r="AI134">
        <v>77.5</v>
      </c>
      <c r="AJ134">
        <v>28.9</v>
      </c>
      <c r="AK134">
        <v>78.2</v>
      </c>
      <c r="AL134">
        <v>73.900000000000006</v>
      </c>
      <c r="AM134">
        <v>76.5</v>
      </c>
      <c r="AP134">
        <v>275</v>
      </c>
      <c r="AQ134">
        <v>2516</v>
      </c>
      <c r="AR134">
        <v>1.8800000000000001E-2</v>
      </c>
      <c r="AS134">
        <v>3.1099999999999999E-2</v>
      </c>
      <c r="AT134">
        <v>4.3400000000000001E-2</v>
      </c>
      <c r="AU134">
        <v>77.099999999999994</v>
      </c>
      <c r="AV134">
        <v>78.099999999999994</v>
      </c>
      <c r="AW134">
        <v>28.7</v>
      </c>
      <c r="AX134">
        <v>79</v>
      </c>
      <c r="AY134">
        <v>74.3</v>
      </c>
      <c r="AZ134">
        <v>76.900000000000006</v>
      </c>
    </row>
    <row r="135" spans="1:53" x14ac:dyDescent="0.25">
      <c r="A135">
        <v>280</v>
      </c>
      <c r="B135">
        <v>1626</v>
      </c>
      <c r="C135">
        <v>27.6</v>
      </c>
      <c r="D135">
        <v>53.3</v>
      </c>
      <c r="E135">
        <v>53.3</v>
      </c>
      <c r="F135">
        <v>54.3</v>
      </c>
      <c r="G135">
        <v>51.3</v>
      </c>
      <c r="H135">
        <v>55.6</v>
      </c>
      <c r="AC135">
        <v>280</v>
      </c>
      <c r="AD135">
        <v>2512</v>
      </c>
      <c r="AE135">
        <v>1.8800000000000001E-2</v>
      </c>
      <c r="AF135">
        <v>3.15E-2</v>
      </c>
      <c r="AG135">
        <v>4.3999999999999997E-2</v>
      </c>
      <c r="AH135">
        <v>76.900000000000006</v>
      </c>
      <c r="AI135">
        <v>77.599999999999994</v>
      </c>
      <c r="AJ135">
        <v>29.1</v>
      </c>
      <c r="AK135">
        <v>78.400000000000006</v>
      </c>
      <c r="AL135">
        <v>74.099999999999994</v>
      </c>
      <c r="AM135">
        <v>76.599999999999994</v>
      </c>
      <c r="AP135">
        <v>280</v>
      </c>
      <c r="AQ135">
        <v>2511</v>
      </c>
      <c r="AR135">
        <v>1.8700000000000001E-2</v>
      </c>
      <c r="AS135">
        <v>3.1099999999999999E-2</v>
      </c>
      <c r="AT135">
        <v>4.3499999999999997E-2</v>
      </c>
      <c r="AU135">
        <v>77.2</v>
      </c>
      <c r="AV135">
        <v>78.099999999999994</v>
      </c>
      <c r="AW135">
        <v>28.7</v>
      </c>
      <c r="AX135">
        <v>78.900000000000006</v>
      </c>
      <c r="AY135">
        <v>74.3</v>
      </c>
      <c r="AZ135">
        <v>76.900000000000006</v>
      </c>
    </row>
    <row r="136" spans="1:53" x14ac:dyDescent="0.25">
      <c r="A136">
        <v>285</v>
      </c>
      <c r="B136">
        <v>1628</v>
      </c>
      <c r="C136">
        <v>27.7</v>
      </c>
      <c r="D136">
        <v>53.4</v>
      </c>
      <c r="E136">
        <v>53.4</v>
      </c>
      <c r="F136">
        <v>54.4</v>
      </c>
      <c r="G136">
        <v>51.3</v>
      </c>
      <c r="H136">
        <v>55.6</v>
      </c>
      <c r="AC136">
        <v>285</v>
      </c>
      <c r="AD136">
        <v>2506</v>
      </c>
      <c r="AE136">
        <v>1.8700000000000001E-2</v>
      </c>
      <c r="AF136">
        <v>3.1300000000000001E-2</v>
      </c>
      <c r="AG136">
        <v>4.3700000000000003E-2</v>
      </c>
      <c r="AH136">
        <v>76.8</v>
      </c>
      <c r="AI136">
        <v>77.599999999999994</v>
      </c>
      <c r="AJ136">
        <v>28.7</v>
      </c>
      <c r="AK136">
        <v>78.400000000000006</v>
      </c>
      <c r="AL136">
        <v>73.900000000000006</v>
      </c>
      <c r="AM136">
        <v>76.599999999999994</v>
      </c>
      <c r="AP136" s="12">
        <v>285</v>
      </c>
      <c r="AQ136" s="12">
        <v>2516</v>
      </c>
      <c r="AR136" s="12">
        <v>1.8800000000000001E-2</v>
      </c>
      <c r="AS136" s="12">
        <v>3.1099999999999999E-2</v>
      </c>
      <c r="AT136" s="12">
        <v>4.3499999999999997E-2</v>
      </c>
      <c r="AU136" s="12">
        <v>77.099999999999994</v>
      </c>
      <c r="AV136" s="12">
        <v>78.099999999999994</v>
      </c>
      <c r="AW136" s="12">
        <v>28.8</v>
      </c>
      <c r="AX136" s="12">
        <v>78.900000000000006</v>
      </c>
      <c r="AY136" s="12">
        <v>74.3</v>
      </c>
      <c r="AZ136" s="12">
        <v>77</v>
      </c>
      <c r="BA136" s="14">
        <v>50.1</v>
      </c>
    </row>
    <row r="137" spans="1:53" x14ac:dyDescent="0.25">
      <c r="A137">
        <v>290</v>
      </c>
      <c r="B137">
        <v>1629</v>
      </c>
      <c r="C137">
        <v>27.6</v>
      </c>
      <c r="D137">
        <v>53.4</v>
      </c>
      <c r="E137">
        <v>53.4</v>
      </c>
      <c r="F137">
        <v>54.4</v>
      </c>
      <c r="G137">
        <v>51.4</v>
      </c>
      <c r="H137">
        <v>55.7</v>
      </c>
      <c r="AC137">
        <v>290</v>
      </c>
      <c r="AD137">
        <v>2517</v>
      </c>
      <c r="AE137">
        <v>1.8800000000000001E-2</v>
      </c>
      <c r="AF137">
        <v>3.1300000000000001E-2</v>
      </c>
      <c r="AG137">
        <v>4.36E-2</v>
      </c>
      <c r="AH137">
        <v>77</v>
      </c>
      <c r="AI137">
        <v>77.7</v>
      </c>
      <c r="AJ137">
        <v>29.1</v>
      </c>
      <c r="AK137">
        <v>78.400000000000006</v>
      </c>
      <c r="AL137">
        <v>74.099999999999994</v>
      </c>
      <c r="AM137">
        <v>76.7</v>
      </c>
      <c r="AP137">
        <v>290</v>
      </c>
      <c r="AQ137">
        <v>3141</v>
      </c>
      <c r="AR137">
        <v>1.8800000000000001E-2</v>
      </c>
      <c r="AS137">
        <v>3.1199999999999999E-2</v>
      </c>
      <c r="AT137">
        <v>4.3400000000000001E-2</v>
      </c>
      <c r="AU137">
        <v>77</v>
      </c>
      <c r="AV137">
        <v>77.8</v>
      </c>
      <c r="AW137">
        <v>28.6</v>
      </c>
      <c r="AX137">
        <v>78.8</v>
      </c>
      <c r="AY137">
        <v>74.099999999999994</v>
      </c>
      <c r="AZ137">
        <v>76.8</v>
      </c>
    </row>
    <row r="138" spans="1:53" x14ac:dyDescent="0.25">
      <c r="A138">
        <v>295</v>
      </c>
      <c r="B138">
        <v>1628</v>
      </c>
      <c r="C138">
        <v>27.6</v>
      </c>
      <c r="D138">
        <v>53.4</v>
      </c>
      <c r="E138">
        <v>53.4</v>
      </c>
      <c r="F138">
        <v>54.5</v>
      </c>
      <c r="G138">
        <v>51.3</v>
      </c>
      <c r="H138">
        <v>55.7</v>
      </c>
      <c r="AC138">
        <v>295</v>
      </c>
      <c r="AD138">
        <v>2517</v>
      </c>
      <c r="AE138">
        <v>1.8700000000000001E-2</v>
      </c>
      <c r="AF138">
        <v>3.1199999999999999E-2</v>
      </c>
      <c r="AG138">
        <v>4.36E-2</v>
      </c>
      <c r="AH138">
        <v>77.2</v>
      </c>
      <c r="AI138">
        <v>77.8</v>
      </c>
      <c r="AJ138">
        <v>29.1</v>
      </c>
      <c r="AK138">
        <v>78.599999999999994</v>
      </c>
      <c r="AL138">
        <v>74.2</v>
      </c>
      <c r="AM138">
        <v>76.900000000000006</v>
      </c>
      <c r="AP138">
        <v>295</v>
      </c>
      <c r="AQ138">
        <v>3210</v>
      </c>
      <c r="AR138">
        <v>1.9099999999999999E-2</v>
      </c>
      <c r="AS138">
        <v>3.1300000000000001E-2</v>
      </c>
      <c r="AT138">
        <v>4.36E-2</v>
      </c>
      <c r="AU138">
        <v>83.8</v>
      </c>
      <c r="AV138">
        <v>83.7</v>
      </c>
      <c r="AW138">
        <v>28.9</v>
      </c>
      <c r="AX138">
        <v>84.9</v>
      </c>
      <c r="AY138">
        <v>79.2</v>
      </c>
      <c r="AZ138">
        <v>81.8</v>
      </c>
    </row>
    <row r="139" spans="1:53" x14ac:dyDescent="0.25">
      <c r="A139">
        <v>300</v>
      </c>
      <c r="B139">
        <v>1625</v>
      </c>
      <c r="C139">
        <v>27.5</v>
      </c>
      <c r="D139">
        <v>53.4</v>
      </c>
      <c r="E139">
        <v>53.5</v>
      </c>
      <c r="F139">
        <v>54.5</v>
      </c>
      <c r="G139">
        <v>51.4</v>
      </c>
      <c r="H139">
        <v>55.7</v>
      </c>
      <c r="AC139">
        <v>300</v>
      </c>
      <c r="AD139">
        <v>2523</v>
      </c>
      <c r="AE139">
        <v>1.8800000000000001E-2</v>
      </c>
      <c r="AF139">
        <v>3.1300000000000001E-2</v>
      </c>
      <c r="AG139">
        <v>4.3700000000000003E-2</v>
      </c>
      <c r="AH139">
        <v>77.3</v>
      </c>
      <c r="AI139">
        <v>77.900000000000006</v>
      </c>
      <c r="AJ139">
        <v>28.9</v>
      </c>
      <c r="AK139">
        <v>78.7</v>
      </c>
      <c r="AL139">
        <v>74.3</v>
      </c>
      <c r="AM139">
        <v>77</v>
      </c>
      <c r="AP139">
        <v>300</v>
      </c>
      <c r="AQ139">
        <v>3219</v>
      </c>
      <c r="AR139">
        <v>1.9400000000000001E-2</v>
      </c>
      <c r="AS139">
        <v>3.1300000000000001E-2</v>
      </c>
      <c r="AT139">
        <v>4.3700000000000003E-2</v>
      </c>
      <c r="AU139">
        <v>88.1</v>
      </c>
      <c r="AV139">
        <v>88.4</v>
      </c>
      <c r="AW139">
        <v>28.8</v>
      </c>
      <c r="AX139">
        <v>89.6</v>
      </c>
      <c r="AY139">
        <v>83.4</v>
      </c>
      <c r="AZ139">
        <v>85.9</v>
      </c>
    </row>
    <row r="140" spans="1:53" x14ac:dyDescent="0.25">
      <c r="A140" s="12">
        <v>305</v>
      </c>
      <c r="B140" s="12">
        <v>1619</v>
      </c>
      <c r="C140" s="12">
        <v>27.5</v>
      </c>
      <c r="D140" s="12">
        <v>53.4</v>
      </c>
      <c r="E140" s="12">
        <v>53.4</v>
      </c>
      <c r="F140" s="12">
        <v>54.4</v>
      </c>
      <c r="G140" s="12">
        <v>51.4</v>
      </c>
      <c r="H140" s="12">
        <v>55.7</v>
      </c>
      <c r="I140">
        <f>H140-C140</f>
        <v>28.200000000000003</v>
      </c>
      <c r="AC140">
        <v>305</v>
      </c>
      <c r="AD140">
        <v>2524</v>
      </c>
      <c r="AE140">
        <v>1.8800000000000001E-2</v>
      </c>
      <c r="AF140">
        <v>3.1300000000000001E-2</v>
      </c>
      <c r="AG140">
        <v>4.3700000000000003E-2</v>
      </c>
      <c r="AH140">
        <v>77.099999999999994</v>
      </c>
      <c r="AI140">
        <v>77.900000000000006</v>
      </c>
      <c r="AJ140">
        <v>28.8</v>
      </c>
      <c r="AK140">
        <v>78.8</v>
      </c>
      <c r="AL140">
        <v>74.3</v>
      </c>
      <c r="AM140">
        <v>77</v>
      </c>
      <c r="AP140">
        <v>305</v>
      </c>
      <c r="AQ140">
        <v>3218</v>
      </c>
      <c r="AR140">
        <v>1.95E-2</v>
      </c>
      <c r="AS140">
        <v>3.1399999999999997E-2</v>
      </c>
      <c r="AT140">
        <v>4.3799999999999999E-2</v>
      </c>
      <c r="AU140">
        <v>91.4</v>
      </c>
      <c r="AV140">
        <v>91.9</v>
      </c>
      <c r="AW140">
        <v>28.9</v>
      </c>
      <c r="AX140">
        <v>93.2</v>
      </c>
      <c r="AY140">
        <v>86.7</v>
      </c>
      <c r="AZ140">
        <v>89</v>
      </c>
    </row>
    <row r="141" spans="1:53" x14ac:dyDescent="0.25">
      <c r="A141">
        <v>310</v>
      </c>
      <c r="B141">
        <v>2002</v>
      </c>
      <c r="C141">
        <v>27.5</v>
      </c>
      <c r="D141">
        <v>53.8</v>
      </c>
      <c r="E141">
        <v>53.7</v>
      </c>
      <c r="F141">
        <v>54.7</v>
      </c>
      <c r="G141">
        <v>51.5</v>
      </c>
      <c r="H141">
        <v>55.9</v>
      </c>
      <c r="AC141" s="12">
        <v>310</v>
      </c>
      <c r="AD141" s="12">
        <v>2523</v>
      </c>
      <c r="AE141" s="12">
        <v>1.8800000000000001E-2</v>
      </c>
      <c r="AF141" s="12">
        <v>3.1300000000000001E-2</v>
      </c>
      <c r="AG141" s="12">
        <v>4.3700000000000003E-2</v>
      </c>
      <c r="AH141" s="12">
        <v>77.2</v>
      </c>
      <c r="AI141" s="12">
        <v>77.8</v>
      </c>
      <c r="AJ141" s="12">
        <v>28.8</v>
      </c>
      <c r="AK141" s="12">
        <v>78.7</v>
      </c>
      <c r="AL141" s="12">
        <v>74.3</v>
      </c>
      <c r="AM141" s="12">
        <v>76.900000000000006</v>
      </c>
      <c r="AN141" s="14">
        <v>49.9</v>
      </c>
      <c r="AP141">
        <v>310</v>
      </c>
      <c r="AQ141">
        <v>3219</v>
      </c>
      <c r="AR141">
        <v>1.9699999999999999E-2</v>
      </c>
      <c r="AS141">
        <v>3.1300000000000001E-2</v>
      </c>
      <c r="AT141">
        <v>4.3799999999999999E-2</v>
      </c>
      <c r="AU141">
        <v>94</v>
      </c>
      <c r="AV141">
        <v>94.6</v>
      </c>
      <c r="AW141">
        <v>28.9</v>
      </c>
      <c r="AX141">
        <v>96</v>
      </c>
      <c r="AY141">
        <v>89.4</v>
      </c>
      <c r="AZ141">
        <v>91.7</v>
      </c>
    </row>
    <row r="142" spans="1:53" x14ac:dyDescent="0.25">
      <c r="A142">
        <v>315</v>
      </c>
      <c r="B142">
        <v>1992</v>
      </c>
      <c r="C142">
        <v>27.6</v>
      </c>
      <c r="D142">
        <v>55.8</v>
      </c>
      <c r="E142">
        <v>55.4</v>
      </c>
      <c r="F142">
        <v>56.7</v>
      </c>
      <c r="G142">
        <v>53.2</v>
      </c>
      <c r="H142">
        <v>57.8</v>
      </c>
      <c r="AP142">
        <v>315</v>
      </c>
      <c r="AQ142">
        <v>3214</v>
      </c>
      <c r="AR142">
        <v>1.9800000000000002E-2</v>
      </c>
      <c r="AS142">
        <v>3.1399999999999997E-2</v>
      </c>
      <c r="AT142">
        <v>4.3900000000000002E-2</v>
      </c>
      <c r="AU142">
        <v>95.9</v>
      </c>
      <c r="AV142">
        <v>96.7</v>
      </c>
      <c r="AW142">
        <v>28.7</v>
      </c>
      <c r="AX142">
        <v>98.1</v>
      </c>
      <c r="AY142">
        <v>91.2</v>
      </c>
      <c r="AZ142">
        <v>93.7</v>
      </c>
    </row>
    <row r="143" spans="1:53" x14ac:dyDescent="0.25">
      <c r="A143">
        <v>320</v>
      </c>
      <c r="B143">
        <v>1999</v>
      </c>
      <c r="C143">
        <v>27.6</v>
      </c>
      <c r="D143">
        <v>57.4</v>
      </c>
      <c r="E143">
        <v>57.1</v>
      </c>
      <c r="F143">
        <v>58.3</v>
      </c>
      <c r="G143">
        <v>54.7</v>
      </c>
      <c r="H143">
        <v>59.4</v>
      </c>
      <c r="AP143">
        <v>320</v>
      </c>
      <c r="AQ143">
        <v>3212</v>
      </c>
      <c r="AR143">
        <v>1.9900000000000001E-2</v>
      </c>
      <c r="AS143">
        <v>3.1399999999999997E-2</v>
      </c>
      <c r="AT143">
        <v>4.3900000000000002E-2</v>
      </c>
      <c r="AU143">
        <v>97.5</v>
      </c>
      <c r="AV143">
        <v>98.3</v>
      </c>
      <c r="AW143">
        <v>28.9</v>
      </c>
      <c r="AX143">
        <v>99.7</v>
      </c>
      <c r="AY143">
        <v>92.9</v>
      </c>
      <c r="AZ143">
        <v>95.2</v>
      </c>
    </row>
    <row r="144" spans="1:53" x14ac:dyDescent="0.25">
      <c r="A144">
        <v>325</v>
      </c>
      <c r="B144">
        <v>1996</v>
      </c>
      <c r="C144">
        <v>27.6</v>
      </c>
      <c r="D144">
        <v>58.7</v>
      </c>
      <c r="E144">
        <v>58.4</v>
      </c>
      <c r="F144">
        <v>59.8</v>
      </c>
      <c r="G144">
        <v>55.9</v>
      </c>
      <c r="H144">
        <v>60.9</v>
      </c>
      <c r="AP144">
        <v>325</v>
      </c>
      <c r="AQ144">
        <v>3208</v>
      </c>
      <c r="AR144">
        <v>0.02</v>
      </c>
      <c r="AS144">
        <v>3.1600000000000003E-2</v>
      </c>
      <c r="AT144">
        <v>4.41E-2</v>
      </c>
      <c r="AU144">
        <v>99.1</v>
      </c>
      <c r="AV144">
        <v>100.1</v>
      </c>
      <c r="AW144">
        <v>28.9</v>
      </c>
      <c r="AX144">
        <v>101.4</v>
      </c>
      <c r="AY144">
        <v>94.4</v>
      </c>
      <c r="AZ144">
        <v>96.8</v>
      </c>
    </row>
    <row r="145" spans="1:52" x14ac:dyDescent="0.25">
      <c r="A145">
        <v>330</v>
      </c>
      <c r="B145">
        <v>1994</v>
      </c>
      <c r="C145">
        <v>27.6</v>
      </c>
      <c r="D145">
        <v>59.9</v>
      </c>
      <c r="E145">
        <v>59.6</v>
      </c>
      <c r="F145">
        <v>61</v>
      </c>
      <c r="G145">
        <v>56.9</v>
      </c>
      <c r="H145">
        <v>62.1</v>
      </c>
      <c r="AP145">
        <v>330</v>
      </c>
      <c r="AQ145">
        <v>3195</v>
      </c>
      <c r="AR145">
        <v>2.01E-2</v>
      </c>
      <c r="AS145">
        <v>3.1600000000000003E-2</v>
      </c>
      <c r="AT145">
        <v>4.4200000000000003E-2</v>
      </c>
      <c r="AU145">
        <v>100.3</v>
      </c>
      <c r="AV145">
        <v>101.3</v>
      </c>
      <c r="AW145">
        <v>29.1</v>
      </c>
      <c r="AX145">
        <v>102.7</v>
      </c>
      <c r="AY145">
        <v>95.6</v>
      </c>
      <c r="AZ145">
        <v>98.1</v>
      </c>
    </row>
    <row r="146" spans="1:52" x14ac:dyDescent="0.25">
      <c r="A146">
        <v>335</v>
      </c>
      <c r="B146">
        <v>1999</v>
      </c>
      <c r="C146">
        <v>27.5</v>
      </c>
      <c r="D146">
        <v>60.7</v>
      </c>
      <c r="E146">
        <v>60.6</v>
      </c>
      <c r="F146">
        <v>61.9</v>
      </c>
      <c r="G146">
        <v>57.8</v>
      </c>
      <c r="H146">
        <v>63.1</v>
      </c>
      <c r="AP146">
        <v>335</v>
      </c>
      <c r="AQ146">
        <v>3205</v>
      </c>
      <c r="AR146">
        <v>0.02</v>
      </c>
      <c r="AS146">
        <v>3.1300000000000001E-2</v>
      </c>
      <c r="AT146">
        <v>4.3999999999999997E-2</v>
      </c>
      <c r="AU146">
        <v>101</v>
      </c>
      <c r="AV146">
        <v>102.1</v>
      </c>
      <c r="AW146">
        <v>29</v>
      </c>
      <c r="AX146">
        <v>103.4</v>
      </c>
      <c r="AY146">
        <v>96.4</v>
      </c>
      <c r="AZ146">
        <v>99</v>
      </c>
    </row>
    <row r="147" spans="1:52" x14ac:dyDescent="0.25">
      <c r="A147">
        <v>340</v>
      </c>
      <c r="B147">
        <v>1991</v>
      </c>
      <c r="C147">
        <v>27.5</v>
      </c>
      <c r="D147">
        <v>61.6</v>
      </c>
      <c r="E147">
        <v>61.4</v>
      </c>
      <c r="F147">
        <v>62.8</v>
      </c>
      <c r="G147">
        <v>58.5</v>
      </c>
      <c r="H147">
        <v>64</v>
      </c>
      <c r="AP147">
        <v>340</v>
      </c>
      <c r="AQ147">
        <v>3201</v>
      </c>
      <c r="AR147">
        <v>2.01E-2</v>
      </c>
      <c r="AS147">
        <v>3.1300000000000001E-2</v>
      </c>
      <c r="AT147">
        <v>4.3900000000000002E-2</v>
      </c>
      <c r="AU147">
        <v>102</v>
      </c>
      <c r="AV147">
        <v>102.9</v>
      </c>
      <c r="AW147">
        <v>29.3</v>
      </c>
      <c r="AX147">
        <v>104.3</v>
      </c>
      <c r="AY147">
        <v>97.3</v>
      </c>
      <c r="AZ147">
        <v>99.8</v>
      </c>
    </row>
    <row r="148" spans="1:52" x14ac:dyDescent="0.25">
      <c r="A148">
        <v>345</v>
      </c>
      <c r="B148">
        <v>2007</v>
      </c>
      <c r="C148">
        <v>27.6</v>
      </c>
      <c r="D148">
        <v>62.2</v>
      </c>
      <c r="E148">
        <v>62.2</v>
      </c>
      <c r="F148">
        <v>63.5</v>
      </c>
      <c r="G148">
        <v>59.1</v>
      </c>
      <c r="H148">
        <v>64.8</v>
      </c>
      <c r="AP148">
        <v>345</v>
      </c>
      <c r="AQ148">
        <v>3212</v>
      </c>
      <c r="AR148">
        <v>2.0199999999999999E-2</v>
      </c>
      <c r="AS148">
        <v>3.1399999999999997E-2</v>
      </c>
      <c r="AT148">
        <v>4.3999999999999997E-2</v>
      </c>
      <c r="AU148">
        <v>102.6</v>
      </c>
      <c r="AV148">
        <v>103.8</v>
      </c>
      <c r="AW148">
        <v>29.2</v>
      </c>
      <c r="AX148">
        <v>105.1</v>
      </c>
      <c r="AY148">
        <v>97.9</v>
      </c>
      <c r="AZ148">
        <v>100.6</v>
      </c>
    </row>
    <row r="149" spans="1:52" x14ac:dyDescent="0.25">
      <c r="A149">
        <v>350</v>
      </c>
      <c r="B149">
        <v>2005</v>
      </c>
      <c r="C149">
        <v>27.5</v>
      </c>
      <c r="D149">
        <v>62.8</v>
      </c>
      <c r="E149">
        <v>62.6</v>
      </c>
      <c r="F149">
        <v>64</v>
      </c>
      <c r="G149">
        <v>59.7</v>
      </c>
      <c r="H149">
        <v>65.400000000000006</v>
      </c>
      <c r="AP149">
        <v>350</v>
      </c>
      <c r="AQ149">
        <v>3233</v>
      </c>
      <c r="AR149">
        <v>2.0199999999999999E-2</v>
      </c>
      <c r="AS149">
        <v>3.1399999999999997E-2</v>
      </c>
      <c r="AT149">
        <v>4.41E-2</v>
      </c>
      <c r="AU149">
        <v>103.9</v>
      </c>
      <c r="AV149">
        <v>104.8</v>
      </c>
      <c r="AW149">
        <v>29.1</v>
      </c>
      <c r="AX149">
        <v>106.2</v>
      </c>
      <c r="AY149">
        <v>99</v>
      </c>
      <c r="AZ149">
        <v>101.8</v>
      </c>
    </row>
    <row r="150" spans="1:52" x14ac:dyDescent="0.25">
      <c r="A150">
        <v>355</v>
      </c>
      <c r="B150">
        <v>2002</v>
      </c>
      <c r="C150">
        <v>27.5</v>
      </c>
      <c r="D150">
        <v>63.2</v>
      </c>
      <c r="E150">
        <v>63.1</v>
      </c>
      <c r="F150">
        <v>64.599999999999994</v>
      </c>
      <c r="G150">
        <v>60.1</v>
      </c>
      <c r="H150">
        <v>65.900000000000006</v>
      </c>
      <c r="AP150">
        <v>355</v>
      </c>
      <c r="AQ150">
        <v>3225</v>
      </c>
      <c r="AR150">
        <v>2.0199999999999999E-2</v>
      </c>
      <c r="AS150">
        <v>3.1300000000000001E-2</v>
      </c>
      <c r="AT150">
        <v>4.3999999999999997E-2</v>
      </c>
      <c r="AU150">
        <v>104.5</v>
      </c>
      <c r="AV150">
        <v>105.6</v>
      </c>
      <c r="AW150">
        <v>29.3</v>
      </c>
      <c r="AX150">
        <v>107.1</v>
      </c>
      <c r="AY150">
        <v>99.7</v>
      </c>
      <c r="AZ150">
        <v>102.5</v>
      </c>
    </row>
    <row r="151" spans="1:52" x14ac:dyDescent="0.25">
      <c r="A151">
        <v>360</v>
      </c>
      <c r="B151">
        <v>2005</v>
      </c>
      <c r="C151">
        <v>27.8</v>
      </c>
      <c r="D151">
        <v>63.6</v>
      </c>
      <c r="E151">
        <v>63.6</v>
      </c>
      <c r="F151">
        <v>65</v>
      </c>
      <c r="G151">
        <v>60.4</v>
      </c>
      <c r="H151">
        <v>66.3</v>
      </c>
      <c r="AP151">
        <v>360</v>
      </c>
      <c r="AQ151">
        <v>3234</v>
      </c>
      <c r="AR151">
        <v>2.0299999999999999E-2</v>
      </c>
      <c r="AS151">
        <v>3.1399999999999997E-2</v>
      </c>
      <c r="AT151">
        <v>4.41E-2</v>
      </c>
      <c r="AU151">
        <v>105.3</v>
      </c>
      <c r="AV151">
        <v>106.3</v>
      </c>
      <c r="AW151">
        <v>29.3</v>
      </c>
      <c r="AX151">
        <v>107.8</v>
      </c>
      <c r="AY151">
        <v>100.4</v>
      </c>
      <c r="AZ151">
        <v>103.3</v>
      </c>
    </row>
    <row r="152" spans="1:52" x14ac:dyDescent="0.25">
      <c r="A152">
        <v>365</v>
      </c>
      <c r="B152">
        <v>2008</v>
      </c>
      <c r="C152">
        <v>27.9</v>
      </c>
      <c r="D152">
        <v>63.9</v>
      </c>
      <c r="E152">
        <v>63.8</v>
      </c>
      <c r="F152">
        <v>65.3</v>
      </c>
      <c r="G152">
        <v>60.7</v>
      </c>
      <c r="H152">
        <v>66.7</v>
      </c>
      <c r="AP152">
        <v>365</v>
      </c>
      <c r="AQ152">
        <v>3229</v>
      </c>
      <c r="AR152">
        <v>2.0299999999999999E-2</v>
      </c>
      <c r="AS152">
        <v>3.1300000000000001E-2</v>
      </c>
      <c r="AT152">
        <v>4.41E-2</v>
      </c>
      <c r="AU152">
        <v>105.8</v>
      </c>
      <c r="AV152">
        <v>106.9</v>
      </c>
      <c r="AW152">
        <v>29.5</v>
      </c>
      <c r="AX152">
        <v>108.3</v>
      </c>
      <c r="AY152">
        <v>100.9</v>
      </c>
      <c r="AZ152">
        <v>103.8</v>
      </c>
    </row>
    <row r="153" spans="1:52" x14ac:dyDescent="0.25">
      <c r="A153">
        <v>370</v>
      </c>
      <c r="B153">
        <v>2002</v>
      </c>
      <c r="C153">
        <v>27.7</v>
      </c>
      <c r="D153">
        <v>64.099999999999994</v>
      </c>
      <c r="E153">
        <v>64.099999999999994</v>
      </c>
      <c r="F153">
        <v>65.599999999999994</v>
      </c>
      <c r="G153">
        <v>61</v>
      </c>
      <c r="H153">
        <v>67</v>
      </c>
      <c r="AP153">
        <v>370</v>
      </c>
      <c r="AQ153">
        <v>3207</v>
      </c>
      <c r="AR153">
        <v>2.0400000000000001E-2</v>
      </c>
      <c r="AS153">
        <v>3.1300000000000001E-2</v>
      </c>
      <c r="AT153">
        <v>4.3999999999999997E-2</v>
      </c>
      <c r="AU153">
        <v>106.2</v>
      </c>
      <c r="AV153">
        <v>107.5</v>
      </c>
      <c r="AW153">
        <v>29.4</v>
      </c>
      <c r="AX153">
        <v>108.8</v>
      </c>
      <c r="AY153">
        <v>101.4</v>
      </c>
      <c r="AZ153">
        <v>104.4</v>
      </c>
    </row>
    <row r="154" spans="1:52" x14ac:dyDescent="0.25">
      <c r="A154">
        <v>375</v>
      </c>
      <c r="B154">
        <v>2001</v>
      </c>
      <c r="C154">
        <v>27.8</v>
      </c>
      <c r="D154">
        <v>64.2</v>
      </c>
      <c r="E154">
        <v>64.2</v>
      </c>
      <c r="F154">
        <v>65.8</v>
      </c>
      <c r="G154">
        <v>61.1</v>
      </c>
      <c r="H154">
        <v>67.2</v>
      </c>
      <c r="AP154">
        <v>375</v>
      </c>
      <c r="AQ154">
        <v>3204</v>
      </c>
      <c r="AR154">
        <v>2.0400000000000001E-2</v>
      </c>
      <c r="AS154">
        <v>3.1199999999999999E-2</v>
      </c>
      <c r="AT154">
        <v>4.3999999999999997E-2</v>
      </c>
      <c r="AU154">
        <v>106.6</v>
      </c>
      <c r="AV154">
        <v>107.7</v>
      </c>
      <c r="AW154">
        <v>29.4</v>
      </c>
      <c r="AX154">
        <v>109.2</v>
      </c>
      <c r="AY154">
        <v>101.8</v>
      </c>
      <c r="AZ154">
        <v>104.7</v>
      </c>
    </row>
    <row r="155" spans="1:52" x14ac:dyDescent="0.25">
      <c r="A155">
        <v>380</v>
      </c>
      <c r="B155">
        <v>2001</v>
      </c>
      <c r="C155">
        <v>27.6</v>
      </c>
      <c r="D155">
        <v>64.599999999999994</v>
      </c>
      <c r="E155">
        <v>64.599999999999994</v>
      </c>
      <c r="F155">
        <v>66.099999999999994</v>
      </c>
      <c r="G155">
        <v>61.3</v>
      </c>
      <c r="H155">
        <v>67.599999999999994</v>
      </c>
      <c r="AP155">
        <v>380</v>
      </c>
      <c r="AQ155">
        <v>3212</v>
      </c>
      <c r="AR155">
        <v>2.0400000000000001E-2</v>
      </c>
      <c r="AS155">
        <v>3.1199999999999999E-2</v>
      </c>
      <c r="AT155">
        <v>4.3999999999999997E-2</v>
      </c>
      <c r="AU155">
        <v>106.4</v>
      </c>
      <c r="AV155">
        <v>107.6</v>
      </c>
      <c r="AW155">
        <v>29.4</v>
      </c>
      <c r="AX155">
        <v>109.1</v>
      </c>
      <c r="AY155">
        <v>101.5</v>
      </c>
      <c r="AZ155">
        <v>104.7</v>
      </c>
    </row>
    <row r="156" spans="1:52" x14ac:dyDescent="0.25">
      <c r="A156">
        <v>385</v>
      </c>
      <c r="B156">
        <v>2007</v>
      </c>
      <c r="C156">
        <v>27.7</v>
      </c>
      <c r="D156">
        <v>65</v>
      </c>
      <c r="E156">
        <v>64.8</v>
      </c>
      <c r="F156">
        <v>66.400000000000006</v>
      </c>
      <c r="G156">
        <v>61.6</v>
      </c>
      <c r="H156">
        <v>67.900000000000006</v>
      </c>
      <c r="AP156">
        <v>385</v>
      </c>
      <c r="AQ156">
        <v>3206</v>
      </c>
      <c r="AR156">
        <v>2.0299999999999999E-2</v>
      </c>
      <c r="AS156">
        <v>3.1099999999999999E-2</v>
      </c>
      <c r="AT156">
        <v>4.3999999999999997E-2</v>
      </c>
      <c r="AU156">
        <v>106</v>
      </c>
      <c r="AV156">
        <v>107.3</v>
      </c>
      <c r="AW156">
        <v>29.3</v>
      </c>
      <c r="AX156">
        <v>108.7</v>
      </c>
      <c r="AY156">
        <v>101.2</v>
      </c>
      <c r="AZ156">
        <v>104.4</v>
      </c>
    </row>
    <row r="157" spans="1:52" x14ac:dyDescent="0.25">
      <c r="A157">
        <v>390</v>
      </c>
      <c r="B157">
        <v>2006</v>
      </c>
      <c r="C157">
        <v>27.8</v>
      </c>
      <c r="D157">
        <v>65.2</v>
      </c>
      <c r="E157">
        <v>65.099999999999994</v>
      </c>
      <c r="F157">
        <v>66.599999999999994</v>
      </c>
      <c r="G157">
        <v>61.8</v>
      </c>
      <c r="H157">
        <v>68.2</v>
      </c>
      <c r="AP157">
        <v>390</v>
      </c>
      <c r="AQ157">
        <v>3204</v>
      </c>
      <c r="AR157">
        <v>2.0400000000000001E-2</v>
      </c>
      <c r="AS157">
        <v>3.1300000000000001E-2</v>
      </c>
      <c r="AT157">
        <v>4.3999999999999997E-2</v>
      </c>
      <c r="AU157">
        <v>106</v>
      </c>
      <c r="AV157">
        <v>107.3</v>
      </c>
      <c r="AW157">
        <v>29.4</v>
      </c>
      <c r="AX157">
        <v>108.7</v>
      </c>
      <c r="AY157">
        <v>101.3</v>
      </c>
      <c r="AZ157">
        <v>104.4</v>
      </c>
    </row>
    <row r="158" spans="1:52" x14ac:dyDescent="0.25">
      <c r="A158">
        <v>395</v>
      </c>
      <c r="B158">
        <v>2006</v>
      </c>
      <c r="C158">
        <v>27.8</v>
      </c>
      <c r="D158">
        <v>65.400000000000006</v>
      </c>
      <c r="E158">
        <v>65.3</v>
      </c>
      <c r="F158">
        <v>66.8</v>
      </c>
      <c r="G158">
        <v>62.1</v>
      </c>
      <c r="H158">
        <v>68.400000000000006</v>
      </c>
      <c r="AP158">
        <v>395</v>
      </c>
      <c r="AQ158">
        <v>3220</v>
      </c>
      <c r="AR158">
        <v>2.0400000000000001E-2</v>
      </c>
      <c r="AS158">
        <v>3.1300000000000001E-2</v>
      </c>
      <c r="AT158">
        <v>4.3999999999999997E-2</v>
      </c>
      <c r="AU158">
        <v>106</v>
      </c>
      <c r="AV158">
        <v>107.3</v>
      </c>
      <c r="AW158">
        <v>29.4</v>
      </c>
      <c r="AX158">
        <v>108.6</v>
      </c>
      <c r="AY158">
        <v>101.3</v>
      </c>
      <c r="AZ158">
        <v>104.3</v>
      </c>
    </row>
    <row r="159" spans="1:52" x14ac:dyDescent="0.25">
      <c r="A159">
        <v>400</v>
      </c>
      <c r="B159">
        <v>2006</v>
      </c>
      <c r="C159">
        <v>27.8</v>
      </c>
      <c r="D159">
        <v>65.599999999999994</v>
      </c>
      <c r="E159">
        <v>65.5</v>
      </c>
      <c r="F159">
        <v>67</v>
      </c>
      <c r="G159">
        <v>62.2</v>
      </c>
      <c r="H159">
        <v>68.599999999999994</v>
      </c>
      <c r="AP159">
        <v>400</v>
      </c>
      <c r="AQ159">
        <v>3213</v>
      </c>
      <c r="AR159">
        <v>2.0400000000000001E-2</v>
      </c>
      <c r="AS159">
        <v>3.1199999999999999E-2</v>
      </c>
      <c r="AT159">
        <v>4.3999999999999997E-2</v>
      </c>
      <c r="AU159">
        <v>106.1</v>
      </c>
      <c r="AV159">
        <v>107.4</v>
      </c>
      <c r="AW159">
        <v>29.3</v>
      </c>
      <c r="AX159">
        <v>108.8</v>
      </c>
      <c r="AY159">
        <v>101.4</v>
      </c>
      <c r="AZ159">
        <v>104.4</v>
      </c>
    </row>
    <row r="160" spans="1:52" x14ac:dyDescent="0.25">
      <c r="A160">
        <v>405</v>
      </c>
      <c r="B160">
        <v>2012</v>
      </c>
      <c r="C160">
        <v>27.8</v>
      </c>
      <c r="D160">
        <v>65.599999999999994</v>
      </c>
      <c r="E160">
        <v>65.5</v>
      </c>
      <c r="F160">
        <v>67.099999999999994</v>
      </c>
      <c r="G160">
        <v>62.3</v>
      </c>
      <c r="H160">
        <v>68.7</v>
      </c>
      <c r="AP160">
        <v>405</v>
      </c>
      <c r="AQ160">
        <v>3220</v>
      </c>
      <c r="AR160">
        <v>2.0400000000000001E-2</v>
      </c>
      <c r="AS160">
        <v>3.1300000000000001E-2</v>
      </c>
      <c r="AT160">
        <v>4.3999999999999997E-2</v>
      </c>
      <c r="AU160">
        <v>106.2</v>
      </c>
      <c r="AV160">
        <v>107.3</v>
      </c>
      <c r="AW160">
        <v>29.5</v>
      </c>
      <c r="AX160">
        <v>108.7</v>
      </c>
      <c r="AY160">
        <v>101.4</v>
      </c>
      <c r="AZ160">
        <v>104.4</v>
      </c>
    </row>
    <row r="161" spans="1:53" x14ac:dyDescent="0.25">
      <c r="A161">
        <v>410</v>
      </c>
      <c r="B161">
        <v>2007</v>
      </c>
      <c r="C161">
        <v>27.7</v>
      </c>
      <c r="D161">
        <v>65.8</v>
      </c>
      <c r="E161">
        <v>65.7</v>
      </c>
      <c r="F161">
        <v>67.2</v>
      </c>
      <c r="G161">
        <v>62.4</v>
      </c>
      <c r="H161">
        <v>69</v>
      </c>
      <c r="AP161">
        <v>410</v>
      </c>
      <c r="AQ161">
        <v>3226</v>
      </c>
      <c r="AR161">
        <v>2.0400000000000001E-2</v>
      </c>
      <c r="AS161">
        <v>3.1199999999999999E-2</v>
      </c>
      <c r="AT161">
        <v>4.3999999999999997E-2</v>
      </c>
      <c r="AU161">
        <v>106.9</v>
      </c>
      <c r="AV161">
        <v>107.8</v>
      </c>
      <c r="AW161">
        <v>29.4</v>
      </c>
      <c r="AX161">
        <v>109.2</v>
      </c>
      <c r="AY161">
        <v>102</v>
      </c>
      <c r="AZ161">
        <v>105</v>
      </c>
    </row>
    <row r="162" spans="1:53" x14ac:dyDescent="0.25">
      <c r="A162">
        <v>415</v>
      </c>
      <c r="B162">
        <v>2009</v>
      </c>
      <c r="C162">
        <v>27.8</v>
      </c>
      <c r="D162">
        <v>65.8</v>
      </c>
      <c r="E162">
        <v>65.900000000000006</v>
      </c>
      <c r="F162">
        <v>67.3</v>
      </c>
      <c r="G162">
        <v>62.4</v>
      </c>
      <c r="H162">
        <v>69</v>
      </c>
      <c r="AP162" s="12">
        <v>415</v>
      </c>
      <c r="AQ162" s="12">
        <v>3226</v>
      </c>
      <c r="AR162" s="12">
        <v>2.06E-2</v>
      </c>
      <c r="AS162" s="12">
        <v>3.1600000000000003E-2</v>
      </c>
      <c r="AT162" s="12">
        <v>4.4499999999999998E-2</v>
      </c>
      <c r="AU162" s="12">
        <v>106.9</v>
      </c>
      <c r="AV162" s="12">
        <v>108.1</v>
      </c>
      <c r="AW162" s="12">
        <v>29.7</v>
      </c>
      <c r="AX162" s="12">
        <v>109.6</v>
      </c>
      <c r="AY162" s="12">
        <v>102.2</v>
      </c>
      <c r="AZ162" s="12">
        <v>105.2</v>
      </c>
      <c r="BA162" s="14">
        <v>79.900000000000006</v>
      </c>
    </row>
    <row r="163" spans="1:53" x14ac:dyDescent="0.25">
      <c r="A163">
        <v>420</v>
      </c>
      <c r="B163">
        <v>1997</v>
      </c>
      <c r="C163">
        <v>27.8</v>
      </c>
      <c r="D163">
        <v>65.900000000000006</v>
      </c>
      <c r="E163">
        <v>65.900000000000006</v>
      </c>
      <c r="F163">
        <v>67.400000000000006</v>
      </c>
      <c r="G163">
        <v>62.6</v>
      </c>
      <c r="H163">
        <v>69</v>
      </c>
    </row>
    <row r="164" spans="1:53" x14ac:dyDescent="0.25">
      <c r="A164">
        <v>425</v>
      </c>
      <c r="B164">
        <v>1995</v>
      </c>
      <c r="C164">
        <v>27.8</v>
      </c>
      <c r="D164">
        <v>65.900000000000006</v>
      </c>
      <c r="E164">
        <v>65.900000000000006</v>
      </c>
      <c r="F164">
        <v>67.400000000000006</v>
      </c>
      <c r="G164">
        <v>62.5</v>
      </c>
      <c r="H164">
        <v>69.099999999999994</v>
      </c>
    </row>
    <row r="165" spans="1:53" x14ac:dyDescent="0.25">
      <c r="A165" s="12">
        <v>430</v>
      </c>
      <c r="B165" s="12">
        <v>1997</v>
      </c>
      <c r="C165" s="12">
        <v>27.9</v>
      </c>
      <c r="D165" s="12">
        <v>66</v>
      </c>
      <c r="E165" s="12">
        <v>66</v>
      </c>
      <c r="F165" s="12">
        <v>67.400000000000006</v>
      </c>
      <c r="G165" s="12">
        <v>62.5</v>
      </c>
      <c r="H165" s="12">
        <v>69.099999999999994</v>
      </c>
      <c r="I165">
        <f>H165-C165</f>
        <v>41.199999999999996</v>
      </c>
    </row>
    <row r="167" spans="1:53" x14ac:dyDescent="0.25">
      <c r="A167" s="179" t="s">
        <v>43</v>
      </c>
      <c r="B167" s="179"/>
      <c r="C167" s="179"/>
      <c r="D167" s="179"/>
      <c r="E167" s="179"/>
      <c r="F167" s="179"/>
      <c r="G167" s="179"/>
      <c r="H167" s="179"/>
      <c r="I167" s="179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</row>
    <row r="168" spans="1:53" x14ac:dyDescent="0.25">
      <c r="A168" t="s">
        <v>27</v>
      </c>
      <c r="B168" t="s">
        <v>28</v>
      </c>
      <c r="C168" t="s">
        <v>44</v>
      </c>
      <c r="D168" t="s">
        <v>45</v>
      </c>
      <c r="E168" t="s">
        <v>46</v>
      </c>
      <c r="F168" t="s">
        <v>47</v>
      </c>
      <c r="G168" t="s">
        <v>48</v>
      </c>
      <c r="H168" t="s">
        <v>29</v>
      </c>
      <c r="I168" t="s">
        <v>31</v>
      </c>
      <c r="J168" t="s">
        <v>35</v>
      </c>
      <c r="K168" t="s">
        <v>32</v>
      </c>
      <c r="Z168" s="180" t="s">
        <v>49</v>
      </c>
      <c r="AA168" s="173"/>
      <c r="AB168" s="173"/>
      <c r="AG168" t="s">
        <v>27</v>
      </c>
      <c r="AH168" t="s">
        <v>28</v>
      </c>
      <c r="AI168" t="s">
        <v>44</v>
      </c>
      <c r="AJ168" t="s">
        <v>45</v>
      </c>
      <c r="AK168" t="s">
        <v>46</v>
      </c>
      <c r="AL168" t="s">
        <v>47</v>
      </c>
      <c r="AM168" t="s">
        <v>48</v>
      </c>
      <c r="AN168" t="s">
        <v>29</v>
      </c>
      <c r="AO168" t="s">
        <v>31</v>
      </c>
      <c r="AP168" t="s">
        <v>35</v>
      </c>
      <c r="AQ168" t="s">
        <v>32</v>
      </c>
    </row>
    <row r="169" spans="1:53" x14ac:dyDescent="0.25">
      <c r="A169">
        <v>5</v>
      </c>
      <c r="B169">
        <v>1212</v>
      </c>
      <c r="F169">
        <v>29.4</v>
      </c>
      <c r="G169">
        <v>30.2</v>
      </c>
      <c r="H169">
        <v>27.9</v>
      </c>
      <c r="I169">
        <v>28.9</v>
      </c>
      <c r="J169">
        <v>29.1</v>
      </c>
      <c r="K169">
        <v>29.7</v>
      </c>
      <c r="Z169" s="12">
        <v>30</v>
      </c>
      <c r="AA169" s="12">
        <v>50</v>
      </c>
      <c r="AB169" s="12">
        <v>70</v>
      </c>
      <c r="AG169">
        <v>5</v>
      </c>
      <c r="AH169">
        <v>2024</v>
      </c>
      <c r="AL169">
        <v>30.7</v>
      </c>
      <c r="AM169">
        <v>31.5</v>
      </c>
      <c r="AN169">
        <v>29.4</v>
      </c>
      <c r="AO169">
        <v>30.1</v>
      </c>
      <c r="AP169">
        <v>30.6</v>
      </c>
      <c r="AQ169">
        <v>30.9</v>
      </c>
    </row>
    <row r="170" spans="1:53" x14ac:dyDescent="0.25">
      <c r="A170">
        <v>10</v>
      </c>
      <c r="B170">
        <v>1259</v>
      </c>
      <c r="C170">
        <v>1.5299999999999999E-2</v>
      </c>
      <c r="D170">
        <v>2.8500000000000001E-2</v>
      </c>
      <c r="E170">
        <v>0.04</v>
      </c>
      <c r="F170">
        <v>30.9</v>
      </c>
      <c r="G170">
        <v>32.700000000000003</v>
      </c>
      <c r="H170">
        <v>28</v>
      </c>
      <c r="I170">
        <v>30.3</v>
      </c>
      <c r="J170">
        <v>30.5</v>
      </c>
      <c r="K170">
        <v>30.9</v>
      </c>
      <c r="Z170" s="8">
        <f>306.23*Z169^0.5498</f>
        <v>1986.8679314598508</v>
      </c>
      <c r="AA170" s="8">
        <f t="shared" ref="AA170:AB170" si="1">306.23*AA169^0.5498</f>
        <v>2631.1247674725969</v>
      </c>
      <c r="AB170" s="8">
        <f t="shared" si="1"/>
        <v>3165.7938913765106</v>
      </c>
      <c r="AD170" s="8"/>
      <c r="AE170" s="8"/>
      <c r="AF170" s="8"/>
      <c r="AG170">
        <v>10</v>
      </c>
      <c r="AH170">
        <v>2023</v>
      </c>
      <c r="AI170">
        <v>1.5699999999999999E-2</v>
      </c>
      <c r="AJ170">
        <v>2.86E-2</v>
      </c>
      <c r="AK170">
        <v>3.95E-2</v>
      </c>
      <c r="AL170">
        <v>35.200000000000003</v>
      </c>
      <c r="AM170">
        <v>38.4</v>
      </c>
      <c r="AN170">
        <v>29.6</v>
      </c>
      <c r="AO170">
        <v>34.6</v>
      </c>
      <c r="AP170">
        <v>34.700000000000003</v>
      </c>
      <c r="AQ170">
        <v>34.700000000000003</v>
      </c>
    </row>
    <row r="171" spans="1:53" x14ac:dyDescent="0.25">
      <c r="A171">
        <v>15</v>
      </c>
      <c r="B171">
        <v>1261</v>
      </c>
      <c r="C171">
        <v>1.5299999999999999E-2</v>
      </c>
      <c r="D171">
        <v>2.8899999999999999E-2</v>
      </c>
      <c r="E171">
        <v>4.02E-2</v>
      </c>
      <c r="F171">
        <v>32.299999999999997</v>
      </c>
      <c r="G171">
        <v>34.1</v>
      </c>
      <c r="H171">
        <v>28.1</v>
      </c>
      <c r="I171">
        <v>31.8</v>
      </c>
      <c r="J171">
        <v>31.9</v>
      </c>
      <c r="K171">
        <v>32.299999999999997</v>
      </c>
      <c r="AG171">
        <v>15</v>
      </c>
      <c r="AH171">
        <v>2018</v>
      </c>
      <c r="AI171">
        <v>1.5800000000000002E-2</v>
      </c>
      <c r="AJ171">
        <v>2.87E-2</v>
      </c>
      <c r="AK171">
        <v>3.9600000000000003E-2</v>
      </c>
      <c r="AL171">
        <v>38.6</v>
      </c>
      <c r="AM171">
        <v>42</v>
      </c>
      <c r="AN171">
        <v>29.7</v>
      </c>
      <c r="AO171">
        <v>38</v>
      </c>
      <c r="AP171">
        <v>38</v>
      </c>
      <c r="AQ171">
        <v>37.799999999999997</v>
      </c>
    </row>
    <row r="172" spans="1:53" x14ac:dyDescent="0.25">
      <c r="A172">
        <v>20</v>
      </c>
      <c r="B172">
        <v>1255</v>
      </c>
      <c r="C172">
        <v>1.55E-2</v>
      </c>
      <c r="D172">
        <v>2.8899999999999999E-2</v>
      </c>
      <c r="E172">
        <v>4.0300000000000002E-2</v>
      </c>
      <c r="F172">
        <v>33.4</v>
      </c>
      <c r="G172">
        <v>35</v>
      </c>
      <c r="H172">
        <v>28.1</v>
      </c>
      <c r="I172">
        <v>32.9</v>
      </c>
      <c r="J172">
        <v>32.799999999999997</v>
      </c>
      <c r="K172">
        <v>33.299999999999997</v>
      </c>
      <c r="AG172">
        <v>20</v>
      </c>
      <c r="AH172">
        <v>2021</v>
      </c>
      <c r="AI172">
        <v>1.6E-2</v>
      </c>
      <c r="AJ172">
        <v>2.87E-2</v>
      </c>
      <c r="AK172">
        <v>3.9699999999999999E-2</v>
      </c>
      <c r="AL172">
        <v>41.5</v>
      </c>
      <c r="AM172">
        <v>44.9</v>
      </c>
      <c r="AN172">
        <v>29.9</v>
      </c>
      <c r="AO172">
        <v>41.1</v>
      </c>
      <c r="AP172">
        <v>40.9</v>
      </c>
      <c r="AQ172">
        <v>40.5</v>
      </c>
    </row>
    <row r="173" spans="1:53" x14ac:dyDescent="0.25">
      <c r="A173">
        <v>25</v>
      </c>
      <c r="B173">
        <v>1262</v>
      </c>
      <c r="C173">
        <v>1.55E-2</v>
      </c>
      <c r="D173">
        <v>2.8799999999999999E-2</v>
      </c>
      <c r="E173">
        <v>4.0399999999999998E-2</v>
      </c>
      <c r="F173">
        <v>34.4</v>
      </c>
      <c r="G173">
        <v>36</v>
      </c>
      <c r="H173">
        <v>28.2</v>
      </c>
      <c r="I173">
        <v>33.9</v>
      </c>
      <c r="J173">
        <v>33.799999999999997</v>
      </c>
      <c r="K173">
        <v>34.299999999999997</v>
      </c>
      <c r="V173" s="12">
        <v>13.4</v>
      </c>
      <c r="W173" s="12">
        <v>19.899999999999999</v>
      </c>
      <c r="X173" s="12">
        <v>29.3</v>
      </c>
      <c r="Y173" s="12">
        <v>30</v>
      </c>
      <c r="Z173" s="12">
        <v>45.8</v>
      </c>
      <c r="AA173" s="12">
        <v>73</v>
      </c>
      <c r="AG173">
        <v>25</v>
      </c>
      <c r="AH173">
        <v>2016</v>
      </c>
      <c r="AI173">
        <v>1.6199999999999999E-2</v>
      </c>
      <c r="AJ173">
        <v>2.87E-2</v>
      </c>
      <c r="AK173">
        <v>3.9699999999999999E-2</v>
      </c>
      <c r="AL173">
        <v>43.8</v>
      </c>
      <c r="AM173">
        <v>47.1</v>
      </c>
      <c r="AN173">
        <v>29.8</v>
      </c>
      <c r="AO173">
        <v>43.3</v>
      </c>
      <c r="AP173">
        <v>43.2</v>
      </c>
      <c r="AQ173">
        <v>42.8</v>
      </c>
    </row>
    <row r="174" spans="1:53" x14ac:dyDescent="0.25">
      <c r="A174">
        <v>30</v>
      </c>
      <c r="B174">
        <v>1265</v>
      </c>
      <c r="C174">
        <v>1.5599999999999999E-2</v>
      </c>
      <c r="D174">
        <v>2.9000000000000001E-2</v>
      </c>
      <c r="E174">
        <v>4.0399999999999998E-2</v>
      </c>
      <c r="F174">
        <v>35.200000000000003</v>
      </c>
      <c r="G174">
        <v>36.9</v>
      </c>
      <c r="H174">
        <v>28.3</v>
      </c>
      <c r="I174">
        <v>34.700000000000003</v>
      </c>
      <c r="J174">
        <v>34.5</v>
      </c>
      <c r="K174">
        <v>35.1</v>
      </c>
      <c r="V174" s="12">
        <v>1250</v>
      </c>
      <c r="W174" s="12">
        <v>1600</v>
      </c>
      <c r="X174" s="12">
        <v>2000</v>
      </c>
      <c r="Y174" s="12">
        <v>2000</v>
      </c>
      <c r="Z174" s="12">
        <v>2500</v>
      </c>
      <c r="AA174" s="12">
        <v>3200</v>
      </c>
      <c r="AG174">
        <v>30</v>
      </c>
      <c r="AH174">
        <v>2016</v>
      </c>
      <c r="AI174">
        <v>1.6299999999999999E-2</v>
      </c>
      <c r="AJ174">
        <v>2.8799999999999999E-2</v>
      </c>
      <c r="AK174">
        <v>3.9899999999999998E-2</v>
      </c>
      <c r="AL174">
        <v>45.7</v>
      </c>
      <c r="AM174">
        <v>49</v>
      </c>
      <c r="AN174">
        <v>30</v>
      </c>
      <c r="AO174">
        <v>45.2</v>
      </c>
      <c r="AP174">
        <v>44.9</v>
      </c>
      <c r="AQ174">
        <v>44.7</v>
      </c>
    </row>
    <row r="175" spans="1:53" x14ac:dyDescent="0.25">
      <c r="A175">
        <v>35</v>
      </c>
      <c r="B175">
        <v>1266</v>
      </c>
      <c r="C175">
        <v>1.55E-2</v>
      </c>
      <c r="D175">
        <v>2.8899999999999999E-2</v>
      </c>
      <c r="E175">
        <v>4.0300000000000002E-2</v>
      </c>
      <c r="F175">
        <v>35.700000000000003</v>
      </c>
      <c r="G175">
        <v>37.1</v>
      </c>
      <c r="H175">
        <v>27.7</v>
      </c>
      <c r="I175">
        <v>35.299999999999997</v>
      </c>
      <c r="J175">
        <v>34.9</v>
      </c>
      <c r="K175">
        <v>35.6</v>
      </c>
      <c r="AG175">
        <v>35</v>
      </c>
      <c r="AH175">
        <v>2022</v>
      </c>
      <c r="AI175">
        <v>1.6400000000000001E-2</v>
      </c>
      <c r="AJ175">
        <v>2.9000000000000001E-2</v>
      </c>
      <c r="AK175">
        <v>0.04</v>
      </c>
      <c r="AL175">
        <v>47.2</v>
      </c>
      <c r="AM175">
        <v>50.4</v>
      </c>
      <c r="AN175">
        <v>29</v>
      </c>
      <c r="AO175">
        <v>46.9</v>
      </c>
      <c r="AP175">
        <v>46</v>
      </c>
      <c r="AQ175">
        <v>46.4</v>
      </c>
    </row>
    <row r="176" spans="1:53" x14ac:dyDescent="0.25">
      <c r="A176">
        <v>40</v>
      </c>
      <c r="B176">
        <v>1268</v>
      </c>
      <c r="C176">
        <v>1.5599999999999999E-2</v>
      </c>
      <c r="D176">
        <v>2.8899999999999999E-2</v>
      </c>
      <c r="E176">
        <v>4.0399999999999998E-2</v>
      </c>
      <c r="F176">
        <v>36.4</v>
      </c>
      <c r="G176">
        <v>38.1</v>
      </c>
      <c r="H176">
        <v>28.2</v>
      </c>
      <c r="I176">
        <v>36</v>
      </c>
      <c r="J176">
        <v>35.700000000000003</v>
      </c>
      <c r="K176">
        <v>36.4</v>
      </c>
      <c r="AG176">
        <v>40</v>
      </c>
      <c r="AH176">
        <v>2026</v>
      </c>
      <c r="AI176">
        <v>1.6500000000000001E-2</v>
      </c>
      <c r="AJ176">
        <v>2.8799999999999999E-2</v>
      </c>
      <c r="AK176">
        <v>3.9899999999999998E-2</v>
      </c>
      <c r="AL176">
        <v>48.4</v>
      </c>
      <c r="AM176">
        <v>51.3</v>
      </c>
      <c r="AN176">
        <v>28.9</v>
      </c>
      <c r="AO176">
        <v>48</v>
      </c>
      <c r="AP176">
        <v>47.1</v>
      </c>
      <c r="AQ176">
        <v>47.6</v>
      </c>
    </row>
    <row r="177" spans="1:43" x14ac:dyDescent="0.25">
      <c r="A177">
        <v>45</v>
      </c>
      <c r="B177">
        <v>1268</v>
      </c>
      <c r="C177">
        <v>1.5599999999999999E-2</v>
      </c>
      <c r="D177">
        <v>2.9000000000000001E-2</v>
      </c>
      <c r="E177">
        <v>4.0500000000000001E-2</v>
      </c>
      <c r="F177">
        <v>37.1</v>
      </c>
      <c r="G177">
        <v>38.700000000000003</v>
      </c>
      <c r="H177">
        <v>28.2</v>
      </c>
      <c r="I177">
        <v>36.5</v>
      </c>
      <c r="J177">
        <v>36.1</v>
      </c>
      <c r="K177">
        <v>36.9</v>
      </c>
      <c r="AG177">
        <v>45</v>
      </c>
      <c r="AH177">
        <v>2017</v>
      </c>
      <c r="AI177">
        <v>1.66E-2</v>
      </c>
      <c r="AJ177">
        <v>2.8899999999999999E-2</v>
      </c>
      <c r="AK177">
        <v>4.0099999999999997E-2</v>
      </c>
      <c r="AL177">
        <v>49.7</v>
      </c>
      <c r="AM177">
        <v>52.8</v>
      </c>
      <c r="AN177">
        <v>29.8</v>
      </c>
      <c r="AO177">
        <v>49.2</v>
      </c>
      <c r="AP177">
        <v>48.6</v>
      </c>
      <c r="AQ177">
        <v>49.1</v>
      </c>
    </row>
    <row r="178" spans="1:43" x14ac:dyDescent="0.25">
      <c r="A178">
        <v>50</v>
      </c>
      <c r="B178">
        <v>1260</v>
      </c>
      <c r="C178">
        <v>1.5599999999999999E-2</v>
      </c>
      <c r="D178">
        <v>2.9000000000000001E-2</v>
      </c>
      <c r="E178">
        <v>4.0500000000000001E-2</v>
      </c>
      <c r="F178">
        <v>37.200000000000003</v>
      </c>
      <c r="G178">
        <v>38.5</v>
      </c>
      <c r="H178">
        <v>27.4</v>
      </c>
      <c r="I178">
        <v>36.799999999999997</v>
      </c>
      <c r="J178">
        <v>36.200000000000003</v>
      </c>
      <c r="K178">
        <v>37.299999999999997</v>
      </c>
      <c r="AG178">
        <v>50</v>
      </c>
      <c r="AH178">
        <v>2012</v>
      </c>
      <c r="AI178">
        <v>1.66E-2</v>
      </c>
      <c r="AJ178">
        <v>2.8799999999999999E-2</v>
      </c>
      <c r="AK178">
        <v>0.04</v>
      </c>
      <c r="AL178">
        <v>50.9</v>
      </c>
      <c r="AM178">
        <v>54</v>
      </c>
      <c r="AN178">
        <v>29.8</v>
      </c>
      <c r="AO178">
        <v>50.4</v>
      </c>
      <c r="AP178">
        <v>49.7</v>
      </c>
      <c r="AQ178">
        <v>50.3</v>
      </c>
    </row>
    <row r="179" spans="1:43" x14ac:dyDescent="0.25">
      <c r="A179">
        <v>55</v>
      </c>
      <c r="B179">
        <v>1259</v>
      </c>
      <c r="C179">
        <v>1.5699999999999999E-2</v>
      </c>
      <c r="D179">
        <v>2.8899999999999999E-2</v>
      </c>
      <c r="E179">
        <v>4.0399999999999998E-2</v>
      </c>
      <c r="F179">
        <v>37.6</v>
      </c>
      <c r="G179">
        <v>39.1</v>
      </c>
      <c r="H179">
        <v>28</v>
      </c>
      <c r="I179">
        <v>37.200000000000003</v>
      </c>
      <c r="J179">
        <v>36.9</v>
      </c>
      <c r="K179">
        <v>37.700000000000003</v>
      </c>
      <c r="AG179">
        <v>55</v>
      </c>
      <c r="AH179">
        <v>2000</v>
      </c>
      <c r="AI179">
        <v>1.66E-2</v>
      </c>
      <c r="AJ179">
        <v>2.8799999999999999E-2</v>
      </c>
      <c r="AK179">
        <v>4.0099999999999997E-2</v>
      </c>
      <c r="AL179">
        <v>51.9</v>
      </c>
      <c r="AM179">
        <v>55</v>
      </c>
      <c r="AN179">
        <v>30</v>
      </c>
      <c r="AO179">
        <v>51.3</v>
      </c>
      <c r="AP179">
        <v>50.5</v>
      </c>
      <c r="AQ179">
        <v>51.3</v>
      </c>
    </row>
    <row r="180" spans="1:43" x14ac:dyDescent="0.25">
      <c r="A180">
        <v>60</v>
      </c>
      <c r="B180">
        <v>1263</v>
      </c>
      <c r="C180">
        <v>1.5699999999999999E-2</v>
      </c>
      <c r="D180">
        <v>2.8799999999999999E-2</v>
      </c>
      <c r="E180">
        <v>4.0399999999999998E-2</v>
      </c>
      <c r="F180">
        <v>38.200000000000003</v>
      </c>
      <c r="G180">
        <v>39.700000000000003</v>
      </c>
      <c r="H180">
        <v>28.4</v>
      </c>
      <c r="I180">
        <v>37.6</v>
      </c>
      <c r="J180">
        <v>37.299999999999997</v>
      </c>
      <c r="K180">
        <v>38.200000000000003</v>
      </c>
      <c r="AG180">
        <v>60</v>
      </c>
      <c r="AH180">
        <v>2002</v>
      </c>
      <c r="AI180">
        <v>1.67E-2</v>
      </c>
      <c r="AJ180">
        <v>2.8899999999999999E-2</v>
      </c>
      <c r="AK180">
        <v>4.0099999999999997E-2</v>
      </c>
      <c r="AL180">
        <v>52.7</v>
      </c>
      <c r="AM180">
        <v>55.8</v>
      </c>
      <c r="AN180">
        <v>30</v>
      </c>
      <c r="AO180">
        <v>52.2</v>
      </c>
      <c r="AP180">
        <v>51.2</v>
      </c>
      <c r="AQ180">
        <v>52.3</v>
      </c>
    </row>
    <row r="181" spans="1:43" x14ac:dyDescent="0.25">
      <c r="A181">
        <v>65</v>
      </c>
      <c r="B181">
        <v>1266</v>
      </c>
      <c r="C181">
        <v>1.5699999999999999E-2</v>
      </c>
      <c r="D181">
        <v>2.8799999999999999E-2</v>
      </c>
      <c r="E181">
        <v>4.0500000000000001E-2</v>
      </c>
      <c r="F181">
        <v>38.6</v>
      </c>
      <c r="G181">
        <v>40.299999999999997</v>
      </c>
      <c r="H181">
        <v>28.8</v>
      </c>
      <c r="I181">
        <v>38</v>
      </c>
      <c r="J181">
        <v>37.9</v>
      </c>
      <c r="K181">
        <v>38.700000000000003</v>
      </c>
      <c r="AG181">
        <v>65</v>
      </c>
      <c r="AH181">
        <v>2023</v>
      </c>
      <c r="AI181">
        <v>1.67E-2</v>
      </c>
      <c r="AJ181">
        <v>2.87E-2</v>
      </c>
      <c r="AK181">
        <v>0.04</v>
      </c>
      <c r="AL181">
        <v>53.4</v>
      </c>
      <c r="AM181">
        <v>56.5</v>
      </c>
      <c r="AN181">
        <v>30.2</v>
      </c>
      <c r="AO181">
        <v>52.9</v>
      </c>
      <c r="AP181">
        <v>51.9</v>
      </c>
      <c r="AQ181">
        <v>53.1</v>
      </c>
    </row>
    <row r="182" spans="1:43" x14ac:dyDescent="0.25">
      <c r="A182">
        <v>70</v>
      </c>
      <c r="B182">
        <v>1266</v>
      </c>
      <c r="C182">
        <v>1.5800000000000002E-2</v>
      </c>
      <c r="D182">
        <v>2.9100000000000001E-2</v>
      </c>
      <c r="E182">
        <v>4.0599999999999997E-2</v>
      </c>
      <c r="F182">
        <v>39.1</v>
      </c>
      <c r="G182">
        <v>40.6</v>
      </c>
      <c r="H182">
        <v>28.7</v>
      </c>
      <c r="I182">
        <v>38.4</v>
      </c>
      <c r="J182">
        <v>38.1</v>
      </c>
      <c r="K182">
        <v>39.1</v>
      </c>
      <c r="AG182">
        <v>70</v>
      </c>
      <c r="AH182">
        <v>2018</v>
      </c>
      <c r="AI182">
        <v>1.6799999999999999E-2</v>
      </c>
      <c r="AJ182">
        <v>2.8799999999999999E-2</v>
      </c>
      <c r="AK182">
        <v>4.02E-2</v>
      </c>
      <c r="AL182">
        <v>54.1</v>
      </c>
      <c r="AM182">
        <v>57.2</v>
      </c>
      <c r="AN182">
        <v>30.3</v>
      </c>
      <c r="AO182">
        <v>53.6</v>
      </c>
      <c r="AP182">
        <v>52.5</v>
      </c>
      <c r="AQ182">
        <v>53.9</v>
      </c>
    </row>
    <row r="183" spans="1:43" x14ac:dyDescent="0.25">
      <c r="A183">
        <v>75</v>
      </c>
      <c r="B183">
        <v>1263</v>
      </c>
      <c r="C183">
        <v>1.5699999999999999E-2</v>
      </c>
      <c r="D183">
        <v>2.9000000000000001E-2</v>
      </c>
      <c r="E183">
        <v>4.0500000000000001E-2</v>
      </c>
      <c r="F183">
        <v>39.1</v>
      </c>
      <c r="G183">
        <v>40.5</v>
      </c>
      <c r="H183">
        <v>28.1</v>
      </c>
      <c r="I183">
        <v>38.700000000000003</v>
      </c>
      <c r="J183">
        <v>38.1</v>
      </c>
      <c r="K183">
        <v>39.200000000000003</v>
      </c>
      <c r="AG183">
        <v>75</v>
      </c>
      <c r="AH183">
        <v>2007</v>
      </c>
      <c r="AI183">
        <v>1.6799999999999999E-2</v>
      </c>
      <c r="AJ183">
        <v>2.8899999999999999E-2</v>
      </c>
      <c r="AK183">
        <v>4.0099999999999997E-2</v>
      </c>
      <c r="AL183">
        <v>54.7</v>
      </c>
      <c r="AM183">
        <v>57.8</v>
      </c>
      <c r="AN183">
        <v>30.3</v>
      </c>
      <c r="AO183">
        <v>54.1</v>
      </c>
      <c r="AP183">
        <v>52.9</v>
      </c>
      <c r="AQ183">
        <v>54.4</v>
      </c>
    </row>
    <row r="184" spans="1:43" x14ac:dyDescent="0.25">
      <c r="A184">
        <v>80</v>
      </c>
      <c r="B184">
        <v>1266</v>
      </c>
      <c r="C184">
        <v>1.5800000000000002E-2</v>
      </c>
      <c r="D184">
        <v>2.8799999999999999E-2</v>
      </c>
      <c r="E184">
        <v>4.0500000000000001E-2</v>
      </c>
      <c r="F184">
        <v>39.5</v>
      </c>
      <c r="G184">
        <v>40.799999999999997</v>
      </c>
      <c r="H184">
        <v>28.3</v>
      </c>
      <c r="I184">
        <v>38.9</v>
      </c>
      <c r="J184">
        <v>38.299999999999997</v>
      </c>
      <c r="K184">
        <v>39.5</v>
      </c>
      <c r="AG184">
        <v>80</v>
      </c>
      <c r="AH184">
        <v>2000</v>
      </c>
      <c r="AI184">
        <v>1.6799999999999999E-2</v>
      </c>
      <c r="AJ184">
        <v>2.8899999999999999E-2</v>
      </c>
      <c r="AK184">
        <v>4.02E-2</v>
      </c>
      <c r="AL184">
        <v>55.2</v>
      </c>
      <c r="AM184">
        <v>58.3</v>
      </c>
      <c r="AN184">
        <v>30.2</v>
      </c>
      <c r="AO184">
        <v>54.6</v>
      </c>
      <c r="AP184">
        <v>53.4</v>
      </c>
      <c r="AQ184">
        <v>55</v>
      </c>
    </row>
    <row r="185" spans="1:43" x14ac:dyDescent="0.25">
      <c r="A185">
        <v>85</v>
      </c>
      <c r="B185">
        <v>1262</v>
      </c>
      <c r="C185">
        <v>1.5800000000000002E-2</v>
      </c>
      <c r="D185">
        <v>2.9000000000000001E-2</v>
      </c>
      <c r="E185">
        <v>4.0500000000000001E-2</v>
      </c>
      <c r="F185">
        <v>39.700000000000003</v>
      </c>
      <c r="G185">
        <v>41.1</v>
      </c>
      <c r="H185">
        <v>28.6</v>
      </c>
      <c r="I185">
        <v>39.200000000000003</v>
      </c>
      <c r="J185">
        <v>38.9</v>
      </c>
      <c r="K185">
        <v>39.9</v>
      </c>
      <c r="AG185">
        <v>85</v>
      </c>
      <c r="AH185">
        <v>2007</v>
      </c>
      <c r="AI185">
        <v>1.6899999999999998E-2</v>
      </c>
      <c r="AJ185">
        <v>2.8899999999999999E-2</v>
      </c>
      <c r="AK185">
        <v>4.0300000000000002E-2</v>
      </c>
      <c r="AL185">
        <v>55.6</v>
      </c>
      <c r="AM185">
        <v>58.7</v>
      </c>
      <c r="AN185">
        <v>30.4</v>
      </c>
      <c r="AO185">
        <v>55</v>
      </c>
      <c r="AP185">
        <v>53.8</v>
      </c>
      <c r="AQ185">
        <v>55.4</v>
      </c>
    </row>
    <row r="186" spans="1:43" x14ac:dyDescent="0.25">
      <c r="A186">
        <v>90</v>
      </c>
      <c r="B186">
        <v>1261</v>
      </c>
      <c r="C186">
        <v>1.5800000000000002E-2</v>
      </c>
      <c r="D186">
        <v>2.9000000000000001E-2</v>
      </c>
      <c r="E186">
        <v>4.0399999999999998E-2</v>
      </c>
      <c r="F186">
        <v>39.700000000000003</v>
      </c>
      <c r="G186">
        <v>41</v>
      </c>
      <c r="H186">
        <v>28</v>
      </c>
      <c r="I186">
        <v>39.200000000000003</v>
      </c>
      <c r="J186">
        <v>38.6</v>
      </c>
      <c r="K186">
        <v>39.9</v>
      </c>
      <c r="AG186">
        <v>90</v>
      </c>
      <c r="AH186">
        <v>2011</v>
      </c>
      <c r="AI186">
        <v>1.6899999999999998E-2</v>
      </c>
      <c r="AJ186">
        <v>2.8799999999999999E-2</v>
      </c>
      <c r="AK186">
        <v>4.02E-2</v>
      </c>
      <c r="AL186">
        <v>56.1</v>
      </c>
      <c r="AM186">
        <v>59.2</v>
      </c>
      <c r="AN186">
        <v>30.4</v>
      </c>
      <c r="AO186">
        <v>55.4</v>
      </c>
      <c r="AP186">
        <v>54.2</v>
      </c>
      <c r="AQ186">
        <v>55.9</v>
      </c>
    </row>
    <row r="187" spans="1:43" x14ac:dyDescent="0.25">
      <c r="A187">
        <v>95</v>
      </c>
      <c r="B187">
        <v>1259</v>
      </c>
      <c r="C187">
        <v>1.5800000000000002E-2</v>
      </c>
      <c r="D187">
        <v>2.8799999999999999E-2</v>
      </c>
      <c r="E187">
        <v>4.0399999999999998E-2</v>
      </c>
      <c r="F187">
        <v>39.700000000000003</v>
      </c>
      <c r="G187">
        <v>41.1</v>
      </c>
      <c r="H187">
        <v>28.3</v>
      </c>
      <c r="I187">
        <v>39.4</v>
      </c>
      <c r="J187">
        <v>38.9</v>
      </c>
      <c r="K187">
        <v>40.1</v>
      </c>
      <c r="AG187">
        <v>95</v>
      </c>
      <c r="AH187">
        <v>2011</v>
      </c>
      <c r="AI187">
        <v>1.6899999999999998E-2</v>
      </c>
      <c r="AJ187">
        <v>2.9000000000000001E-2</v>
      </c>
      <c r="AK187">
        <v>4.02E-2</v>
      </c>
      <c r="AL187">
        <v>56.4</v>
      </c>
      <c r="AM187">
        <v>59.5</v>
      </c>
      <c r="AN187">
        <v>30.5</v>
      </c>
      <c r="AO187">
        <v>55.9</v>
      </c>
      <c r="AP187">
        <v>54.6</v>
      </c>
      <c r="AQ187">
        <v>56.3</v>
      </c>
    </row>
    <row r="188" spans="1:43" x14ac:dyDescent="0.25">
      <c r="A188">
        <v>100</v>
      </c>
      <c r="B188">
        <v>1257</v>
      </c>
      <c r="C188">
        <v>1.5699999999999999E-2</v>
      </c>
      <c r="D188">
        <v>2.8799999999999999E-2</v>
      </c>
      <c r="E188">
        <v>4.0500000000000001E-2</v>
      </c>
      <c r="F188">
        <v>40</v>
      </c>
      <c r="G188">
        <v>41.5</v>
      </c>
      <c r="H188">
        <v>28.9</v>
      </c>
      <c r="I188">
        <v>39.5</v>
      </c>
      <c r="J188">
        <v>39.200000000000003</v>
      </c>
      <c r="K188">
        <v>40.4</v>
      </c>
      <c r="AG188">
        <v>100</v>
      </c>
      <c r="AH188">
        <v>2006</v>
      </c>
      <c r="AI188">
        <v>1.7000000000000001E-2</v>
      </c>
      <c r="AJ188">
        <v>2.8799999999999999E-2</v>
      </c>
      <c r="AK188">
        <v>4.0099999999999997E-2</v>
      </c>
      <c r="AL188">
        <v>56.8</v>
      </c>
      <c r="AM188">
        <v>59.7</v>
      </c>
      <c r="AN188">
        <v>30.1</v>
      </c>
      <c r="AO188">
        <v>56.1</v>
      </c>
      <c r="AP188">
        <v>54.7</v>
      </c>
      <c r="AQ188">
        <v>56.5</v>
      </c>
    </row>
    <row r="189" spans="1:43" x14ac:dyDescent="0.25">
      <c r="A189">
        <v>105</v>
      </c>
      <c r="B189">
        <v>1259</v>
      </c>
      <c r="C189">
        <v>1.5800000000000002E-2</v>
      </c>
      <c r="D189">
        <v>2.8899999999999999E-2</v>
      </c>
      <c r="E189">
        <v>4.0500000000000001E-2</v>
      </c>
      <c r="F189">
        <v>40.299999999999997</v>
      </c>
      <c r="G189">
        <v>41.8</v>
      </c>
      <c r="H189">
        <v>29.2</v>
      </c>
      <c r="I189">
        <v>39.799999999999997</v>
      </c>
      <c r="J189">
        <v>39.5</v>
      </c>
      <c r="K189">
        <v>40.6</v>
      </c>
      <c r="AG189">
        <v>105</v>
      </c>
      <c r="AH189">
        <v>2011</v>
      </c>
      <c r="AI189">
        <v>1.6899999999999998E-2</v>
      </c>
      <c r="AJ189">
        <v>2.8799999999999999E-2</v>
      </c>
      <c r="AK189">
        <v>4.02E-2</v>
      </c>
      <c r="AL189">
        <v>56.9</v>
      </c>
      <c r="AM189">
        <v>59.8</v>
      </c>
      <c r="AN189">
        <v>30.3</v>
      </c>
      <c r="AO189">
        <v>56.2</v>
      </c>
      <c r="AP189">
        <v>55</v>
      </c>
      <c r="AQ189">
        <v>56.8</v>
      </c>
    </row>
    <row r="190" spans="1:43" x14ac:dyDescent="0.25">
      <c r="A190">
        <v>110</v>
      </c>
      <c r="B190">
        <v>1261</v>
      </c>
      <c r="C190">
        <v>1.5900000000000001E-2</v>
      </c>
      <c r="D190">
        <v>2.9000000000000001E-2</v>
      </c>
      <c r="E190">
        <v>4.0599999999999997E-2</v>
      </c>
      <c r="F190">
        <v>40.6</v>
      </c>
      <c r="G190">
        <v>42</v>
      </c>
      <c r="H190">
        <v>29.4</v>
      </c>
      <c r="I190">
        <v>40.1</v>
      </c>
      <c r="J190">
        <v>39.700000000000003</v>
      </c>
      <c r="K190">
        <v>40.9</v>
      </c>
      <c r="AG190">
        <v>110</v>
      </c>
      <c r="AH190">
        <v>2011</v>
      </c>
      <c r="AI190">
        <v>1.7000000000000001E-2</v>
      </c>
      <c r="AJ190">
        <v>2.87E-2</v>
      </c>
      <c r="AK190">
        <v>4.02E-2</v>
      </c>
      <c r="AL190">
        <v>57.1</v>
      </c>
      <c r="AM190">
        <v>60.1</v>
      </c>
      <c r="AN190">
        <v>30.9</v>
      </c>
      <c r="AO190">
        <v>56.5</v>
      </c>
      <c r="AP190">
        <v>55.2</v>
      </c>
      <c r="AQ190">
        <v>57.1</v>
      </c>
    </row>
    <row r="191" spans="1:43" x14ac:dyDescent="0.25">
      <c r="A191">
        <v>115</v>
      </c>
      <c r="B191">
        <v>1255</v>
      </c>
      <c r="C191">
        <v>1.5800000000000002E-2</v>
      </c>
      <c r="D191">
        <v>2.9000000000000001E-2</v>
      </c>
      <c r="E191">
        <v>4.0599999999999997E-2</v>
      </c>
      <c r="F191">
        <v>40.799999999999997</v>
      </c>
      <c r="G191">
        <v>42.2</v>
      </c>
      <c r="H191">
        <v>29.3</v>
      </c>
      <c r="I191">
        <v>40.299999999999997</v>
      </c>
      <c r="J191">
        <v>39.700000000000003</v>
      </c>
      <c r="K191">
        <v>41.1</v>
      </c>
      <c r="AG191">
        <v>115</v>
      </c>
      <c r="AH191">
        <v>2009</v>
      </c>
      <c r="AI191">
        <v>1.7000000000000001E-2</v>
      </c>
      <c r="AJ191">
        <v>2.8799999999999999E-2</v>
      </c>
      <c r="AK191">
        <v>4.02E-2</v>
      </c>
      <c r="AL191">
        <v>57.3</v>
      </c>
      <c r="AM191">
        <v>60.2</v>
      </c>
      <c r="AN191">
        <v>30.5</v>
      </c>
      <c r="AO191">
        <v>56.7</v>
      </c>
      <c r="AP191">
        <v>55.4</v>
      </c>
      <c r="AQ191">
        <v>57.2</v>
      </c>
    </row>
    <row r="192" spans="1:43" x14ac:dyDescent="0.25">
      <c r="A192">
        <v>120</v>
      </c>
      <c r="B192">
        <v>1257</v>
      </c>
      <c r="C192">
        <v>1.5800000000000002E-2</v>
      </c>
      <c r="D192">
        <v>2.8899999999999999E-2</v>
      </c>
      <c r="E192">
        <v>4.0500000000000001E-2</v>
      </c>
      <c r="F192">
        <v>40.799999999999997</v>
      </c>
      <c r="G192">
        <v>42</v>
      </c>
      <c r="H192">
        <v>28.4</v>
      </c>
      <c r="I192">
        <v>40.299999999999997</v>
      </c>
      <c r="J192">
        <v>39.6</v>
      </c>
      <c r="K192">
        <v>41</v>
      </c>
      <c r="AG192">
        <v>120</v>
      </c>
      <c r="AH192">
        <v>2012</v>
      </c>
      <c r="AI192">
        <v>1.6899999999999998E-2</v>
      </c>
      <c r="AJ192">
        <v>2.9000000000000001E-2</v>
      </c>
      <c r="AK192">
        <v>4.0300000000000002E-2</v>
      </c>
      <c r="AL192">
        <v>57.3</v>
      </c>
      <c r="AM192">
        <v>60.1</v>
      </c>
      <c r="AN192">
        <v>29.8</v>
      </c>
      <c r="AO192">
        <v>56.7</v>
      </c>
      <c r="AP192">
        <v>55.3</v>
      </c>
      <c r="AQ192">
        <v>57.2</v>
      </c>
    </row>
    <row r="193" spans="1:44" x14ac:dyDescent="0.25">
      <c r="A193">
        <v>125</v>
      </c>
      <c r="B193">
        <v>1261</v>
      </c>
      <c r="C193">
        <v>1.5900000000000001E-2</v>
      </c>
      <c r="D193">
        <v>2.9000000000000001E-2</v>
      </c>
      <c r="E193">
        <v>4.0500000000000001E-2</v>
      </c>
      <c r="F193">
        <v>40.700000000000003</v>
      </c>
      <c r="G193">
        <v>42.1</v>
      </c>
      <c r="H193">
        <v>28.6</v>
      </c>
      <c r="I193">
        <v>40.299999999999997</v>
      </c>
      <c r="J193">
        <v>39.6</v>
      </c>
      <c r="K193">
        <v>41.1</v>
      </c>
      <c r="AG193">
        <v>125</v>
      </c>
      <c r="AH193">
        <v>2016</v>
      </c>
      <c r="AI193">
        <v>1.7000000000000001E-2</v>
      </c>
      <c r="AJ193">
        <v>2.8799999999999999E-2</v>
      </c>
      <c r="AK193">
        <v>4.02E-2</v>
      </c>
      <c r="AL193">
        <v>57.3</v>
      </c>
      <c r="AM193">
        <v>60.2</v>
      </c>
      <c r="AN193">
        <v>29.9</v>
      </c>
      <c r="AO193">
        <v>56.8</v>
      </c>
      <c r="AP193">
        <v>55.4</v>
      </c>
      <c r="AQ193">
        <v>57.2</v>
      </c>
    </row>
    <row r="194" spans="1:44" x14ac:dyDescent="0.25">
      <c r="A194">
        <v>130</v>
      </c>
      <c r="B194">
        <v>1263</v>
      </c>
      <c r="C194">
        <v>1.5900000000000001E-2</v>
      </c>
      <c r="D194">
        <v>2.8899999999999999E-2</v>
      </c>
      <c r="E194">
        <v>4.0599999999999997E-2</v>
      </c>
      <c r="F194">
        <v>40.700000000000003</v>
      </c>
      <c r="G194">
        <v>42.3</v>
      </c>
      <c r="H194">
        <v>28.9</v>
      </c>
      <c r="I194">
        <v>40.299999999999997</v>
      </c>
      <c r="J194">
        <v>39.700000000000003</v>
      </c>
      <c r="K194">
        <v>41.2</v>
      </c>
      <c r="AG194">
        <v>130</v>
      </c>
      <c r="AH194">
        <v>2012</v>
      </c>
      <c r="AI194">
        <v>1.6899999999999998E-2</v>
      </c>
      <c r="AJ194">
        <v>2.8799999999999999E-2</v>
      </c>
      <c r="AK194">
        <v>4.0099999999999997E-2</v>
      </c>
      <c r="AL194">
        <v>57.5</v>
      </c>
      <c r="AM194">
        <v>60.3</v>
      </c>
      <c r="AN194">
        <v>30.1</v>
      </c>
      <c r="AO194">
        <v>56.8</v>
      </c>
      <c r="AP194">
        <v>55.5</v>
      </c>
      <c r="AQ194">
        <v>57.4</v>
      </c>
    </row>
    <row r="195" spans="1:44" x14ac:dyDescent="0.25">
      <c r="A195">
        <v>135</v>
      </c>
      <c r="B195">
        <v>1265</v>
      </c>
      <c r="C195">
        <v>1.5900000000000001E-2</v>
      </c>
      <c r="D195">
        <v>2.8899999999999999E-2</v>
      </c>
      <c r="E195">
        <v>4.0500000000000001E-2</v>
      </c>
      <c r="F195">
        <v>40.9</v>
      </c>
      <c r="G195">
        <v>42.4</v>
      </c>
      <c r="H195">
        <v>29</v>
      </c>
      <c r="I195">
        <v>40.4</v>
      </c>
      <c r="J195">
        <v>39.9</v>
      </c>
      <c r="K195">
        <v>41.4</v>
      </c>
      <c r="AG195">
        <v>135</v>
      </c>
      <c r="AH195">
        <v>2001</v>
      </c>
      <c r="AI195">
        <v>1.7000000000000001E-2</v>
      </c>
      <c r="AJ195">
        <v>2.8899999999999999E-2</v>
      </c>
      <c r="AK195">
        <v>4.0099999999999997E-2</v>
      </c>
      <c r="AL195">
        <v>57.6</v>
      </c>
      <c r="AM195">
        <v>60.4</v>
      </c>
      <c r="AN195">
        <v>30.4</v>
      </c>
      <c r="AO195">
        <v>56.9</v>
      </c>
      <c r="AP195">
        <v>55.6</v>
      </c>
      <c r="AQ195">
        <v>57.5</v>
      </c>
    </row>
    <row r="196" spans="1:44" x14ac:dyDescent="0.25">
      <c r="A196" s="12">
        <v>140</v>
      </c>
      <c r="B196" s="12">
        <v>1262</v>
      </c>
      <c r="C196" s="12">
        <v>1.5900000000000001E-2</v>
      </c>
      <c r="D196" s="12">
        <v>2.9100000000000001E-2</v>
      </c>
      <c r="E196" s="12">
        <v>4.0500000000000001E-2</v>
      </c>
      <c r="F196" s="12">
        <v>41.1</v>
      </c>
      <c r="G196" s="12">
        <v>42.5</v>
      </c>
      <c r="H196" s="12">
        <v>29.1</v>
      </c>
      <c r="I196" s="12">
        <v>40.6</v>
      </c>
      <c r="J196" s="12">
        <v>40</v>
      </c>
      <c r="K196" s="12">
        <v>41.5</v>
      </c>
      <c r="L196" s="14">
        <v>13.4</v>
      </c>
      <c r="AG196" s="12">
        <v>140</v>
      </c>
      <c r="AH196" s="12">
        <v>2007</v>
      </c>
      <c r="AI196" s="12">
        <v>1.7000000000000001E-2</v>
      </c>
      <c r="AJ196" s="12">
        <v>2.8899999999999999E-2</v>
      </c>
      <c r="AK196" s="12">
        <v>4.02E-2</v>
      </c>
      <c r="AL196" s="12">
        <v>57.6</v>
      </c>
      <c r="AM196" s="12">
        <v>60.5</v>
      </c>
      <c r="AN196" s="12">
        <v>30.5</v>
      </c>
      <c r="AO196" s="12">
        <v>57</v>
      </c>
      <c r="AP196" s="12">
        <v>55.7</v>
      </c>
      <c r="AQ196" s="12">
        <v>57.6</v>
      </c>
      <c r="AR196" s="14">
        <v>30</v>
      </c>
    </row>
    <row r="197" spans="1:44" x14ac:dyDescent="0.25">
      <c r="A197">
        <v>145</v>
      </c>
      <c r="B197">
        <v>1620</v>
      </c>
      <c r="C197">
        <v>1.5900000000000001E-2</v>
      </c>
      <c r="D197">
        <v>2.9100000000000001E-2</v>
      </c>
      <c r="E197">
        <v>4.0300000000000002E-2</v>
      </c>
      <c r="F197">
        <v>41.3</v>
      </c>
      <c r="G197">
        <v>42.8</v>
      </c>
      <c r="H197">
        <v>29.4</v>
      </c>
      <c r="I197">
        <v>40.700000000000003</v>
      </c>
      <c r="J197">
        <v>40.1</v>
      </c>
      <c r="K197">
        <v>41.7</v>
      </c>
      <c r="AG197">
        <v>145</v>
      </c>
      <c r="AH197">
        <v>2512</v>
      </c>
      <c r="AI197">
        <v>1.7000000000000001E-2</v>
      </c>
      <c r="AJ197">
        <v>2.8899999999999999E-2</v>
      </c>
      <c r="AK197">
        <v>0.04</v>
      </c>
      <c r="AL197">
        <v>57.9</v>
      </c>
      <c r="AM197">
        <v>60.9</v>
      </c>
      <c r="AN197">
        <v>30.6</v>
      </c>
      <c r="AO197">
        <v>57.3</v>
      </c>
      <c r="AP197">
        <v>55.8</v>
      </c>
      <c r="AQ197">
        <v>57.8</v>
      </c>
    </row>
    <row r="198" spans="1:44" x14ac:dyDescent="0.25">
      <c r="A198">
        <v>150</v>
      </c>
      <c r="B198">
        <v>1619</v>
      </c>
      <c r="C198">
        <v>1.6E-2</v>
      </c>
      <c r="D198">
        <v>2.8400000000000002E-2</v>
      </c>
      <c r="E198">
        <v>3.9899999999999998E-2</v>
      </c>
      <c r="F198">
        <v>42.3</v>
      </c>
      <c r="G198">
        <v>44.1</v>
      </c>
      <c r="H198">
        <v>28.6</v>
      </c>
      <c r="I198">
        <v>41.8</v>
      </c>
      <c r="J198">
        <v>40.9</v>
      </c>
      <c r="K198">
        <v>42.4</v>
      </c>
      <c r="AG198">
        <v>150</v>
      </c>
      <c r="AH198">
        <v>2516</v>
      </c>
      <c r="AI198">
        <v>1.72E-2</v>
      </c>
      <c r="AJ198">
        <v>2.9000000000000001E-2</v>
      </c>
      <c r="AK198">
        <v>4.0099999999999997E-2</v>
      </c>
      <c r="AL198">
        <v>60.5</v>
      </c>
      <c r="AM198">
        <v>64.900000000000006</v>
      </c>
      <c r="AN198">
        <v>30.7</v>
      </c>
      <c r="AO198">
        <v>60</v>
      </c>
      <c r="AP198">
        <v>58.2</v>
      </c>
      <c r="AQ198">
        <v>60</v>
      </c>
    </row>
    <row r="199" spans="1:44" x14ac:dyDescent="0.25">
      <c r="A199">
        <v>155</v>
      </c>
      <c r="B199">
        <v>1617</v>
      </c>
      <c r="C199">
        <v>1.61E-2</v>
      </c>
      <c r="D199">
        <v>2.8400000000000002E-2</v>
      </c>
      <c r="E199">
        <v>3.9800000000000002E-2</v>
      </c>
      <c r="F199">
        <v>43.1</v>
      </c>
      <c r="G199">
        <v>45.2</v>
      </c>
      <c r="H199">
        <v>29.3</v>
      </c>
      <c r="I199">
        <v>42.7</v>
      </c>
      <c r="J199">
        <v>41.9</v>
      </c>
      <c r="K199">
        <v>43.3</v>
      </c>
      <c r="AG199">
        <v>155</v>
      </c>
      <c r="AH199">
        <v>2514</v>
      </c>
      <c r="AI199">
        <v>1.7299999999999999E-2</v>
      </c>
      <c r="AJ199">
        <v>2.9100000000000001E-2</v>
      </c>
      <c r="AK199">
        <v>4.0099999999999997E-2</v>
      </c>
      <c r="AL199">
        <v>62.5</v>
      </c>
      <c r="AM199">
        <v>66.900000000000006</v>
      </c>
      <c r="AN199">
        <v>30.8</v>
      </c>
      <c r="AO199">
        <v>62</v>
      </c>
      <c r="AP199">
        <v>60.2</v>
      </c>
      <c r="AQ199">
        <v>61.8</v>
      </c>
    </row>
    <row r="200" spans="1:44" x14ac:dyDescent="0.25">
      <c r="A200">
        <v>160</v>
      </c>
      <c r="B200">
        <v>1623</v>
      </c>
      <c r="C200">
        <v>1.61E-2</v>
      </c>
      <c r="D200">
        <v>2.8400000000000002E-2</v>
      </c>
      <c r="E200">
        <v>3.9899999999999998E-2</v>
      </c>
      <c r="F200">
        <v>43.9</v>
      </c>
      <c r="G200">
        <v>46</v>
      </c>
      <c r="H200">
        <v>29.8</v>
      </c>
      <c r="I200">
        <v>43.5</v>
      </c>
      <c r="J200">
        <v>42.7</v>
      </c>
      <c r="K200">
        <v>44.1</v>
      </c>
      <c r="AG200">
        <v>160</v>
      </c>
      <c r="AH200">
        <v>2502</v>
      </c>
      <c r="AI200">
        <v>1.7399999999999999E-2</v>
      </c>
      <c r="AJ200">
        <v>2.9100000000000001E-2</v>
      </c>
      <c r="AK200">
        <v>4.02E-2</v>
      </c>
      <c r="AL200">
        <v>64.2</v>
      </c>
      <c r="AM200">
        <v>68.599999999999994</v>
      </c>
      <c r="AN200">
        <v>30.7</v>
      </c>
      <c r="AO200">
        <v>63.7</v>
      </c>
      <c r="AP200">
        <v>61.7</v>
      </c>
      <c r="AQ200">
        <v>63.3</v>
      </c>
    </row>
    <row r="201" spans="1:44" x14ac:dyDescent="0.25">
      <c r="A201">
        <v>165</v>
      </c>
      <c r="B201">
        <v>1619</v>
      </c>
      <c r="C201">
        <v>1.6199999999999999E-2</v>
      </c>
      <c r="D201">
        <v>2.8500000000000001E-2</v>
      </c>
      <c r="E201">
        <v>3.9899999999999998E-2</v>
      </c>
      <c r="F201">
        <v>44.5</v>
      </c>
      <c r="G201">
        <v>46.6</v>
      </c>
      <c r="H201">
        <v>29.7</v>
      </c>
      <c r="I201">
        <v>44.1</v>
      </c>
      <c r="J201">
        <v>43.3</v>
      </c>
      <c r="K201">
        <v>44.7</v>
      </c>
      <c r="AG201">
        <v>165</v>
      </c>
      <c r="AH201">
        <v>2496</v>
      </c>
      <c r="AI201">
        <v>1.7399999999999999E-2</v>
      </c>
      <c r="AJ201">
        <v>2.9000000000000001E-2</v>
      </c>
      <c r="AK201">
        <v>4.02E-2</v>
      </c>
      <c r="AL201">
        <v>65.3</v>
      </c>
      <c r="AM201">
        <v>69.7</v>
      </c>
      <c r="AN201">
        <v>30.7</v>
      </c>
      <c r="AO201">
        <v>64.8</v>
      </c>
      <c r="AP201">
        <v>62.8</v>
      </c>
      <c r="AQ201">
        <v>64.5</v>
      </c>
    </row>
    <row r="202" spans="1:44" x14ac:dyDescent="0.25">
      <c r="A202">
        <v>170</v>
      </c>
      <c r="B202">
        <v>1614</v>
      </c>
      <c r="C202">
        <v>1.6299999999999999E-2</v>
      </c>
      <c r="D202">
        <v>2.86E-2</v>
      </c>
      <c r="E202">
        <v>4.0099999999999997E-2</v>
      </c>
      <c r="F202">
        <v>45.1</v>
      </c>
      <c r="G202">
        <v>47.2</v>
      </c>
      <c r="H202">
        <v>30</v>
      </c>
      <c r="I202">
        <v>44.6</v>
      </c>
      <c r="J202">
        <v>43.8</v>
      </c>
      <c r="K202">
        <v>45.2</v>
      </c>
      <c r="AG202">
        <v>170</v>
      </c>
      <c r="AH202">
        <v>2503</v>
      </c>
      <c r="AI202">
        <v>1.7600000000000001E-2</v>
      </c>
      <c r="AJ202">
        <v>2.9100000000000001E-2</v>
      </c>
      <c r="AK202">
        <v>4.0300000000000002E-2</v>
      </c>
      <c r="AL202">
        <v>66.3</v>
      </c>
      <c r="AM202">
        <v>70.7</v>
      </c>
      <c r="AN202">
        <v>30.7</v>
      </c>
      <c r="AO202">
        <v>65.8</v>
      </c>
      <c r="AP202">
        <v>63.8</v>
      </c>
      <c r="AQ202">
        <v>65.5</v>
      </c>
    </row>
    <row r="203" spans="1:44" x14ac:dyDescent="0.25">
      <c r="A203">
        <v>175</v>
      </c>
      <c r="B203">
        <v>1619</v>
      </c>
      <c r="C203">
        <v>1.6199999999999999E-2</v>
      </c>
      <c r="D203">
        <v>2.8500000000000001E-2</v>
      </c>
      <c r="E203">
        <v>0.04</v>
      </c>
      <c r="F203">
        <v>45.3</v>
      </c>
      <c r="G203">
        <v>47.2</v>
      </c>
      <c r="H203">
        <v>28.9</v>
      </c>
      <c r="I203">
        <v>44.9</v>
      </c>
      <c r="J203">
        <v>43.9</v>
      </c>
      <c r="K203">
        <v>45.5</v>
      </c>
      <c r="AG203">
        <v>175</v>
      </c>
      <c r="AH203">
        <v>2510</v>
      </c>
      <c r="AI203">
        <v>1.7600000000000001E-2</v>
      </c>
      <c r="AJ203">
        <v>2.9000000000000001E-2</v>
      </c>
      <c r="AK203">
        <v>4.0300000000000002E-2</v>
      </c>
      <c r="AL203">
        <v>67.2</v>
      </c>
      <c r="AM203">
        <v>71.599999999999994</v>
      </c>
      <c r="AN203">
        <v>30.7</v>
      </c>
      <c r="AO203">
        <v>66.599999999999994</v>
      </c>
      <c r="AP203">
        <v>64.599999999999994</v>
      </c>
      <c r="AQ203">
        <v>66.3</v>
      </c>
    </row>
    <row r="204" spans="1:44" x14ac:dyDescent="0.25">
      <c r="A204">
        <v>180</v>
      </c>
      <c r="B204">
        <v>1619</v>
      </c>
      <c r="C204">
        <v>1.6199999999999999E-2</v>
      </c>
      <c r="D204">
        <v>2.8500000000000001E-2</v>
      </c>
      <c r="E204">
        <v>0.04</v>
      </c>
      <c r="F204">
        <v>45.5</v>
      </c>
      <c r="G204">
        <v>47.4</v>
      </c>
      <c r="H204">
        <v>28.9</v>
      </c>
      <c r="I204">
        <v>45.1</v>
      </c>
      <c r="J204">
        <v>44.1</v>
      </c>
      <c r="K204">
        <v>45.7</v>
      </c>
      <c r="AG204">
        <v>180</v>
      </c>
      <c r="AH204">
        <v>2493</v>
      </c>
      <c r="AI204">
        <v>1.7600000000000001E-2</v>
      </c>
      <c r="AJ204">
        <v>2.9100000000000001E-2</v>
      </c>
      <c r="AK204">
        <v>4.0300000000000002E-2</v>
      </c>
      <c r="AL204">
        <v>67.900000000000006</v>
      </c>
      <c r="AM204">
        <v>72.2</v>
      </c>
      <c r="AN204">
        <v>30.6</v>
      </c>
      <c r="AO204">
        <v>67.3</v>
      </c>
      <c r="AP204">
        <v>65.3</v>
      </c>
      <c r="AQ204">
        <v>67.099999999999994</v>
      </c>
    </row>
    <row r="205" spans="1:44" x14ac:dyDescent="0.25">
      <c r="A205">
        <v>185</v>
      </c>
      <c r="B205">
        <v>1617</v>
      </c>
      <c r="C205">
        <v>1.6299999999999999E-2</v>
      </c>
      <c r="D205">
        <v>2.8500000000000001E-2</v>
      </c>
      <c r="E205">
        <v>3.9899999999999998E-2</v>
      </c>
      <c r="F205">
        <v>45.9</v>
      </c>
      <c r="G205">
        <v>47.9</v>
      </c>
      <c r="H205">
        <v>29.7</v>
      </c>
      <c r="I205">
        <v>45.4</v>
      </c>
      <c r="J205">
        <v>44.5</v>
      </c>
      <c r="K205">
        <v>46.2</v>
      </c>
      <c r="AG205">
        <v>185</v>
      </c>
      <c r="AH205">
        <v>2493</v>
      </c>
      <c r="AI205">
        <v>1.7600000000000001E-2</v>
      </c>
      <c r="AJ205">
        <v>2.8899999999999999E-2</v>
      </c>
      <c r="AK205">
        <v>4.02E-2</v>
      </c>
      <c r="AL205">
        <v>68.400000000000006</v>
      </c>
      <c r="AM205">
        <v>72.8</v>
      </c>
      <c r="AN205">
        <v>30.8</v>
      </c>
      <c r="AO205">
        <v>67.8</v>
      </c>
      <c r="AP205">
        <v>65.8</v>
      </c>
      <c r="AQ205">
        <v>67.599999999999994</v>
      </c>
    </row>
    <row r="206" spans="1:44" x14ac:dyDescent="0.25">
      <c r="A206">
        <v>190</v>
      </c>
      <c r="B206">
        <v>1622</v>
      </c>
      <c r="C206">
        <v>1.6299999999999999E-2</v>
      </c>
      <c r="D206">
        <v>2.86E-2</v>
      </c>
      <c r="E206">
        <v>0.04</v>
      </c>
      <c r="F206">
        <v>46.1</v>
      </c>
      <c r="G206">
        <v>47.9</v>
      </c>
      <c r="H206">
        <v>28.9</v>
      </c>
      <c r="I206">
        <v>45.7</v>
      </c>
      <c r="J206">
        <v>44.6</v>
      </c>
      <c r="K206">
        <v>46.3</v>
      </c>
      <c r="AG206">
        <v>190</v>
      </c>
      <c r="AH206">
        <v>2505</v>
      </c>
      <c r="AI206">
        <v>1.7600000000000001E-2</v>
      </c>
      <c r="AJ206">
        <v>2.8799999999999999E-2</v>
      </c>
      <c r="AK206">
        <v>4.0099999999999997E-2</v>
      </c>
      <c r="AL206">
        <v>68.900000000000006</v>
      </c>
      <c r="AM206">
        <v>73.2</v>
      </c>
      <c r="AN206">
        <v>30.8</v>
      </c>
      <c r="AO206">
        <v>68.3</v>
      </c>
      <c r="AP206">
        <v>66.2</v>
      </c>
      <c r="AQ206">
        <v>68.2</v>
      </c>
    </row>
    <row r="207" spans="1:44" x14ac:dyDescent="0.25">
      <c r="A207">
        <v>195</v>
      </c>
      <c r="B207">
        <v>1621</v>
      </c>
      <c r="C207">
        <v>1.6299999999999999E-2</v>
      </c>
      <c r="D207">
        <v>2.86E-2</v>
      </c>
      <c r="E207">
        <v>3.9899999999999998E-2</v>
      </c>
      <c r="F207">
        <v>46.2</v>
      </c>
      <c r="G207">
        <v>48.2</v>
      </c>
      <c r="H207">
        <v>29.3</v>
      </c>
      <c r="I207">
        <v>45.8</v>
      </c>
      <c r="J207">
        <v>44.8</v>
      </c>
      <c r="K207">
        <v>46.5</v>
      </c>
      <c r="AG207">
        <v>195</v>
      </c>
      <c r="AH207">
        <v>2500</v>
      </c>
      <c r="AI207">
        <v>1.77E-2</v>
      </c>
      <c r="AJ207">
        <v>2.9000000000000001E-2</v>
      </c>
      <c r="AK207">
        <v>4.0300000000000002E-2</v>
      </c>
      <c r="AL207">
        <v>69.3</v>
      </c>
      <c r="AM207">
        <v>73.599999999999994</v>
      </c>
      <c r="AN207">
        <v>30.8</v>
      </c>
      <c r="AO207">
        <v>68.7</v>
      </c>
      <c r="AP207">
        <v>66.599999999999994</v>
      </c>
      <c r="AQ207">
        <v>68.599999999999994</v>
      </c>
    </row>
    <row r="208" spans="1:44" x14ac:dyDescent="0.25">
      <c r="A208">
        <v>200</v>
      </c>
      <c r="B208">
        <v>1622</v>
      </c>
      <c r="C208">
        <v>1.6299999999999999E-2</v>
      </c>
      <c r="D208">
        <v>2.86E-2</v>
      </c>
      <c r="E208">
        <v>0.04</v>
      </c>
      <c r="F208">
        <v>46.5</v>
      </c>
      <c r="G208">
        <v>48.4</v>
      </c>
      <c r="H208">
        <v>29.6</v>
      </c>
      <c r="I208">
        <v>46</v>
      </c>
      <c r="J208">
        <v>45</v>
      </c>
      <c r="K208">
        <v>46.8</v>
      </c>
      <c r="AG208">
        <v>200</v>
      </c>
      <c r="AH208">
        <v>2493</v>
      </c>
      <c r="AI208">
        <v>1.78E-2</v>
      </c>
      <c r="AJ208">
        <v>2.9000000000000001E-2</v>
      </c>
      <c r="AK208">
        <v>4.0399999999999998E-2</v>
      </c>
      <c r="AL208">
        <v>69.599999999999994</v>
      </c>
      <c r="AM208">
        <v>73.900000000000006</v>
      </c>
      <c r="AN208">
        <v>30.7</v>
      </c>
      <c r="AO208">
        <v>69.099999999999994</v>
      </c>
      <c r="AP208">
        <v>66.900000000000006</v>
      </c>
      <c r="AQ208">
        <v>68.900000000000006</v>
      </c>
    </row>
    <row r="209" spans="1:43" x14ac:dyDescent="0.25">
      <c r="A209">
        <v>205</v>
      </c>
      <c r="B209">
        <v>1611</v>
      </c>
      <c r="C209">
        <v>1.6299999999999999E-2</v>
      </c>
      <c r="D209">
        <v>2.8500000000000001E-2</v>
      </c>
      <c r="E209">
        <v>0.04</v>
      </c>
      <c r="F209">
        <v>46.6</v>
      </c>
      <c r="G209">
        <v>48.5</v>
      </c>
      <c r="H209">
        <v>29.5</v>
      </c>
      <c r="I209">
        <v>46.2</v>
      </c>
      <c r="J209">
        <v>45.2</v>
      </c>
      <c r="K209">
        <v>46.9</v>
      </c>
      <c r="AG209">
        <v>205</v>
      </c>
      <c r="AH209">
        <v>2491</v>
      </c>
      <c r="AI209">
        <v>1.78E-2</v>
      </c>
      <c r="AJ209">
        <v>2.9100000000000001E-2</v>
      </c>
      <c r="AK209">
        <v>4.0300000000000002E-2</v>
      </c>
      <c r="AL209">
        <v>69.900000000000006</v>
      </c>
      <c r="AM209">
        <v>74.2</v>
      </c>
      <c r="AN209">
        <v>30.8</v>
      </c>
      <c r="AO209">
        <v>69.3</v>
      </c>
      <c r="AP209">
        <v>67.2</v>
      </c>
      <c r="AQ209">
        <v>69.2</v>
      </c>
    </row>
    <row r="210" spans="1:43" x14ac:dyDescent="0.25">
      <c r="A210">
        <v>210</v>
      </c>
      <c r="B210">
        <v>1611</v>
      </c>
      <c r="C210">
        <v>1.6299999999999999E-2</v>
      </c>
      <c r="D210">
        <v>2.8500000000000001E-2</v>
      </c>
      <c r="E210">
        <v>4.0099999999999997E-2</v>
      </c>
      <c r="F210">
        <v>46.6</v>
      </c>
      <c r="G210">
        <v>48.5</v>
      </c>
      <c r="H210">
        <v>28.8</v>
      </c>
      <c r="I210">
        <v>46.3</v>
      </c>
      <c r="J210">
        <v>45.1</v>
      </c>
      <c r="K210">
        <v>46.9</v>
      </c>
      <c r="AG210">
        <v>210</v>
      </c>
      <c r="AH210">
        <v>2474</v>
      </c>
      <c r="AI210">
        <v>1.78E-2</v>
      </c>
      <c r="AJ210">
        <v>2.9100000000000001E-2</v>
      </c>
      <c r="AK210">
        <v>4.0399999999999998E-2</v>
      </c>
      <c r="AL210">
        <v>70</v>
      </c>
      <c r="AM210">
        <v>74.2</v>
      </c>
      <c r="AN210">
        <v>30.4</v>
      </c>
      <c r="AO210">
        <v>69.400000000000006</v>
      </c>
      <c r="AP210">
        <v>67.400000000000006</v>
      </c>
      <c r="AQ210">
        <v>69.3</v>
      </c>
    </row>
    <row r="211" spans="1:43" x14ac:dyDescent="0.25">
      <c r="A211">
        <v>215</v>
      </c>
      <c r="B211">
        <v>1615</v>
      </c>
      <c r="C211">
        <v>1.6299999999999999E-2</v>
      </c>
      <c r="D211">
        <v>2.8500000000000001E-2</v>
      </c>
      <c r="E211">
        <v>0.04</v>
      </c>
      <c r="F211">
        <v>46.7</v>
      </c>
      <c r="G211">
        <v>48.7</v>
      </c>
      <c r="H211">
        <v>29.2</v>
      </c>
      <c r="I211">
        <v>46.3</v>
      </c>
      <c r="J211">
        <v>45.2</v>
      </c>
      <c r="K211">
        <v>47.1</v>
      </c>
      <c r="AG211">
        <v>215</v>
      </c>
      <c r="AH211">
        <v>2500</v>
      </c>
      <c r="AI211">
        <v>1.78E-2</v>
      </c>
      <c r="AJ211">
        <v>2.9100000000000001E-2</v>
      </c>
      <c r="AK211">
        <v>4.0399999999999998E-2</v>
      </c>
      <c r="AL211">
        <v>70.3</v>
      </c>
      <c r="AM211">
        <v>74.599999999999994</v>
      </c>
      <c r="AN211">
        <v>30.6</v>
      </c>
      <c r="AO211">
        <v>69.7</v>
      </c>
      <c r="AP211">
        <v>67.599999999999994</v>
      </c>
      <c r="AQ211">
        <v>69.599999999999994</v>
      </c>
    </row>
    <row r="212" spans="1:43" x14ac:dyDescent="0.25">
      <c r="A212">
        <v>220</v>
      </c>
      <c r="B212">
        <v>1623</v>
      </c>
      <c r="C212">
        <v>1.6199999999999999E-2</v>
      </c>
      <c r="D212">
        <v>2.8500000000000001E-2</v>
      </c>
      <c r="E212">
        <v>0.04</v>
      </c>
      <c r="F212">
        <v>46.9</v>
      </c>
      <c r="G212">
        <v>48.8</v>
      </c>
      <c r="H212">
        <v>29.6</v>
      </c>
      <c r="I212">
        <v>46.4</v>
      </c>
      <c r="J212">
        <v>45.3</v>
      </c>
      <c r="K212">
        <v>47.2</v>
      </c>
      <c r="AG212">
        <v>220</v>
      </c>
      <c r="AH212">
        <v>2517</v>
      </c>
      <c r="AI212">
        <v>1.78E-2</v>
      </c>
      <c r="AJ212">
        <v>2.9100000000000001E-2</v>
      </c>
      <c r="AK212">
        <v>4.0300000000000002E-2</v>
      </c>
      <c r="AL212">
        <v>70.599999999999994</v>
      </c>
      <c r="AM212">
        <v>74.900000000000006</v>
      </c>
      <c r="AN212">
        <v>30.7</v>
      </c>
      <c r="AO212">
        <v>69.900000000000006</v>
      </c>
      <c r="AP212">
        <v>67.8</v>
      </c>
      <c r="AQ212">
        <v>70</v>
      </c>
    </row>
    <row r="213" spans="1:43" x14ac:dyDescent="0.25">
      <c r="A213">
        <v>225</v>
      </c>
      <c r="B213">
        <v>1613</v>
      </c>
      <c r="C213">
        <v>1.6299999999999999E-2</v>
      </c>
      <c r="D213">
        <v>2.86E-2</v>
      </c>
      <c r="E213">
        <v>4.0099999999999997E-2</v>
      </c>
      <c r="F213">
        <v>47.1</v>
      </c>
      <c r="G213">
        <v>49.1</v>
      </c>
      <c r="H213">
        <v>29.8</v>
      </c>
      <c r="I213">
        <v>46.6</v>
      </c>
      <c r="J213">
        <v>45.5</v>
      </c>
      <c r="K213">
        <v>47.5</v>
      </c>
      <c r="AG213">
        <v>225</v>
      </c>
      <c r="AH213">
        <v>2504</v>
      </c>
      <c r="AI213">
        <v>1.7899999999999999E-2</v>
      </c>
      <c r="AJ213">
        <v>2.93E-2</v>
      </c>
      <c r="AK213">
        <v>4.0599999999999997E-2</v>
      </c>
      <c r="AL213">
        <v>70.900000000000006</v>
      </c>
      <c r="AM213">
        <v>75.2</v>
      </c>
      <c r="AN213">
        <v>30.7</v>
      </c>
      <c r="AO213">
        <v>70.3</v>
      </c>
      <c r="AP213">
        <v>68.099999999999994</v>
      </c>
      <c r="AQ213">
        <v>70.2</v>
      </c>
    </row>
    <row r="214" spans="1:43" x14ac:dyDescent="0.25">
      <c r="A214">
        <v>230</v>
      </c>
      <c r="B214">
        <v>1615</v>
      </c>
      <c r="C214">
        <v>1.6299999999999999E-2</v>
      </c>
      <c r="D214">
        <v>2.8500000000000001E-2</v>
      </c>
      <c r="E214">
        <v>0.04</v>
      </c>
      <c r="F214">
        <v>47.1</v>
      </c>
      <c r="G214">
        <v>49</v>
      </c>
      <c r="H214">
        <v>29.4</v>
      </c>
      <c r="I214">
        <v>46.7</v>
      </c>
      <c r="J214">
        <v>45.6</v>
      </c>
      <c r="K214">
        <v>47.5</v>
      </c>
      <c r="AG214">
        <v>230</v>
      </c>
      <c r="AH214">
        <v>2515</v>
      </c>
      <c r="AI214">
        <v>1.7899999999999999E-2</v>
      </c>
      <c r="AJ214">
        <v>2.9399999999999999E-2</v>
      </c>
      <c r="AK214">
        <v>4.0599999999999997E-2</v>
      </c>
      <c r="AL214">
        <v>71.099999999999994</v>
      </c>
      <c r="AM214">
        <v>75.400000000000006</v>
      </c>
      <c r="AN214">
        <v>30.6</v>
      </c>
      <c r="AO214">
        <v>70.5</v>
      </c>
      <c r="AP214">
        <v>68.3</v>
      </c>
      <c r="AQ214">
        <v>70.400000000000006</v>
      </c>
    </row>
    <row r="215" spans="1:43" x14ac:dyDescent="0.25">
      <c r="A215">
        <v>235</v>
      </c>
      <c r="B215">
        <v>1618</v>
      </c>
      <c r="C215">
        <v>1.6299999999999999E-2</v>
      </c>
      <c r="D215">
        <v>2.8400000000000002E-2</v>
      </c>
      <c r="E215">
        <v>0.04</v>
      </c>
      <c r="F215">
        <v>47.3</v>
      </c>
      <c r="G215">
        <v>49.2</v>
      </c>
      <c r="H215">
        <v>29.7</v>
      </c>
      <c r="I215">
        <v>46.8</v>
      </c>
      <c r="J215">
        <v>45.7</v>
      </c>
      <c r="K215">
        <v>47.6</v>
      </c>
      <c r="AG215">
        <v>235</v>
      </c>
      <c r="AH215">
        <v>2512</v>
      </c>
      <c r="AI215">
        <v>1.78E-2</v>
      </c>
      <c r="AJ215">
        <v>2.92E-2</v>
      </c>
      <c r="AK215">
        <v>4.0399999999999998E-2</v>
      </c>
      <c r="AL215">
        <v>71.3</v>
      </c>
      <c r="AM215">
        <v>75.7</v>
      </c>
      <c r="AN215">
        <v>30.6</v>
      </c>
      <c r="AO215">
        <v>70.599999999999994</v>
      </c>
      <c r="AP215">
        <v>68.400000000000006</v>
      </c>
      <c r="AQ215">
        <v>70.599999999999994</v>
      </c>
    </row>
    <row r="216" spans="1:43" x14ac:dyDescent="0.25">
      <c r="A216">
        <v>240</v>
      </c>
      <c r="B216">
        <v>1613</v>
      </c>
      <c r="C216">
        <v>1.6299999999999999E-2</v>
      </c>
      <c r="D216">
        <v>2.8500000000000001E-2</v>
      </c>
      <c r="E216">
        <v>3.9899999999999998E-2</v>
      </c>
      <c r="F216">
        <v>47.3</v>
      </c>
      <c r="G216">
        <v>49.2</v>
      </c>
      <c r="H216">
        <v>29.3</v>
      </c>
      <c r="I216">
        <v>47</v>
      </c>
      <c r="J216">
        <v>45.7</v>
      </c>
      <c r="K216">
        <v>47.7</v>
      </c>
      <c r="AG216">
        <v>240</v>
      </c>
      <c r="AH216">
        <v>2509</v>
      </c>
      <c r="AI216">
        <v>1.7899999999999999E-2</v>
      </c>
      <c r="AJ216">
        <v>2.93E-2</v>
      </c>
      <c r="AK216">
        <v>4.0500000000000001E-2</v>
      </c>
      <c r="AL216">
        <v>71.400000000000006</v>
      </c>
      <c r="AM216">
        <v>75.8</v>
      </c>
      <c r="AN216">
        <v>30.5</v>
      </c>
      <c r="AO216">
        <v>70.8</v>
      </c>
      <c r="AP216">
        <v>68.599999999999994</v>
      </c>
      <c r="AQ216">
        <v>70.7</v>
      </c>
    </row>
    <row r="217" spans="1:43" x14ac:dyDescent="0.25">
      <c r="A217">
        <v>245</v>
      </c>
      <c r="B217">
        <v>1621</v>
      </c>
      <c r="C217">
        <v>1.6299999999999999E-2</v>
      </c>
      <c r="D217">
        <v>2.8500000000000001E-2</v>
      </c>
      <c r="E217">
        <v>0.04</v>
      </c>
      <c r="F217">
        <v>47.4</v>
      </c>
      <c r="G217">
        <v>49.2</v>
      </c>
      <c r="H217">
        <v>29.8</v>
      </c>
      <c r="I217">
        <v>46.9</v>
      </c>
      <c r="J217">
        <v>45.8</v>
      </c>
      <c r="K217">
        <v>47.7</v>
      </c>
      <c r="AG217">
        <v>245</v>
      </c>
      <c r="AH217">
        <v>2516</v>
      </c>
      <c r="AI217">
        <v>1.8100000000000002E-2</v>
      </c>
      <c r="AJ217">
        <v>2.9399999999999999E-2</v>
      </c>
      <c r="AK217">
        <v>4.0800000000000003E-2</v>
      </c>
      <c r="AL217">
        <v>71.599999999999994</v>
      </c>
      <c r="AM217">
        <v>75.900000000000006</v>
      </c>
      <c r="AN217">
        <v>30.6</v>
      </c>
      <c r="AO217">
        <v>70.900000000000006</v>
      </c>
      <c r="AP217">
        <v>68.8</v>
      </c>
      <c r="AQ217">
        <v>70.8</v>
      </c>
    </row>
    <row r="218" spans="1:43" x14ac:dyDescent="0.25">
      <c r="A218">
        <v>250</v>
      </c>
      <c r="B218">
        <v>1619</v>
      </c>
      <c r="C218">
        <v>1.6299999999999999E-2</v>
      </c>
      <c r="D218">
        <v>2.8500000000000001E-2</v>
      </c>
      <c r="E218">
        <v>0.04</v>
      </c>
      <c r="F218">
        <v>47.4</v>
      </c>
      <c r="G218">
        <v>49.3</v>
      </c>
      <c r="H218">
        <v>29.7</v>
      </c>
      <c r="I218">
        <v>46.9</v>
      </c>
      <c r="J218">
        <v>45.9</v>
      </c>
      <c r="K218">
        <v>47.7</v>
      </c>
      <c r="AG218">
        <v>250</v>
      </c>
      <c r="AH218">
        <v>2510</v>
      </c>
      <c r="AI218">
        <v>1.78E-2</v>
      </c>
      <c r="AJ218">
        <v>2.9100000000000001E-2</v>
      </c>
      <c r="AK218">
        <v>4.0500000000000001E-2</v>
      </c>
      <c r="AL218">
        <v>71.7</v>
      </c>
      <c r="AM218">
        <v>76.099999999999994</v>
      </c>
      <c r="AN218">
        <v>30.5</v>
      </c>
      <c r="AO218">
        <v>71.099999999999994</v>
      </c>
      <c r="AP218">
        <v>69</v>
      </c>
      <c r="AQ218">
        <v>71</v>
      </c>
    </row>
    <row r="219" spans="1:43" x14ac:dyDescent="0.25">
      <c r="A219">
        <v>255</v>
      </c>
      <c r="B219">
        <v>1617</v>
      </c>
      <c r="C219">
        <v>1.6400000000000001E-2</v>
      </c>
      <c r="D219">
        <v>2.86E-2</v>
      </c>
      <c r="E219">
        <v>4.0099999999999997E-2</v>
      </c>
      <c r="F219">
        <v>47.5</v>
      </c>
      <c r="G219">
        <v>49.3</v>
      </c>
      <c r="H219">
        <v>29.9</v>
      </c>
      <c r="I219">
        <v>47.1</v>
      </c>
      <c r="J219">
        <v>46</v>
      </c>
      <c r="K219">
        <v>47.8</v>
      </c>
      <c r="AG219">
        <v>255</v>
      </c>
      <c r="AH219">
        <v>2509</v>
      </c>
      <c r="AI219">
        <v>1.7899999999999999E-2</v>
      </c>
      <c r="AJ219">
        <v>2.9100000000000001E-2</v>
      </c>
      <c r="AK219">
        <v>4.0399999999999998E-2</v>
      </c>
      <c r="AL219">
        <v>71.599999999999994</v>
      </c>
      <c r="AM219">
        <v>76</v>
      </c>
      <c r="AN219">
        <v>30.4</v>
      </c>
      <c r="AO219">
        <v>71</v>
      </c>
      <c r="AP219">
        <v>68.900000000000006</v>
      </c>
      <c r="AQ219">
        <v>70.900000000000006</v>
      </c>
    </row>
    <row r="220" spans="1:43" x14ac:dyDescent="0.25">
      <c r="A220">
        <v>260</v>
      </c>
      <c r="B220">
        <v>1608</v>
      </c>
      <c r="C220">
        <v>1.6299999999999999E-2</v>
      </c>
      <c r="D220">
        <v>2.86E-2</v>
      </c>
      <c r="E220">
        <v>4.0300000000000002E-2</v>
      </c>
      <c r="F220">
        <v>47.6</v>
      </c>
      <c r="G220">
        <v>49.4</v>
      </c>
      <c r="H220">
        <v>29.7</v>
      </c>
      <c r="I220">
        <v>47.1</v>
      </c>
      <c r="J220">
        <v>46</v>
      </c>
      <c r="K220">
        <v>47.9</v>
      </c>
      <c r="AG220">
        <v>260</v>
      </c>
      <c r="AH220">
        <v>2502</v>
      </c>
      <c r="AI220">
        <v>1.78E-2</v>
      </c>
      <c r="AJ220">
        <v>2.9000000000000001E-2</v>
      </c>
      <c r="AK220">
        <v>4.0399999999999998E-2</v>
      </c>
      <c r="AL220">
        <v>71.7</v>
      </c>
      <c r="AM220">
        <v>76</v>
      </c>
      <c r="AN220">
        <v>30.3</v>
      </c>
      <c r="AO220">
        <v>71.099999999999994</v>
      </c>
      <c r="AP220">
        <v>68.8</v>
      </c>
      <c r="AQ220">
        <v>71</v>
      </c>
    </row>
    <row r="221" spans="1:43" x14ac:dyDescent="0.25">
      <c r="A221">
        <v>265</v>
      </c>
      <c r="B221">
        <v>1614</v>
      </c>
      <c r="C221">
        <v>1.6400000000000001E-2</v>
      </c>
      <c r="D221">
        <v>2.87E-2</v>
      </c>
      <c r="E221">
        <v>4.02E-2</v>
      </c>
      <c r="F221">
        <v>47.7</v>
      </c>
      <c r="G221">
        <v>49.4</v>
      </c>
      <c r="H221">
        <v>29.6</v>
      </c>
      <c r="I221">
        <v>47.1</v>
      </c>
      <c r="J221">
        <v>46.1</v>
      </c>
      <c r="K221">
        <v>48</v>
      </c>
      <c r="AG221">
        <v>265</v>
      </c>
      <c r="AH221">
        <v>2529</v>
      </c>
      <c r="AI221">
        <v>1.78E-2</v>
      </c>
      <c r="AJ221">
        <v>2.9000000000000001E-2</v>
      </c>
      <c r="AK221">
        <v>4.0500000000000001E-2</v>
      </c>
      <c r="AL221">
        <v>71.7</v>
      </c>
      <c r="AM221">
        <v>76</v>
      </c>
      <c r="AN221">
        <v>30.4</v>
      </c>
      <c r="AO221">
        <v>71</v>
      </c>
      <c r="AP221">
        <v>68.900000000000006</v>
      </c>
      <c r="AQ221">
        <v>71</v>
      </c>
    </row>
    <row r="222" spans="1:43" x14ac:dyDescent="0.25">
      <c r="A222">
        <v>270</v>
      </c>
      <c r="B222">
        <v>1613</v>
      </c>
      <c r="C222">
        <v>1.6299999999999999E-2</v>
      </c>
      <c r="D222">
        <v>2.87E-2</v>
      </c>
      <c r="E222">
        <v>4.0099999999999997E-2</v>
      </c>
      <c r="F222">
        <v>47.6</v>
      </c>
      <c r="G222">
        <v>49.5</v>
      </c>
      <c r="H222">
        <v>29.4</v>
      </c>
      <c r="I222">
        <v>47.2</v>
      </c>
      <c r="J222">
        <v>46.1</v>
      </c>
      <c r="K222">
        <v>48</v>
      </c>
      <c r="AG222">
        <v>270</v>
      </c>
      <c r="AH222">
        <v>2523</v>
      </c>
      <c r="AI222">
        <v>1.78E-2</v>
      </c>
      <c r="AJ222">
        <v>2.9100000000000001E-2</v>
      </c>
      <c r="AK222">
        <v>4.0399999999999998E-2</v>
      </c>
      <c r="AL222">
        <v>71.8</v>
      </c>
      <c r="AM222">
        <v>76.2</v>
      </c>
      <c r="AN222">
        <v>30.3</v>
      </c>
      <c r="AO222">
        <v>71.099999999999994</v>
      </c>
      <c r="AP222">
        <v>68.900000000000006</v>
      </c>
      <c r="AQ222">
        <v>71</v>
      </c>
    </row>
    <row r="223" spans="1:43" x14ac:dyDescent="0.25">
      <c r="A223">
        <v>275</v>
      </c>
      <c r="B223">
        <v>1619</v>
      </c>
      <c r="C223">
        <v>1.6400000000000001E-2</v>
      </c>
      <c r="D223">
        <v>2.8500000000000001E-2</v>
      </c>
      <c r="E223">
        <v>4.0099999999999997E-2</v>
      </c>
      <c r="F223">
        <v>47.6</v>
      </c>
      <c r="G223">
        <v>49.4</v>
      </c>
      <c r="H223">
        <v>29.7</v>
      </c>
      <c r="I223">
        <v>47.1</v>
      </c>
      <c r="J223">
        <v>46</v>
      </c>
      <c r="K223">
        <v>48</v>
      </c>
      <c r="AG223">
        <v>275</v>
      </c>
      <c r="AH223">
        <v>2526</v>
      </c>
      <c r="AI223">
        <v>1.7899999999999999E-2</v>
      </c>
      <c r="AJ223">
        <v>2.9100000000000001E-2</v>
      </c>
      <c r="AK223">
        <v>4.0399999999999998E-2</v>
      </c>
      <c r="AL223">
        <v>71.900000000000006</v>
      </c>
      <c r="AM223">
        <v>76.2</v>
      </c>
      <c r="AN223">
        <v>30.4</v>
      </c>
      <c r="AO223">
        <v>71.2</v>
      </c>
      <c r="AP223">
        <v>69.099999999999994</v>
      </c>
      <c r="AQ223">
        <v>71.099999999999994</v>
      </c>
    </row>
    <row r="224" spans="1:43" x14ac:dyDescent="0.25">
      <c r="A224">
        <v>280</v>
      </c>
      <c r="B224">
        <v>1618</v>
      </c>
      <c r="C224">
        <v>1.6299999999999999E-2</v>
      </c>
      <c r="D224">
        <v>2.8500000000000001E-2</v>
      </c>
      <c r="E224">
        <v>4.0099999999999997E-2</v>
      </c>
      <c r="F224">
        <v>47.6</v>
      </c>
      <c r="G224">
        <v>49.5</v>
      </c>
      <c r="H224">
        <v>29.8</v>
      </c>
      <c r="I224">
        <v>47.1</v>
      </c>
      <c r="J224">
        <v>46</v>
      </c>
      <c r="K224">
        <v>48</v>
      </c>
      <c r="AG224">
        <v>280</v>
      </c>
      <c r="AH224">
        <v>2521</v>
      </c>
      <c r="AI224">
        <v>1.78E-2</v>
      </c>
      <c r="AJ224">
        <v>2.9100000000000001E-2</v>
      </c>
      <c r="AK224">
        <v>4.0399999999999998E-2</v>
      </c>
      <c r="AL224">
        <v>71.900000000000006</v>
      </c>
      <c r="AM224">
        <v>76.2</v>
      </c>
      <c r="AN224">
        <v>30.2</v>
      </c>
      <c r="AO224">
        <v>71.3</v>
      </c>
      <c r="AP224">
        <v>69.099999999999994</v>
      </c>
      <c r="AQ224">
        <v>71.2</v>
      </c>
    </row>
    <row r="225" spans="1:44" x14ac:dyDescent="0.25">
      <c r="A225">
        <v>285</v>
      </c>
      <c r="B225">
        <v>1609</v>
      </c>
      <c r="C225">
        <v>1.6299999999999999E-2</v>
      </c>
      <c r="D225">
        <v>2.86E-2</v>
      </c>
      <c r="E225">
        <v>4.0099999999999997E-2</v>
      </c>
      <c r="F225">
        <v>47.7</v>
      </c>
      <c r="G225">
        <v>49.5</v>
      </c>
      <c r="H225">
        <v>29.7</v>
      </c>
      <c r="I225">
        <v>47.2</v>
      </c>
      <c r="J225">
        <v>46.1</v>
      </c>
      <c r="K225">
        <v>48</v>
      </c>
      <c r="AG225">
        <v>285</v>
      </c>
      <c r="AH225">
        <v>2526</v>
      </c>
      <c r="AI225">
        <v>1.7899999999999999E-2</v>
      </c>
      <c r="AJ225">
        <v>2.9100000000000001E-2</v>
      </c>
      <c r="AK225">
        <v>4.0500000000000001E-2</v>
      </c>
      <c r="AL225">
        <v>71.900000000000006</v>
      </c>
      <c r="AM225">
        <v>76.3</v>
      </c>
      <c r="AN225">
        <v>30.2</v>
      </c>
      <c r="AO225">
        <v>71.2</v>
      </c>
      <c r="AP225">
        <v>69.099999999999994</v>
      </c>
      <c r="AQ225">
        <v>71.2</v>
      </c>
    </row>
    <row r="226" spans="1:44" x14ac:dyDescent="0.25">
      <c r="A226">
        <v>290</v>
      </c>
      <c r="B226">
        <v>1615</v>
      </c>
      <c r="C226">
        <v>1.6400000000000001E-2</v>
      </c>
      <c r="D226">
        <v>2.8400000000000002E-2</v>
      </c>
      <c r="E226">
        <v>4.0099999999999997E-2</v>
      </c>
      <c r="F226">
        <v>47.7</v>
      </c>
      <c r="G226">
        <v>49.4</v>
      </c>
      <c r="H226">
        <v>29.8</v>
      </c>
      <c r="I226">
        <v>47.2</v>
      </c>
      <c r="J226">
        <v>46.1</v>
      </c>
      <c r="K226">
        <v>48.1</v>
      </c>
      <c r="AG226">
        <v>290</v>
      </c>
      <c r="AH226">
        <v>2520</v>
      </c>
      <c r="AI226">
        <v>1.7899999999999999E-2</v>
      </c>
      <c r="AJ226">
        <v>2.92E-2</v>
      </c>
      <c r="AK226">
        <v>4.0500000000000001E-2</v>
      </c>
      <c r="AL226">
        <v>72</v>
      </c>
      <c r="AM226">
        <v>76.2</v>
      </c>
      <c r="AN226">
        <v>30.1</v>
      </c>
      <c r="AO226">
        <v>71.3</v>
      </c>
      <c r="AP226">
        <v>69.099999999999994</v>
      </c>
      <c r="AQ226">
        <v>71.2</v>
      </c>
    </row>
    <row r="227" spans="1:44" x14ac:dyDescent="0.25">
      <c r="A227">
        <v>295</v>
      </c>
      <c r="B227">
        <v>1619</v>
      </c>
      <c r="C227">
        <v>1.6400000000000001E-2</v>
      </c>
      <c r="D227">
        <v>2.8400000000000002E-2</v>
      </c>
      <c r="E227">
        <v>3.9899999999999998E-2</v>
      </c>
      <c r="F227">
        <v>47.6</v>
      </c>
      <c r="G227">
        <v>49.4</v>
      </c>
      <c r="H227">
        <v>29.6</v>
      </c>
      <c r="I227">
        <v>47.2</v>
      </c>
      <c r="J227">
        <v>46</v>
      </c>
      <c r="K227">
        <v>48</v>
      </c>
      <c r="AG227" s="12">
        <v>295</v>
      </c>
      <c r="AH227" s="12">
        <v>2520</v>
      </c>
      <c r="AI227" s="12">
        <v>1.78E-2</v>
      </c>
      <c r="AJ227" s="12">
        <v>2.9000000000000001E-2</v>
      </c>
      <c r="AK227" s="12">
        <v>4.0399999999999998E-2</v>
      </c>
      <c r="AL227" s="12">
        <v>72</v>
      </c>
      <c r="AM227" s="12">
        <v>76.2</v>
      </c>
      <c r="AN227" s="12">
        <v>30.4</v>
      </c>
      <c r="AO227" s="12">
        <v>71.2</v>
      </c>
      <c r="AP227" s="12">
        <v>69.099999999999994</v>
      </c>
      <c r="AQ227" s="12">
        <v>71.2</v>
      </c>
      <c r="AR227" s="14">
        <v>45.8</v>
      </c>
    </row>
    <row r="228" spans="1:44" x14ac:dyDescent="0.25">
      <c r="A228">
        <v>300</v>
      </c>
      <c r="B228">
        <v>1619</v>
      </c>
      <c r="C228">
        <v>1.6400000000000001E-2</v>
      </c>
      <c r="D228">
        <v>2.8400000000000002E-2</v>
      </c>
      <c r="E228">
        <v>0.04</v>
      </c>
      <c r="F228">
        <v>47.6</v>
      </c>
      <c r="G228">
        <v>49.4</v>
      </c>
      <c r="H228">
        <v>29.7</v>
      </c>
      <c r="I228">
        <v>47.1</v>
      </c>
      <c r="J228">
        <v>46</v>
      </c>
      <c r="K228">
        <v>47.9</v>
      </c>
      <c r="AG228">
        <v>300</v>
      </c>
      <c r="AH228">
        <v>3247</v>
      </c>
      <c r="AI228">
        <v>1.8100000000000002E-2</v>
      </c>
      <c r="AJ228">
        <v>2.8899999999999999E-2</v>
      </c>
      <c r="AK228">
        <v>4.0099999999999997E-2</v>
      </c>
      <c r="AL228">
        <v>74.599999999999994</v>
      </c>
      <c r="AM228">
        <v>80.900000000000006</v>
      </c>
      <c r="AN228">
        <v>30.6</v>
      </c>
      <c r="AO228">
        <v>73.900000000000006</v>
      </c>
      <c r="AP228">
        <v>71.2</v>
      </c>
      <c r="AQ228">
        <v>73.2</v>
      </c>
    </row>
    <row r="229" spans="1:44" x14ac:dyDescent="0.25">
      <c r="A229">
        <v>305</v>
      </c>
      <c r="B229">
        <v>1623</v>
      </c>
      <c r="C229">
        <v>1.6400000000000001E-2</v>
      </c>
      <c r="D229">
        <v>2.86E-2</v>
      </c>
      <c r="E229">
        <v>4.02E-2</v>
      </c>
      <c r="F229">
        <v>47.6</v>
      </c>
      <c r="G229">
        <v>49.4</v>
      </c>
      <c r="H229">
        <v>29.6</v>
      </c>
      <c r="I229">
        <v>47.1</v>
      </c>
      <c r="J229">
        <v>46</v>
      </c>
      <c r="K229">
        <v>48</v>
      </c>
      <c r="AG229">
        <v>305</v>
      </c>
      <c r="AH229">
        <v>3260</v>
      </c>
      <c r="AI229">
        <v>1.84E-2</v>
      </c>
      <c r="AJ229">
        <v>2.9000000000000001E-2</v>
      </c>
      <c r="AK229">
        <v>4.0300000000000002E-2</v>
      </c>
      <c r="AL229">
        <v>78.8</v>
      </c>
      <c r="AM229">
        <v>85.8</v>
      </c>
      <c r="AN229">
        <v>30.6</v>
      </c>
      <c r="AO229">
        <v>78.3</v>
      </c>
      <c r="AP229">
        <v>75.3</v>
      </c>
      <c r="AQ229">
        <v>76.900000000000006</v>
      </c>
    </row>
    <row r="230" spans="1:44" x14ac:dyDescent="0.25">
      <c r="A230">
        <v>310</v>
      </c>
      <c r="B230">
        <v>1623</v>
      </c>
      <c r="C230">
        <v>1.6400000000000001E-2</v>
      </c>
      <c r="D230">
        <v>2.8500000000000001E-2</v>
      </c>
      <c r="E230">
        <v>0.04</v>
      </c>
      <c r="F230">
        <v>47.6</v>
      </c>
      <c r="G230">
        <v>49.4</v>
      </c>
      <c r="H230">
        <v>29.4</v>
      </c>
      <c r="I230">
        <v>47.1</v>
      </c>
      <c r="J230">
        <v>46</v>
      </c>
      <c r="K230">
        <v>48</v>
      </c>
      <c r="AG230">
        <v>310</v>
      </c>
      <c r="AH230">
        <v>3248</v>
      </c>
      <c r="AI230">
        <v>1.8599999999999998E-2</v>
      </c>
      <c r="AJ230">
        <v>2.9000000000000001E-2</v>
      </c>
      <c r="AK230">
        <v>4.0399999999999998E-2</v>
      </c>
      <c r="AL230">
        <v>82.3</v>
      </c>
      <c r="AM230">
        <v>89.3</v>
      </c>
      <c r="AN230">
        <v>30.5</v>
      </c>
      <c r="AO230">
        <v>81.7</v>
      </c>
      <c r="AP230">
        <v>78.5</v>
      </c>
      <c r="AQ230">
        <v>80</v>
      </c>
    </row>
    <row r="231" spans="1:44" x14ac:dyDescent="0.25">
      <c r="A231">
        <v>315</v>
      </c>
      <c r="B231">
        <v>1606</v>
      </c>
      <c r="C231">
        <v>1.6299999999999999E-2</v>
      </c>
      <c r="D231">
        <v>2.8500000000000001E-2</v>
      </c>
      <c r="E231">
        <v>4.0099999999999997E-2</v>
      </c>
      <c r="F231">
        <v>47.6</v>
      </c>
      <c r="G231">
        <v>49.4</v>
      </c>
      <c r="H231">
        <v>29.5</v>
      </c>
      <c r="I231">
        <v>47.2</v>
      </c>
      <c r="J231">
        <v>46.1</v>
      </c>
      <c r="K231">
        <v>48</v>
      </c>
      <c r="AG231">
        <v>315</v>
      </c>
      <c r="AH231">
        <v>3235</v>
      </c>
      <c r="AI231">
        <v>1.8700000000000001E-2</v>
      </c>
      <c r="AJ231">
        <v>2.9000000000000001E-2</v>
      </c>
      <c r="AK231">
        <v>4.0500000000000001E-2</v>
      </c>
      <c r="AL231">
        <v>84.7</v>
      </c>
      <c r="AM231">
        <v>91.7</v>
      </c>
      <c r="AN231">
        <v>30.4</v>
      </c>
      <c r="AO231">
        <v>84.1</v>
      </c>
      <c r="AP231">
        <v>80.900000000000006</v>
      </c>
      <c r="AQ231">
        <v>82.4</v>
      </c>
    </row>
    <row r="232" spans="1:44" x14ac:dyDescent="0.25">
      <c r="A232" s="12">
        <v>320</v>
      </c>
      <c r="B232" s="12">
        <v>1615</v>
      </c>
      <c r="C232" s="12">
        <v>1.6400000000000001E-2</v>
      </c>
      <c r="D232" s="12">
        <v>2.8400000000000002E-2</v>
      </c>
      <c r="E232" s="12">
        <v>0.04</v>
      </c>
      <c r="F232" s="12">
        <v>47.6</v>
      </c>
      <c r="G232" s="12">
        <v>49.4</v>
      </c>
      <c r="H232" s="12">
        <v>29.5</v>
      </c>
      <c r="I232" s="12">
        <v>47.1</v>
      </c>
      <c r="J232" s="12">
        <v>46</v>
      </c>
      <c r="K232" s="12">
        <v>48</v>
      </c>
      <c r="L232" s="14">
        <v>19.899999999999999</v>
      </c>
      <c r="AG232">
        <v>320</v>
      </c>
      <c r="AH232">
        <v>3250</v>
      </c>
      <c r="AI232">
        <v>1.8800000000000001E-2</v>
      </c>
      <c r="AJ232">
        <v>2.9000000000000001E-2</v>
      </c>
      <c r="AK232">
        <v>4.0500000000000001E-2</v>
      </c>
      <c r="AL232">
        <v>86.8</v>
      </c>
      <c r="AM232">
        <v>93.7</v>
      </c>
      <c r="AN232">
        <v>30.4</v>
      </c>
      <c r="AO232">
        <v>86.1</v>
      </c>
      <c r="AP232">
        <v>82.8</v>
      </c>
      <c r="AQ232">
        <v>84.3</v>
      </c>
    </row>
    <row r="233" spans="1:44" x14ac:dyDescent="0.25">
      <c r="A233">
        <v>325</v>
      </c>
      <c r="B233">
        <v>2014</v>
      </c>
      <c r="C233">
        <v>1.6400000000000001E-2</v>
      </c>
      <c r="D233">
        <v>2.8799999999999999E-2</v>
      </c>
      <c r="E233">
        <v>3.9899999999999998E-2</v>
      </c>
      <c r="F233">
        <v>47.8</v>
      </c>
      <c r="G233">
        <v>49.8</v>
      </c>
      <c r="H233">
        <v>29.4</v>
      </c>
      <c r="I233">
        <v>47.3</v>
      </c>
      <c r="J233">
        <v>46.2</v>
      </c>
      <c r="K233">
        <v>48.2</v>
      </c>
      <c r="AG233">
        <v>325</v>
      </c>
      <c r="AH233">
        <v>3250</v>
      </c>
      <c r="AI233">
        <v>1.89E-2</v>
      </c>
      <c r="AJ233">
        <v>2.8899999999999999E-2</v>
      </c>
      <c r="AK233">
        <v>4.0599999999999997E-2</v>
      </c>
      <c r="AL233">
        <v>88.3</v>
      </c>
      <c r="AM233">
        <v>95.2</v>
      </c>
      <c r="AN233">
        <v>30.5</v>
      </c>
      <c r="AO233">
        <v>87.7</v>
      </c>
      <c r="AP233">
        <v>84.2</v>
      </c>
      <c r="AQ233">
        <v>86</v>
      </c>
    </row>
    <row r="234" spans="1:44" x14ac:dyDescent="0.25">
      <c r="A234">
        <v>330</v>
      </c>
      <c r="B234">
        <v>2007</v>
      </c>
      <c r="C234">
        <v>1.6500000000000001E-2</v>
      </c>
      <c r="D234">
        <v>2.8899999999999999E-2</v>
      </c>
      <c r="E234">
        <v>0.04</v>
      </c>
      <c r="F234">
        <v>49.4</v>
      </c>
      <c r="G234">
        <v>52.1</v>
      </c>
      <c r="H234">
        <v>29.4</v>
      </c>
      <c r="I234">
        <v>49</v>
      </c>
      <c r="J234">
        <v>47.6</v>
      </c>
      <c r="K234">
        <v>49.4</v>
      </c>
      <c r="AG234">
        <v>330</v>
      </c>
      <c r="AH234">
        <v>3251</v>
      </c>
      <c r="AI234">
        <v>1.9E-2</v>
      </c>
      <c r="AJ234">
        <v>2.9000000000000001E-2</v>
      </c>
      <c r="AK234">
        <v>4.0599999999999997E-2</v>
      </c>
      <c r="AL234">
        <v>89.7</v>
      </c>
      <c r="AM234">
        <v>96.7</v>
      </c>
      <c r="AN234">
        <v>30.4</v>
      </c>
      <c r="AO234">
        <v>89.1</v>
      </c>
      <c r="AP234">
        <v>85.5</v>
      </c>
      <c r="AQ234">
        <v>87.4</v>
      </c>
    </row>
    <row r="235" spans="1:44" x14ac:dyDescent="0.25">
      <c r="A235">
        <v>335</v>
      </c>
      <c r="B235">
        <v>2009</v>
      </c>
      <c r="C235">
        <v>1.66E-2</v>
      </c>
      <c r="D235">
        <v>2.87E-2</v>
      </c>
      <c r="E235">
        <v>3.9899999999999998E-2</v>
      </c>
      <c r="F235">
        <v>50.4</v>
      </c>
      <c r="G235">
        <v>53.3</v>
      </c>
      <c r="H235">
        <v>29.5</v>
      </c>
      <c r="I235">
        <v>50.1</v>
      </c>
      <c r="J235">
        <v>48.8</v>
      </c>
      <c r="K235">
        <v>50.4</v>
      </c>
      <c r="AG235">
        <v>335</v>
      </c>
      <c r="AH235">
        <v>3231</v>
      </c>
      <c r="AI235">
        <v>1.9099999999999999E-2</v>
      </c>
      <c r="AJ235">
        <v>2.9100000000000001E-2</v>
      </c>
      <c r="AK235">
        <v>4.0599999999999997E-2</v>
      </c>
      <c r="AL235">
        <v>90.9</v>
      </c>
      <c r="AM235">
        <v>97.8</v>
      </c>
      <c r="AN235">
        <v>30.6</v>
      </c>
      <c r="AO235">
        <v>90.3</v>
      </c>
      <c r="AP235">
        <v>86.6</v>
      </c>
      <c r="AQ235">
        <v>88.7</v>
      </c>
    </row>
    <row r="236" spans="1:44" x14ac:dyDescent="0.25">
      <c r="A236">
        <v>340</v>
      </c>
      <c r="B236">
        <v>2015</v>
      </c>
      <c r="C236">
        <v>1.66E-2</v>
      </c>
      <c r="D236">
        <v>2.87E-2</v>
      </c>
      <c r="E236">
        <v>0.04</v>
      </c>
      <c r="F236">
        <v>51.4</v>
      </c>
      <c r="G236">
        <v>54.2</v>
      </c>
      <c r="H236">
        <v>29.4</v>
      </c>
      <c r="I236">
        <v>51</v>
      </c>
      <c r="J236">
        <v>49.6</v>
      </c>
      <c r="K236">
        <v>51.3</v>
      </c>
      <c r="AG236">
        <v>340</v>
      </c>
      <c r="AH236">
        <v>3229</v>
      </c>
      <c r="AI236">
        <v>1.9099999999999999E-2</v>
      </c>
      <c r="AJ236">
        <v>2.9100000000000001E-2</v>
      </c>
      <c r="AK236">
        <v>4.07E-2</v>
      </c>
      <c r="AL236">
        <v>91.8</v>
      </c>
      <c r="AM236">
        <v>98.7</v>
      </c>
      <c r="AN236">
        <v>30.6</v>
      </c>
      <c r="AO236">
        <v>91.1</v>
      </c>
      <c r="AP236">
        <v>87.4</v>
      </c>
      <c r="AQ236">
        <v>89.5</v>
      </c>
    </row>
    <row r="237" spans="1:44" x14ac:dyDescent="0.25">
      <c r="A237">
        <v>345</v>
      </c>
      <c r="B237">
        <v>2013</v>
      </c>
      <c r="C237">
        <v>1.67E-2</v>
      </c>
      <c r="D237">
        <v>2.8799999999999999E-2</v>
      </c>
      <c r="E237">
        <v>0.04</v>
      </c>
      <c r="F237">
        <v>52.1</v>
      </c>
      <c r="G237">
        <v>54.9</v>
      </c>
      <c r="H237">
        <v>29.3</v>
      </c>
      <c r="I237">
        <v>51.7</v>
      </c>
      <c r="J237">
        <v>50.3</v>
      </c>
      <c r="K237">
        <v>51.9</v>
      </c>
      <c r="AG237">
        <v>345</v>
      </c>
      <c r="AH237">
        <v>3226</v>
      </c>
      <c r="AI237">
        <v>1.9199999999999998E-2</v>
      </c>
      <c r="AJ237">
        <v>2.9000000000000001E-2</v>
      </c>
      <c r="AK237">
        <v>4.07E-2</v>
      </c>
      <c r="AL237">
        <v>92.6</v>
      </c>
      <c r="AM237">
        <v>99.4</v>
      </c>
      <c r="AN237">
        <v>30.4</v>
      </c>
      <c r="AO237">
        <v>91.9</v>
      </c>
      <c r="AP237">
        <v>88.1</v>
      </c>
      <c r="AQ237">
        <v>90.5</v>
      </c>
    </row>
    <row r="238" spans="1:44" x14ac:dyDescent="0.25">
      <c r="A238">
        <v>350</v>
      </c>
      <c r="B238">
        <v>2008</v>
      </c>
      <c r="C238">
        <v>1.67E-2</v>
      </c>
      <c r="D238">
        <v>2.8899999999999999E-2</v>
      </c>
      <c r="E238">
        <v>4.0099999999999997E-2</v>
      </c>
      <c r="F238">
        <v>52.7</v>
      </c>
      <c r="G238">
        <v>55.5</v>
      </c>
      <c r="H238">
        <v>29.4</v>
      </c>
      <c r="I238">
        <v>52.3</v>
      </c>
      <c r="J238">
        <v>50.9</v>
      </c>
      <c r="K238">
        <v>52.6</v>
      </c>
      <c r="AG238">
        <v>350</v>
      </c>
      <c r="AH238">
        <v>3227</v>
      </c>
      <c r="AI238">
        <v>1.9199999999999998E-2</v>
      </c>
      <c r="AJ238">
        <v>2.9000000000000001E-2</v>
      </c>
      <c r="AK238">
        <v>4.07E-2</v>
      </c>
      <c r="AL238">
        <v>93.3</v>
      </c>
      <c r="AM238">
        <v>100.2</v>
      </c>
      <c r="AN238">
        <v>30.3</v>
      </c>
      <c r="AO238">
        <v>92.6</v>
      </c>
      <c r="AP238">
        <v>88.8</v>
      </c>
      <c r="AQ238">
        <v>91.2</v>
      </c>
    </row>
    <row r="239" spans="1:44" x14ac:dyDescent="0.25">
      <c r="A239">
        <v>355</v>
      </c>
      <c r="B239">
        <v>2018</v>
      </c>
      <c r="C239">
        <v>1.67E-2</v>
      </c>
      <c r="D239">
        <v>2.8899999999999999E-2</v>
      </c>
      <c r="E239">
        <v>4.0099999999999997E-2</v>
      </c>
      <c r="F239">
        <v>53.2</v>
      </c>
      <c r="G239">
        <v>56</v>
      </c>
      <c r="H239">
        <v>29.3</v>
      </c>
      <c r="I239">
        <v>52.8</v>
      </c>
      <c r="J239">
        <v>51.3</v>
      </c>
      <c r="K239">
        <v>53</v>
      </c>
      <c r="AG239">
        <v>355</v>
      </c>
      <c r="AH239">
        <v>3225</v>
      </c>
      <c r="AI239">
        <v>1.9199999999999998E-2</v>
      </c>
      <c r="AJ239">
        <v>2.9000000000000001E-2</v>
      </c>
      <c r="AK239">
        <v>4.0599999999999997E-2</v>
      </c>
      <c r="AL239">
        <v>93.9</v>
      </c>
      <c r="AM239">
        <v>100.6</v>
      </c>
      <c r="AN239">
        <v>30.3</v>
      </c>
      <c r="AO239">
        <v>93.1</v>
      </c>
      <c r="AP239">
        <v>89.3</v>
      </c>
      <c r="AQ239">
        <v>91.7</v>
      </c>
    </row>
    <row r="240" spans="1:44" x14ac:dyDescent="0.25">
      <c r="A240">
        <v>360</v>
      </c>
      <c r="B240">
        <v>2013</v>
      </c>
      <c r="C240">
        <v>1.67E-2</v>
      </c>
      <c r="D240">
        <v>2.8899999999999999E-2</v>
      </c>
      <c r="E240">
        <v>4.0099999999999997E-2</v>
      </c>
      <c r="F240">
        <v>53.7</v>
      </c>
      <c r="G240">
        <v>56.5</v>
      </c>
      <c r="H240">
        <v>29.4</v>
      </c>
      <c r="I240">
        <v>53.2</v>
      </c>
      <c r="J240">
        <v>51.8</v>
      </c>
      <c r="K240">
        <v>53.5</v>
      </c>
      <c r="AG240">
        <v>360</v>
      </c>
      <c r="AH240">
        <v>3240</v>
      </c>
      <c r="AI240">
        <v>1.9300000000000001E-2</v>
      </c>
      <c r="AJ240">
        <v>2.9000000000000001E-2</v>
      </c>
      <c r="AK240">
        <v>4.07E-2</v>
      </c>
      <c r="AL240">
        <v>94.4</v>
      </c>
      <c r="AM240">
        <v>101.2</v>
      </c>
      <c r="AN240">
        <v>30.3</v>
      </c>
      <c r="AO240">
        <v>93.6</v>
      </c>
      <c r="AP240">
        <v>89.8</v>
      </c>
      <c r="AQ240">
        <v>92.2</v>
      </c>
    </row>
    <row r="241" spans="1:44" x14ac:dyDescent="0.25">
      <c r="A241">
        <v>365</v>
      </c>
      <c r="B241">
        <v>2009</v>
      </c>
      <c r="C241">
        <v>1.67E-2</v>
      </c>
      <c r="D241">
        <v>2.8799999999999999E-2</v>
      </c>
      <c r="E241">
        <v>4.0099999999999997E-2</v>
      </c>
      <c r="F241">
        <v>54.1</v>
      </c>
      <c r="G241">
        <v>56.9</v>
      </c>
      <c r="H241">
        <v>29.6</v>
      </c>
      <c r="I241">
        <v>53.6</v>
      </c>
      <c r="J241">
        <v>52.1</v>
      </c>
      <c r="K241">
        <v>54</v>
      </c>
      <c r="AG241">
        <v>365</v>
      </c>
      <c r="AH241">
        <v>3241</v>
      </c>
      <c r="AI241">
        <v>1.9300000000000001E-2</v>
      </c>
      <c r="AJ241">
        <v>2.9100000000000001E-2</v>
      </c>
      <c r="AK241">
        <v>4.07E-2</v>
      </c>
      <c r="AL241">
        <v>94.8</v>
      </c>
      <c r="AM241">
        <v>101.7</v>
      </c>
      <c r="AN241">
        <v>30.5</v>
      </c>
      <c r="AO241">
        <v>94</v>
      </c>
      <c r="AP241">
        <v>90.2</v>
      </c>
      <c r="AQ241">
        <v>92.6</v>
      </c>
    </row>
    <row r="242" spans="1:44" x14ac:dyDescent="0.25">
      <c r="A242">
        <v>370</v>
      </c>
      <c r="B242">
        <v>2012</v>
      </c>
      <c r="C242">
        <v>1.6799999999999999E-2</v>
      </c>
      <c r="D242">
        <v>2.8799999999999999E-2</v>
      </c>
      <c r="E242">
        <v>4.0099999999999997E-2</v>
      </c>
      <c r="F242">
        <v>54.3</v>
      </c>
      <c r="G242">
        <v>57.2</v>
      </c>
      <c r="H242">
        <v>29.6</v>
      </c>
      <c r="I242">
        <v>53.9</v>
      </c>
      <c r="J242">
        <v>52.5</v>
      </c>
      <c r="K242">
        <v>54.3</v>
      </c>
      <c r="AG242">
        <v>370</v>
      </c>
      <c r="AH242">
        <v>3236</v>
      </c>
      <c r="AI242">
        <v>1.9300000000000001E-2</v>
      </c>
      <c r="AJ242">
        <v>2.9100000000000001E-2</v>
      </c>
      <c r="AK242">
        <v>4.0800000000000003E-2</v>
      </c>
      <c r="AL242">
        <v>95.3</v>
      </c>
      <c r="AM242">
        <v>102</v>
      </c>
      <c r="AN242">
        <v>30.4</v>
      </c>
      <c r="AO242">
        <v>94.5</v>
      </c>
      <c r="AP242">
        <v>90.6</v>
      </c>
      <c r="AQ242">
        <v>93.2</v>
      </c>
    </row>
    <row r="243" spans="1:44" x14ac:dyDescent="0.25">
      <c r="A243">
        <v>375</v>
      </c>
      <c r="B243">
        <v>1998</v>
      </c>
      <c r="C243">
        <v>1.6899999999999998E-2</v>
      </c>
      <c r="D243">
        <v>2.9100000000000001E-2</v>
      </c>
      <c r="E243">
        <v>4.0300000000000002E-2</v>
      </c>
      <c r="F243">
        <v>54.7</v>
      </c>
      <c r="G243">
        <v>57.5</v>
      </c>
      <c r="H243">
        <v>29.5</v>
      </c>
      <c r="I243">
        <v>54.2</v>
      </c>
      <c r="J243">
        <v>52.8</v>
      </c>
      <c r="K243">
        <v>54.6</v>
      </c>
      <c r="AG243">
        <v>375</v>
      </c>
      <c r="AH243">
        <v>3232</v>
      </c>
      <c r="AI243">
        <v>1.9400000000000001E-2</v>
      </c>
      <c r="AJ243">
        <v>2.92E-2</v>
      </c>
      <c r="AK243">
        <v>4.0800000000000003E-2</v>
      </c>
      <c r="AL243">
        <v>95.6</v>
      </c>
      <c r="AM243">
        <v>102.4</v>
      </c>
      <c r="AN243">
        <v>30.3</v>
      </c>
      <c r="AO243">
        <v>94.8</v>
      </c>
      <c r="AP243">
        <v>90.9</v>
      </c>
      <c r="AQ243">
        <v>93.5</v>
      </c>
    </row>
    <row r="244" spans="1:44" x14ac:dyDescent="0.25">
      <c r="A244">
        <v>380</v>
      </c>
      <c r="B244">
        <v>2017</v>
      </c>
      <c r="C244">
        <v>1.6799999999999999E-2</v>
      </c>
      <c r="D244">
        <v>2.9000000000000001E-2</v>
      </c>
      <c r="E244">
        <v>4.02E-2</v>
      </c>
      <c r="F244">
        <v>54.9</v>
      </c>
      <c r="G244">
        <v>57.7</v>
      </c>
      <c r="H244">
        <v>29.5</v>
      </c>
      <c r="I244">
        <v>54.5</v>
      </c>
      <c r="J244">
        <v>53</v>
      </c>
      <c r="K244">
        <v>54.8</v>
      </c>
      <c r="AG244">
        <v>380</v>
      </c>
      <c r="AH244">
        <v>3237</v>
      </c>
      <c r="AI244">
        <v>1.9400000000000001E-2</v>
      </c>
      <c r="AJ244">
        <v>2.9100000000000001E-2</v>
      </c>
      <c r="AK244">
        <v>4.0800000000000003E-2</v>
      </c>
      <c r="AL244">
        <v>95.9</v>
      </c>
      <c r="AM244">
        <v>102.7</v>
      </c>
      <c r="AN244">
        <v>30.4</v>
      </c>
      <c r="AO244">
        <v>95.1</v>
      </c>
      <c r="AP244">
        <v>91.3</v>
      </c>
      <c r="AQ244">
        <v>93.8</v>
      </c>
    </row>
    <row r="245" spans="1:44" x14ac:dyDescent="0.25">
      <c r="A245">
        <v>385</v>
      </c>
      <c r="B245">
        <v>2009</v>
      </c>
      <c r="C245">
        <v>1.6799999999999999E-2</v>
      </c>
      <c r="D245">
        <v>2.8799999999999999E-2</v>
      </c>
      <c r="E245">
        <v>4.0099999999999997E-2</v>
      </c>
      <c r="F245">
        <v>55.1</v>
      </c>
      <c r="G245">
        <v>57.9</v>
      </c>
      <c r="H245">
        <v>29.6</v>
      </c>
      <c r="I245">
        <v>54.6</v>
      </c>
      <c r="J245">
        <v>53.2</v>
      </c>
      <c r="K245">
        <v>55.1</v>
      </c>
      <c r="AG245">
        <v>385</v>
      </c>
      <c r="AH245">
        <v>3243</v>
      </c>
      <c r="AI245">
        <v>1.9400000000000001E-2</v>
      </c>
      <c r="AJ245">
        <v>2.9100000000000001E-2</v>
      </c>
      <c r="AK245">
        <v>4.0800000000000003E-2</v>
      </c>
      <c r="AL245">
        <v>96.2</v>
      </c>
      <c r="AM245">
        <v>103.1</v>
      </c>
      <c r="AN245">
        <v>30.3</v>
      </c>
      <c r="AO245">
        <v>95.5</v>
      </c>
      <c r="AP245">
        <v>91.6</v>
      </c>
      <c r="AQ245">
        <v>94</v>
      </c>
    </row>
    <row r="246" spans="1:44" x14ac:dyDescent="0.25">
      <c r="A246">
        <v>390</v>
      </c>
      <c r="B246">
        <v>2009</v>
      </c>
      <c r="C246">
        <v>1.6799999999999999E-2</v>
      </c>
      <c r="D246">
        <v>2.87E-2</v>
      </c>
      <c r="E246">
        <v>0.04</v>
      </c>
      <c r="F246">
        <v>55.3</v>
      </c>
      <c r="G246">
        <v>58.1</v>
      </c>
      <c r="H246">
        <v>29.8</v>
      </c>
      <c r="I246">
        <v>54.8</v>
      </c>
      <c r="J246">
        <v>53.3</v>
      </c>
      <c r="K246">
        <v>55.2</v>
      </c>
      <c r="AG246">
        <v>390</v>
      </c>
      <c r="AH246">
        <v>3232</v>
      </c>
      <c r="AI246">
        <v>1.9400000000000001E-2</v>
      </c>
      <c r="AJ246">
        <v>2.9100000000000001E-2</v>
      </c>
      <c r="AK246">
        <v>4.0800000000000003E-2</v>
      </c>
      <c r="AL246">
        <v>96.4</v>
      </c>
      <c r="AM246">
        <v>103.2</v>
      </c>
      <c r="AN246">
        <v>30.3</v>
      </c>
      <c r="AO246">
        <v>95.6</v>
      </c>
      <c r="AP246">
        <v>91.7</v>
      </c>
      <c r="AQ246">
        <v>94.2</v>
      </c>
    </row>
    <row r="247" spans="1:44" x14ac:dyDescent="0.25">
      <c r="A247">
        <v>395</v>
      </c>
      <c r="B247">
        <v>2014</v>
      </c>
      <c r="C247">
        <v>1.6899999999999998E-2</v>
      </c>
      <c r="D247">
        <v>2.9100000000000001E-2</v>
      </c>
      <c r="E247">
        <v>4.0099999999999997E-2</v>
      </c>
      <c r="F247">
        <v>55.4</v>
      </c>
      <c r="G247">
        <v>58.2</v>
      </c>
      <c r="H247">
        <v>29.7</v>
      </c>
      <c r="I247">
        <v>54.9</v>
      </c>
      <c r="J247">
        <v>53.5</v>
      </c>
      <c r="K247">
        <v>55.4</v>
      </c>
      <c r="AG247">
        <v>395</v>
      </c>
      <c r="AH247">
        <v>3212</v>
      </c>
      <c r="AI247">
        <v>1.9400000000000001E-2</v>
      </c>
      <c r="AJ247">
        <v>2.9000000000000001E-2</v>
      </c>
      <c r="AK247">
        <v>4.0800000000000003E-2</v>
      </c>
      <c r="AL247">
        <v>96.3</v>
      </c>
      <c r="AM247">
        <v>103.1</v>
      </c>
      <c r="AN247">
        <v>30.4</v>
      </c>
      <c r="AO247">
        <v>95.6</v>
      </c>
      <c r="AP247">
        <v>91.7</v>
      </c>
      <c r="AQ247">
        <v>94.2</v>
      </c>
    </row>
    <row r="248" spans="1:44" x14ac:dyDescent="0.25">
      <c r="A248">
        <v>400</v>
      </c>
      <c r="B248">
        <v>2012</v>
      </c>
      <c r="C248">
        <v>1.6899999999999998E-2</v>
      </c>
      <c r="D248">
        <v>2.87E-2</v>
      </c>
      <c r="E248">
        <v>4.0099999999999997E-2</v>
      </c>
      <c r="F248">
        <v>55.4</v>
      </c>
      <c r="G248">
        <v>58.2</v>
      </c>
      <c r="H248">
        <v>29.5</v>
      </c>
      <c r="I248">
        <v>55</v>
      </c>
      <c r="J248">
        <v>53.5</v>
      </c>
      <c r="K248">
        <v>55.4</v>
      </c>
      <c r="AG248">
        <v>400</v>
      </c>
      <c r="AH248">
        <v>3217</v>
      </c>
      <c r="AI248">
        <v>1.9400000000000001E-2</v>
      </c>
      <c r="AJ248">
        <v>2.9100000000000001E-2</v>
      </c>
      <c r="AK248">
        <v>4.0800000000000003E-2</v>
      </c>
      <c r="AL248">
        <v>96.3</v>
      </c>
      <c r="AM248">
        <v>103.1</v>
      </c>
      <c r="AN248">
        <v>30.4</v>
      </c>
      <c r="AO248">
        <v>95.5</v>
      </c>
      <c r="AP248">
        <v>91.7</v>
      </c>
      <c r="AQ248">
        <v>94.2</v>
      </c>
    </row>
    <row r="249" spans="1:44" x14ac:dyDescent="0.25">
      <c r="A249">
        <v>405</v>
      </c>
      <c r="B249">
        <v>2012</v>
      </c>
      <c r="C249">
        <v>1.6899999999999998E-2</v>
      </c>
      <c r="D249">
        <v>2.86E-2</v>
      </c>
      <c r="E249">
        <v>0.04</v>
      </c>
      <c r="F249">
        <v>55.6</v>
      </c>
      <c r="G249">
        <v>58.4</v>
      </c>
      <c r="H249">
        <v>29.7</v>
      </c>
      <c r="I249">
        <v>55.1</v>
      </c>
      <c r="J249">
        <v>53.6</v>
      </c>
      <c r="K249">
        <v>55.6</v>
      </c>
      <c r="AG249">
        <v>405</v>
      </c>
      <c r="AH249">
        <v>3216</v>
      </c>
      <c r="AI249">
        <v>1.9400000000000001E-2</v>
      </c>
      <c r="AJ249">
        <v>2.9100000000000001E-2</v>
      </c>
      <c r="AK249">
        <v>4.0800000000000003E-2</v>
      </c>
      <c r="AL249">
        <v>96.3</v>
      </c>
      <c r="AM249">
        <v>103.1</v>
      </c>
      <c r="AN249">
        <v>30.6</v>
      </c>
      <c r="AO249">
        <v>95.5</v>
      </c>
      <c r="AP249">
        <v>91.7</v>
      </c>
      <c r="AQ249">
        <v>94.3</v>
      </c>
    </row>
    <row r="250" spans="1:44" x14ac:dyDescent="0.25">
      <c r="A250">
        <v>410</v>
      </c>
      <c r="B250">
        <v>2016</v>
      </c>
      <c r="C250">
        <v>1.6899999999999998E-2</v>
      </c>
      <c r="D250">
        <v>2.87E-2</v>
      </c>
      <c r="E250">
        <v>4.0099999999999997E-2</v>
      </c>
      <c r="F250">
        <v>55.8</v>
      </c>
      <c r="G250">
        <v>58.5</v>
      </c>
      <c r="H250">
        <v>29.8</v>
      </c>
      <c r="I250">
        <v>55.2</v>
      </c>
      <c r="J250">
        <v>53.8</v>
      </c>
      <c r="K250">
        <v>55.8</v>
      </c>
      <c r="AG250">
        <v>410</v>
      </c>
      <c r="AH250">
        <v>3231</v>
      </c>
      <c r="AI250">
        <v>1.9400000000000001E-2</v>
      </c>
      <c r="AJ250">
        <v>2.9000000000000001E-2</v>
      </c>
      <c r="AK250">
        <v>4.0800000000000003E-2</v>
      </c>
      <c r="AL250">
        <v>96.5</v>
      </c>
      <c r="AM250">
        <v>103.3</v>
      </c>
      <c r="AN250">
        <v>30.5</v>
      </c>
      <c r="AO250">
        <v>95.7</v>
      </c>
      <c r="AP250">
        <v>91.8</v>
      </c>
      <c r="AQ250">
        <v>94.5</v>
      </c>
    </row>
    <row r="251" spans="1:44" x14ac:dyDescent="0.25">
      <c r="A251">
        <v>415</v>
      </c>
      <c r="B251">
        <v>2012</v>
      </c>
      <c r="C251">
        <v>1.6899999999999998E-2</v>
      </c>
      <c r="D251">
        <v>2.87E-2</v>
      </c>
      <c r="E251">
        <v>4.0099999999999997E-2</v>
      </c>
      <c r="F251">
        <v>56</v>
      </c>
      <c r="G251">
        <v>58.7</v>
      </c>
      <c r="H251">
        <v>29.9</v>
      </c>
      <c r="I251">
        <v>55.4</v>
      </c>
      <c r="J251">
        <v>53.9</v>
      </c>
      <c r="K251">
        <v>55.9</v>
      </c>
      <c r="AG251">
        <v>415</v>
      </c>
      <c r="AH251">
        <v>3224</v>
      </c>
      <c r="AI251">
        <v>1.9400000000000001E-2</v>
      </c>
      <c r="AJ251">
        <v>2.9000000000000001E-2</v>
      </c>
      <c r="AK251">
        <v>4.0800000000000003E-2</v>
      </c>
      <c r="AL251">
        <v>96.6</v>
      </c>
      <c r="AM251">
        <v>103.3</v>
      </c>
      <c r="AN251">
        <v>30.5</v>
      </c>
      <c r="AO251">
        <v>95.8</v>
      </c>
      <c r="AP251">
        <v>92</v>
      </c>
      <c r="AQ251">
        <v>94.5</v>
      </c>
    </row>
    <row r="252" spans="1:44" x14ac:dyDescent="0.25">
      <c r="A252">
        <v>420</v>
      </c>
      <c r="B252">
        <v>2015</v>
      </c>
      <c r="C252">
        <v>1.6899999999999998E-2</v>
      </c>
      <c r="D252">
        <v>2.8899999999999999E-2</v>
      </c>
      <c r="E252">
        <v>4.02E-2</v>
      </c>
      <c r="F252">
        <v>55.9</v>
      </c>
      <c r="G252">
        <v>58.7</v>
      </c>
      <c r="H252">
        <v>29.7</v>
      </c>
      <c r="I252">
        <v>55.4</v>
      </c>
      <c r="J252">
        <v>53.9</v>
      </c>
      <c r="K252">
        <v>56</v>
      </c>
      <c r="AG252">
        <v>420</v>
      </c>
      <c r="AH252">
        <v>3223</v>
      </c>
      <c r="AI252">
        <v>1.9400000000000001E-2</v>
      </c>
      <c r="AJ252">
        <v>2.9100000000000001E-2</v>
      </c>
      <c r="AK252">
        <v>4.0800000000000003E-2</v>
      </c>
      <c r="AL252">
        <v>96.7</v>
      </c>
      <c r="AM252">
        <v>103.5</v>
      </c>
      <c r="AN252">
        <v>30.4</v>
      </c>
      <c r="AO252">
        <v>96</v>
      </c>
      <c r="AP252">
        <v>92.1</v>
      </c>
      <c r="AQ252">
        <v>94.6</v>
      </c>
    </row>
    <row r="253" spans="1:44" x14ac:dyDescent="0.25">
      <c r="A253">
        <v>425</v>
      </c>
      <c r="B253">
        <v>2010</v>
      </c>
      <c r="C253">
        <v>1.6899999999999998E-2</v>
      </c>
      <c r="D253">
        <v>2.8799999999999999E-2</v>
      </c>
      <c r="E253">
        <v>4.02E-2</v>
      </c>
      <c r="F253">
        <v>56.1</v>
      </c>
      <c r="G253">
        <v>58.9</v>
      </c>
      <c r="H253">
        <v>29.8</v>
      </c>
      <c r="I253">
        <v>55.5</v>
      </c>
      <c r="J253">
        <v>54.1</v>
      </c>
      <c r="K253">
        <v>56.1</v>
      </c>
      <c r="AG253">
        <v>425</v>
      </c>
      <c r="AH253">
        <v>3231</v>
      </c>
      <c r="AI253">
        <v>1.9400000000000001E-2</v>
      </c>
      <c r="AJ253">
        <v>2.9100000000000001E-2</v>
      </c>
      <c r="AK253">
        <v>4.0899999999999999E-2</v>
      </c>
      <c r="AL253">
        <v>96.9</v>
      </c>
      <c r="AM253">
        <v>103.6</v>
      </c>
      <c r="AN253">
        <v>30.4</v>
      </c>
      <c r="AO253">
        <v>96.1</v>
      </c>
      <c r="AP253">
        <v>92.2</v>
      </c>
      <c r="AQ253">
        <v>94.7</v>
      </c>
    </row>
    <row r="254" spans="1:44" x14ac:dyDescent="0.25">
      <c r="A254">
        <v>430</v>
      </c>
      <c r="B254">
        <v>2009</v>
      </c>
      <c r="C254">
        <v>1.6899999999999998E-2</v>
      </c>
      <c r="D254">
        <v>2.8899999999999999E-2</v>
      </c>
      <c r="E254">
        <v>4.0300000000000002E-2</v>
      </c>
      <c r="F254">
        <v>56.2</v>
      </c>
      <c r="G254">
        <v>59</v>
      </c>
      <c r="H254">
        <v>29.8</v>
      </c>
      <c r="I254">
        <v>55.7</v>
      </c>
      <c r="J254">
        <v>54.2</v>
      </c>
      <c r="K254">
        <v>56.2</v>
      </c>
      <c r="AG254" s="12">
        <v>430</v>
      </c>
      <c r="AH254" s="12">
        <v>3264</v>
      </c>
      <c r="AI254" s="12">
        <v>1.9400000000000001E-2</v>
      </c>
      <c r="AJ254" s="12">
        <v>2.92E-2</v>
      </c>
      <c r="AK254" s="12">
        <v>4.0899999999999999E-2</v>
      </c>
      <c r="AL254" s="12">
        <v>97</v>
      </c>
      <c r="AM254" s="12">
        <v>103.8</v>
      </c>
      <c r="AN254" s="12">
        <v>30.8</v>
      </c>
      <c r="AO254" s="12">
        <v>96.2</v>
      </c>
      <c r="AP254" s="12">
        <v>92.3</v>
      </c>
      <c r="AQ254" s="12">
        <v>94.9</v>
      </c>
      <c r="AR254" s="14">
        <v>73</v>
      </c>
    </row>
    <row r="255" spans="1:44" x14ac:dyDescent="0.25">
      <c r="A255">
        <v>435</v>
      </c>
      <c r="B255">
        <v>2013</v>
      </c>
      <c r="C255">
        <v>1.6899999999999998E-2</v>
      </c>
      <c r="D255">
        <v>2.8799999999999999E-2</v>
      </c>
      <c r="E255">
        <v>4.0099999999999997E-2</v>
      </c>
      <c r="F255">
        <v>56.3</v>
      </c>
      <c r="G255">
        <v>59</v>
      </c>
      <c r="H255">
        <v>29.7</v>
      </c>
      <c r="I255">
        <v>55.8</v>
      </c>
      <c r="J255">
        <v>54.3</v>
      </c>
      <c r="K255">
        <v>56.3</v>
      </c>
    </row>
    <row r="256" spans="1:44" x14ac:dyDescent="0.25">
      <c r="A256">
        <v>440</v>
      </c>
      <c r="B256">
        <v>2015</v>
      </c>
      <c r="C256">
        <v>1.6899999999999998E-2</v>
      </c>
      <c r="D256">
        <v>2.87E-2</v>
      </c>
      <c r="E256">
        <v>4.0099999999999997E-2</v>
      </c>
      <c r="F256">
        <v>56.3</v>
      </c>
      <c r="G256">
        <v>59.1</v>
      </c>
      <c r="H256">
        <v>29.8</v>
      </c>
      <c r="I256">
        <v>55.9</v>
      </c>
      <c r="J256">
        <v>54.3</v>
      </c>
      <c r="K256">
        <v>56.3</v>
      </c>
    </row>
    <row r="257" spans="1:12" x14ac:dyDescent="0.25">
      <c r="A257">
        <v>445</v>
      </c>
      <c r="B257">
        <v>2015</v>
      </c>
      <c r="C257">
        <v>1.6899999999999998E-2</v>
      </c>
      <c r="D257">
        <v>2.87E-2</v>
      </c>
      <c r="E257">
        <v>4.0099999999999997E-2</v>
      </c>
      <c r="F257">
        <v>56.3</v>
      </c>
      <c r="G257">
        <v>59.1</v>
      </c>
      <c r="H257">
        <v>29.8</v>
      </c>
      <c r="I257">
        <v>55.9</v>
      </c>
      <c r="J257">
        <v>54.3</v>
      </c>
      <c r="K257">
        <v>56.3</v>
      </c>
    </row>
    <row r="258" spans="1:12" x14ac:dyDescent="0.25">
      <c r="A258">
        <v>450</v>
      </c>
      <c r="B258">
        <v>2012</v>
      </c>
      <c r="C258">
        <v>1.6899999999999998E-2</v>
      </c>
      <c r="D258">
        <v>2.87E-2</v>
      </c>
      <c r="E258">
        <v>4.0099999999999997E-2</v>
      </c>
      <c r="F258">
        <v>56.2</v>
      </c>
      <c r="G258">
        <v>59</v>
      </c>
      <c r="H258">
        <v>29.8</v>
      </c>
      <c r="I258">
        <v>55.8</v>
      </c>
      <c r="J258">
        <v>54.3</v>
      </c>
      <c r="K258">
        <v>56.3</v>
      </c>
    </row>
    <row r="259" spans="1:12" x14ac:dyDescent="0.25">
      <c r="A259">
        <v>455</v>
      </c>
      <c r="B259">
        <v>2019</v>
      </c>
      <c r="C259">
        <v>1.6899999999999998E-2</v>
      </c>
      <c r="D259">
        <v>2.87E-2</v>
      </c>
      <c r="E259">
        <v>0.04</v>
      </c>
      <c r="F259">
        <v>56.4</v>
      </c>
      <c r="G259">
        <v>59.1</v>
      </c>
      <c r="H259">
        <v>29.8</v>
      </c>
      <c r="I259">
        <v>55.9</v>
      </c>
      <c r="J259">
        <v>54.4</v>
      </c>
      <c r="K259">
        <v>56.3</v>
      </c>
    </row>
    <row r="260" spans="1:12" x14ac:dyDescent="0.25">
      <c r="A260">
        <v>460</v>
      </c>
      <c r="B260">
        <v>2016</v>
      </c>
      <c r="C260">
        <v>1.6899999999999998E-2</v>
      </c>
      <c r="D260">
        <v>2.8799999999999999E-2</v>
      </c>
      <c r="E260">
        <v>4.02E-2</v>
      </c>
      <c r="F260">
        <v>56.4</v>
      </c>
      <c r="G260">
        <v>59.1</v>
      </c>
      <c r="H260">
        <v>29.8</v>
      </c>
      <c r="I260">
        <v>56</v>
      </c>
      <c r="J260">
        <v>54.4</v>
      </c>
      <c r="K260">
        <v>56.4</v>
      </c>
    </row>
    <row r="261" spans="1:12" x14ac:dyDescent="0.25">
      <c r="A261">
        <v>465</v>
      </c>
      <c r="B261">
        <v>2016</v>
      </c>
      <c r="C261">
        <v>1.6899999999999998E-2</v>
      </c>
      <c r="D261">
        <v>2.8799999999999999E-2</v>
      </c>
      <c r="E261">
        <v>4.0099999999999997E-2</v>
      </c>
      <c r="F261">
        <v>56.4</v>
      </c>
      <c r="G261">
        <v>59.2</v>
      </c>
      <c r="H261">
        <v>29.8</v>
      </c>
      <c r="I261">
        <v>56</v>
      </c>
      <c r="J261">
        <v>54.4</v>
      </c>
      <c r="K261">
        <v>56.5</v>
      </c>
    </row>
    <row r="262" spans="1:12" x14ac:dyDescent="0.25">
      <c r="A262">
        <v>470</v>
      </c>
      <c r="B262">
        <v>2016</v>
      </c>
      <c r="C262">
        <v>1.6899999999999998E-2</v>
      </c>
      <c r="D262">
        <v>2.8799999999999999E-2</v>
      </c>
      <c r="E262">
        <v>4.0099999999999997E-2</v>
      </c>
      <c r="F262">
        <v>56.4</v>
      </c>
      <c r="G262">
        <v>59.2</v>
      </c>
      <c r="H262">
        <v>29.8</v>
      </c>
      <c r="I262">
        <v>56</v>
      </c>
      <c r="J262">
        <v>54.5</v>
      </c>
      <c r="K262">
        <v>56.4</v>
      </c>
    </row>
    <row r="263" spans="1:12" x14ac:dyDescent="0.25">
      <c r="A263">
        <v>475</v>
      </c>
      <c r="B263">
        <v>2012</v>
      </c>
      <c r="C263">
        <v>1.7000000000000001E-2</v>
      </c>
      <c r="D263">
        <v>2.8799999999999999E-2</v>
      </c>
      <c r="E263">
        <v>4.02E-2</v>
      </c>
      <c r="F263">
        <v>56.5</v>
      </c>
      <c r="G263">
        <v>59.3</v>
      </c>
      <c r="H263">
        <v>29.9</v>
      </c>
      <c r="I263">
        <v>56</v>
      </c>
      <c r="J263">
        <v>54.6</v>
      </c>
      <c r="K263">
        <v>56.5</v>
      </c>
    </row>
    <row r="264" spans="1:12" x14ac:dyDescent="0.25">
      <c r="A264" s="12">
        <v>480</v>
      </c>
      <c r="B264" s="12">
        <v>2016</v>
      </c>
      <c r="C264" s="12">
        <v>1.6899999999999998E-2</v>
      </c>
      <c r="D264" s="12">
        <v>2.8799999999999999E-2</v>
      </c>
      <c r="E264" s="12">
        <v>4.0099999999999997E-2</v>
      </c>
      <c r="F264" s="12">
        <v>56.4</v>
      </c>
      <c r="G264" s="12">
        <v>59.3</v>
      </c>
      <c r="H264" s="12">
        <v>29.9</v>
      </c>
      <c r="I264" s="12">
        <v>56.1</v>
      </c>
      <c r="J264" s="12">
        <v>54.5</v>
      </c>
      <c r="K264" s="12">
        <v>56.5</v>
      </c>
      <c r="L264" s="14">
        <v>29.3</v>
      </c>
    </row>
  </sheetData>
  <mergeCells count="6">
    <mergeCell ref="A167:I167"/>
    <mergeCell ref="Z168:AB168"/>
    <mergeCell ref="A1:H1"/>
    <mergeCell ref="A78:I78"/>
    <mergeCell ref="R2:T2"/>
    <mergeCell ref="W2:Y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87"/>
  <sheetViews>
    <sheetView topLeftCell="J92" workbookViewId="0">
      <selection activeCell="P117" sqref="P117:R117"/>
    </sheetView>
  </sheetViews>
  <sheetFormatPr defaultRowHeight="15" x14ac:dyDescent="0.25"/>
  <sheetData>
    <row r="1" spans="1:38" x14ac:dyDescent="0.25">
      <c r="A1" s="179" t="s">
        <v>36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</row>
    <row r="2" spans="1:38" x14ac:dyDescent="0.25">
      <c r="A2" t="s">
        <v>27</v>
      </c>
      <c r="B2" t="s">
        <v>28</v>
      </c>
      <c r="C2" t="s">
        <v>44</v>
      </c>
      <c r="D2" t="s">
        <v>45</v>
      </c>
      <c r="E2" t="s">
        <v>46</v>
      </c>
      <c r="F2" t="s">
        <v>53</v>
      </c>
      <c r="G2" t="s">
        <v>47</v>
      </c>
      <c r="H2" t="s">
        <v>29</v>
      </c>
      <c r="I2" t="s">
        <v>32</v>
      </c>
      <c r="J2" t="s">
        <v>54</v>
      </c>
      <c r="AC2" t="s">
        <v>27</v>
      </c>
      <c r="AD2" t="s">
        <v>28</v>
      </c>
      <c r="AE2" t="s">
        <v>44</v>
      </c>
      <c r="AF2" t="s">
        <v>45</v>
      </c>
      <c r="AG2" t="s">
        <v>46</v>
      </c>
      <c r="AH2" t="s">
        <v>53</v>
      </c>
      <c r="AI2" t="s">
        <v>47</v>
      </c>
      <c r="AJ2" t="s">
        <v>29</v>
      </c>
      <c r="AK2" t="s">
        <v>32</v>
      </c>
      <c r="AL2" t="s">
        <v>54</v>
      </c>
    </row>
    <row r="3" spans="1:38" x14ac:dyDescent="0.25">
      <c r="A3">
        <v>5</v>
      </c>
      <c r="F3">
        <v>27.6</v>
      </c>
      <c r="G3">
        <v>28.5</v>
      </c>
      <c r="H3">
        <v>26.9</v>
      </c>
      <c r="I3">
        <v>27.9</v>
      </c>
      <c r="J3">
        <v>27.1</v>
      </c>
      <c r="T3" s="173" t="s">
        <v>55</v>
      </c>
      <c r="U3" s="173"/>
      <c r="V3" s="173"/>
      <c r="W3" s="173"/>
      <c r="X3" s="173"/>
      <c r="Y3" s="173"/>
      <c r="AC3">
        <v>5</v>
      </c>
    </row>
    <row r="4" spans="1:38" x14ac:dyDescent="0.25">
      <c r="A4">
        <v>10</v>
      </c>
      <c r="B4">
        <v>1618</v>
      </c>
      <c r="C4">
        <v>1.7100000000000001E-2</v>
      </c>
      <c r="D4">
        <v>3.2599999999999997E-2</v>
      </c>
      <c r="E4">
        <v>4.53E-2</v>
      </c>
      <c r="F4">
        <v>30.5</v>
      </c>
      <c r="G4">
        <v>33.200000000000003</v>
      </c>
      <c r="H4">
        <v>27.1</v>
      </c>
      <c r="I4">
        <v>30.4</v>
      </c>
      <c r="J4">
        <v>29.6</v>
      </c>
      <c r="T4">
        <v>20.399999999999999</v>
      </c>
      <c r="U4">
        <v>29.4</v>
      </c>
      <c r="V4">
        <v>32.299999999999997</v>
      </c>
      <c r="W4">
        <v>47.6</v>
      </c>
      <c r="X4">
        <v>48.3</v>
      </c>
      <c r="Y4">
        <v>80.7</v>
      </c>
      <c r="AC4">
        <v>10</v>
      </c>
      <c r="AD4">
        <v>2038</v>
      </c>
      <c r="AE4">
        <v>1.6899999999999998E-2</v>
      </c>
      <c r="AF4">
        <v>3.27E-2</v>
      </c>
      <c r="AG4">
        <v>4.5199999999999997E-2</v>
      </c>
      <c r="AH4">
        <v>26.4</v>
      </c>
      <c r="AI4">
        <v>29.1</v>
      </c>
      <c r="AJ4">
        <v>22.1</v>
      </c>
      <c r="AK4">
        <v>26.3</v>
      </c>
      <c r="AL4">
        <v>25.8</v>
      </c>
    </row>
    <row r="5" spans="1:38" x14ac:dyDescent="0.25">
      <c r="A5">
        <v>15</v>
      </c>
      <c r="B5">
        <v>1621</v>
      </c>
      <c r="C5">
        <v>1.72E-2</v>
      </c>
      <c r="D5">
        <v>3.2599999999999997E-2</v>
      </c>
      <c r="E5">
        <v>4.5400000000000003E-2</v>
      </c>
      <c r="F5">
        <v>33.299999999999997</v>
      </c>
      <c r="G5">
        <v>36.6</v>
      </c>
      <c r="H5">
        <v>27.2</v>
      </c>
      <c r="I5">
        <v>33</v>
      </c>
      <c r="J5">
        <v>32.4</v>
      </c>
      <c r="T5">
        <v>1600</v>
      </c>
      <c r="U5">
        <v>2000</v>
      </c>
      <c r="V5">
        <v>2000</v>
      </c>
      <c r="W5">
        <v>2500</v>
      </c>
      <c r="X5">
        <v>2500</v>
      </c>
      <c r="Y5">
        <v>3200</v>
      </c>
      <c r="AC5">
        <v>15</v>
      </c>
      <c r="AD5">
        <v>2031</v>
      </c>
      <c r="AE5">
        <v>1.72E-2</v>
      </c>
      <c r="AF5">
        <v>3.27E-2</v>
      </c>
      <c r="AG5">
        <v>4.53E-2</v>
      </c>
      <c r="AH5">
        <v>30.8</v>
      </c>
      <c r="AI5">
        <v>34.200000000000003</v>
      </c>
      <c r="AJ5">
        <v>22.1</v>
      </c>
      <c r="AK5">
        <v>30</v>
      </c>
      <c r="AL5">
        <v>29.6</v>
      </c>
    </row>
    <row r="6" spans="1:38" x14ac:dyDescent="0.25">
      <c r="A6">
        <v>20</v>
      </c>
      <c r="B6">
        <v>1616</v>
      </c>
      <c r="C6">
        <v>1.7399999999999999E-2</v>
      </c>
      <c r="D6">
        <v>3.2599999999999997E-2</v>
      </c>
      <c r="E6">
        <v>4.5400000000000003E-2</v>
      </c>
      <c r="F6">
        <v>35.6</v>
      </c>
      <c r="G6">
        <v>38.799999999999997</v>
      </c>
      <c r="H6">
        <v>27.1</v>
      </c>
      <c r="I6">
        <v>35.1</v>
      </c>
      <c r="J6">
        <v>34.700000000000003</v>
      </c>
      <c r="AC6">
        <v>20</v>
      </c>
      <c r="AD6">
        <v>2025</v>
      </c>
      <c r="AE6">
        <v>1.7399999999999999E-2</v>
      </c>
      <c r="AF6">
        <v>3.2800000000000003E-2</v>
      </c>
      <c r="AG6">
        <v>4.5400000000000003E-2</v>
      </c>
      <c r="AH6">
        <v>34.6</v>
      </c>
      <c r="AI6">
        <v>38.1</v>
      </c>
      <c r="AJ6">
        <v>22.3</v>
      </c>
      <c r="AK6">
        <v>33.4</v>
      </c>
      <c r="AL6">
        <v>33.1</v>
      </c>
    </row>
    <row r="7" spans="1:38" x14ac:dyDescent="0.25">
      <c r="A7">
        <v>25</v>
      </c>
      <c r="B7">
        <v>1623</v>
      </c>
      <c r="C7">
        <v>1.7399999999999999E-2</v>
      </c>
      <c r="D7">
        <v>3.2399999999999998E-2</v>
      </c>
      <c r="E7">
        <v>4.53E-2</v>
      </c>
      <c r="F7">
        <v>37.299999999999997</v>
      </c>
      <c r="G7">
        <v>40.1</v>
      </c>
      <c r="H7">
        <v>27.2</v>
      </c>
      <c r="I7">
        <v>36.700000000000003</v>
      </c>
      <c r="J7">
        <v>36.200000000000003</v>
      </c>
      <c r="AC7">
        <v>25</v>
      </c>
      <c r="AD7">
        <v>2022</v>
      </c>
      <c r="AE7">
        <v>1.7500000000000002E-2</v>
      </c>
      <c r="AF7">
        <v>3.2800000000000003E-2</v>
      </c>
      <c r="AG7">
        <v>4.5499999999999999E-2</v>
      </c>
      <c r="AH7">
        <v>37.299999999999997</v>
      </c>
      <c r="AI7">
        <v>41</v>
      </c>
      <c r="AJ7">
        <v>22.5</v>
      </c>
      <c r="AK7">
        <v>36</v>
      </c>
      <c r="AL7">
        <v>35.5</v>
      </c>
    </row>
    <row r="8" spans="1:38" x14ac:dyDescent="0.25">
      <c r="A8">
        <v>30</v>
      </c>
      <c r="B8">
        <v>1623</v>
      </c>
      <c r="C8">
        <v>1.7600000000000001E-2</v>
      </c>
      <c r="D8">
        <v>3.2399999999999998E-2</v>
      </c>
      <c r="E8">
        <v>4.5400000000000003E-2</v>
      </c>
      <c r="F8">
        <v>38.9</v>
      </c>
      <c r="G8">
        <v>41.6</v>
      </c>
      <c r="H8">
        <v>27.7</v>
      </c>
      <c r="I8">
        <v>38.4</v>
      </c>
      <c r="J8">
        <v>37.700000000000003</v>
      </c>
      <c r="AC8">
        <v>30</v>
      </c>
      <c r="AD8">
        <v>2029</v>
      </c>
      <c r="AE8">
        <v>1.77E-2</v>
      </c>
      <c r="AF8">
        <v>3.2800000000000003E-2</v>
      </c>
      <c r="AG8">
        <v>4.5600000000000002E-2</v>
      </c>
      <c r="AH8">
        <v>39.4</v>
      </c>
      <c r="AI8">
        <v>43.1</v>
      </c>
      <c r="AJ8">
        <v>22.8</v>
      </c>
      <c r="AK8">
        <v>38.299999999999997</v>
      </c>
      <c r="AL8">
        <v>37.5</v>
      </c>
    </row>
    <row r="9" spans="1:38" x14ac:dyDescent="0.25">
      <c r="A9">
        <v>35</v>
      </c>
      <c r="B9">
        <v>1615</v>
      </c>
      <c r="C9">
        <v>1.7600000000000001E-2</v>
      </c>
      <c r="D9">
        <v>3.2800000000000003E-2</v>
      </c>
      <c r="E9">
        <v>4.5699999999999998E-2</v>
      </c>
      <c r="F9">
        <v>40.200000000000003</v>
      </c>
      <c r="G9">
        <v>42.6</v>
      </c>
      <c r="H9">
        <v>27.1</v>
      </c>
      <c r="I9">
        <v>39.6</v>
      </c>
      <c r="J9">
        <v>38.700000000000003</v>
      </c>
      <c r="T9">
        <v>30</v>
      </c>
      <c r="U9">
        <v>50</v>
      </c>
      <c r="V9">
        <v>70</v>
      </c>
      <c r="AC9">
        <v>35</v>
      </c>
      <c r="AD9">
        <v>2024</v>
      </c>
      <c r="AE9">
        <v>1.78E-2</v>
      </c>
      <c r="AF9">
        <v>3.2800000000000003E-2</v>
      </c>
      <c r="AG9">
        <v>4.5699999999999998E-2</v>
      </c>
      <c r="AH9">
        <v>41.2</v>
      </c>
      <c r="AI9">
        <v>44.9</v>
      </c>
      <c r="AJ9">
        <v>22.6</v>
      </c>
      <c r="AK9">
        <v>40.1</v>
      </c>
      <c r="AL9">
        <v>39.1</v>
      </c>
    </row>
    <row r="10" spans="1:38" x14ac:dyDescent="0.25">
      <c r="A10">
        <v>40</v>
      </c>
      <c r="B10">
        <v>1616</v>
      </c>
      <c r="C10">
        <v>1.7600000000000001E-2</v>
      </c>
      <c r="D10">
        <v>3.2599999999999997E-2</v>
      </c>
      <c r="E10">
        <v>4.5600000000000002E-2</v>
      </c>
      <c r="F10">
        <v>40.700000000000003</v>
      </c>
      <c r="G10">
        <v>43.1</v>
      </c>
      <c r="H10">
        <v>26.5</v>
      </c>
      <c r="I10">
        <v>40.299999999999997</v>
      </c>
      <c r="J10">
        <v>39.1</v>
      </c>
      <c r="T10" s="8">
        <f>357.26*T9^0.5012</f>
        <v>1964.7964589561195</v>
      </c>
      <c r="U10" s="8">
        <f t="shared" ref="U10:V10" si="0">357.26*U9^0.5012</f>
        <v>2538.0966744311822</v>
      </c>
      <c r="V10" s="8">
        <f t="shared" si="0"/>
        <v>3004.3292878437278</v>
      </c>
      <c r="AC10">
        <v>40</v>
      </c>
      <c r="AD10">
        <v>2023</v>
      </c>
      <c r="AE10">
        <v>1.7899999999999999E-2</v>
      </c>
      <c r="AF10">
        <v>3.2899999999999999E-2</v>
      </c>
      <c r="AG10">
        <v>4.5699999999999998E-2</v>
      </c>
      <c r="AH10">
        <v>42.7</v>
      </c>
      <c r="AI10">
        <v>46.4</v>
      </c>
      <c r="AJ10">
        <v>22.8</v>
      </c>
      <c r="AK10">
        <v>41.7</v>
      </c>
      <c r="AL10">
        <v>40.5</v>
      </c>
    </row>
    <row r="11" spans="1:38" x14ac:dyDescent="0.25">
      <c r="A11">
        <v>45</v>
      </c>
      <c r="B11">
        <v>1615</v>
      </c>
      <c r="C11">
        <v>1.77E-2</v>
      </c>
      <c r="D11">
        <v>3.2399999999999998E-2</v>
      </c>
      <c r="E11">
        <v>4.5499999999999999E-2</v>
      </c>
      <c r="F11">
        <v>40.9</v>
      </c>
      <c r="G11">
        <v>43.2</v>
      </c>
      <c r="H11">
        <v>26.3</v>
      </c>
      <c r="I11">
        <v>40.799999999999997</v>
      </c>
      <c r="J11">
        <v>39.200000000000003</v>
      </c>
      <c r="AC11">
        <v>45</v>
      </c>
      <c r="AD11">
        <v>2025</v>
      </c>
      <c r="AE11">
        <v>1.7999999999999999E-2</v>
      </c>
      <c r="AF11">
        <v>3.2899999999999999E-2</v>
      </c>
      <c r="AG11">
        <v>4.5699999999999998E-2</v>
      </c>
      <c r="AH11">
        <v>44</v>
      </c>
      <c r="AI11">
        <v>47.7</v>
      </c>
      <c r="AJ11">
        <v>23</v>
      </c>
      <c r="AK11">
        <v>43.2</v>
      </c>
      <c r="AL11">
        <v>41.7</v>
      </c>
    </row>
    <row r="12" spans="1:38" x14ac:dyDescent="0.25">
      <c r="A12">
        <v>50</v>
      </c>
      <c r="B12">
        <v>1610</v>
      </c>
      <c r="C12">
        <v>1.78E-2</v>
      </c>
      <c r="D12">
        <v>3.2500000000000001E-2</v>
      </c>
      <c r="E12">
        <v>4.5600000000000002E-2</v>
      </c>
      <c r="F12">
        <v>41.5</v>
      </c>
      <c r="G12">
        <v>43.7</v>
      </c>
      <c r="H12">
        <v>26</v>
      </c>
      <c r="I12">
        <v>41.4</v>
      </c>
      <c r="J12">
        <v>39.700000000000003</v>
      </c>
      <c r="AC12">
        <v>50</v>
      </c>
      <c r="AD12">
        <v>2030</v>
      </c>
      <c r="AE12">
        <v>1.8100000000000002E-2</v>
      </c>
      <c r="AF12">
        <v>3.2800000000000003E-2</v>
      </c>
      <c r="AG12">
        <v>4.5699999999999998E-2</v>
      </c>
      <c r="AH12">
        <v>45</v>
      </c>
      <c r="AI12">
        <v>48.8</v>
      </c>
      <c r="AJ12">
        <v>23.2</v>
      </c>
      <c r="AK12">
        <v>44.4</v>
      </c>
      <c r="AL12">
        <v>42.6</v>
      </c>
    </row>
    <row r="13" spans="1:38" x14ac:dyDescent="0.25">
      <c r="A13">
        <v>55</v>
      </c>
      <c r="B13">
        <v>1616</v>
      </c>
      <c r="C13">
        <v>1.78E-2</v>
      </c>
      <c r="D13">
        <v>3.2500000000000001E-2</v>
      </c>
      <c r="E13">
        <v>4.5600000000000002E-2</v>
      </c>
      <c r="F13">
        <v>41.9</v>
      </c>
      <c r="G13">
        <v>44.1</v>
      </c>
      <c r="H13">
        <v>25.8</v>
      </c>
      <c r="I13">
        <v>42</v>
      </c>
      <c r="J13">
        <v>39.9</v>
      </c>
      <c r="AC13">
        <v>55</v>
      </c>
      <c r="AD13">
        <v>2033</v>
      </c>
      <c r="AE13">
        <v>1.8100000000000002E-2</v>
      </c>
      <c r="AF13">
        <v>3.2800000000000003E-2</v>
      </c>
      <c r="AG13">
        <v>4.58E-2</v>
      </c>
      <c r="AH13">
        <v>45.8</v>
      </c>
      <c r="AI13">
        <v>49.5</v>
      </c>
      <c r="AJ13">
        <v>23</v>
      </c>
      <c r="AK13">
        <v>45.4</v>
      </c>
      <c r="AL13">
        <v>43.3</v>
      </c>
    </row>
    <row r="14" spans="1:38" x14ac:dyDescent="0.25">
      <c r="A14">
        <v>60</v>
      </c>
      <c r="B14">
        <v>1608</v>
      </c>
      <c r="C14">
        <v>1.78E-2</v>
      </c>
      <c r="D14">
        <v>3.2599999999999997E-2</v>
      </c>
      <c r="E14">
        <v>4.5699999999999998E-2</v>
      </c>
      <c r="F14">
        <v>42</v>
      </c>
      <c r="G14">
        <v>44.3</v>
      </c>
      <c r="H14">
        <v>26</v>
      </c>
      <c r="I14">
        <v>42.3</v>
      </c>
      <c r="J14">
        <v>40.1</v>
      </c>
      <c r="AC14">
        <v>60</v>
      </c>
      <c r="AD14">
        <v>2008</v>
      </c>
      <c r="AE14">
        <v>1.8100000000000002E-2</v>
      </c>
      <c r="AF14">
        <v>3.2800000000000003E-2</v>
      </c>
      <c r="AG14">
        <v>4.5699999999999998E-2</v>
      </c>
      <c r="AH14">
        <v>46.6</v>
      </c>
      <c r="AI14">
        <v>50.2</v>
      </c>
      <c r="AJ14">
        <v>22.9</v>
      </c>
      <c r="AK14">
        <v>46.3</v>
      </c>
      <c r="AL14">
        <v>43.9</v>
      </c>
    </row>
    <row r="15" spans="1:38" x14ac:dyDescent="0.25">
      <c r="A15">
        <v>65</v>
      </c>
      <c r="B15">
        <v>1616</v>
      </c>
      <c r="C15">
        <v>1.78E-2</v>
      </c>
      <c r="D15">
        <v>3.2399999999999998E-2</v>
      </c>
      <c r="E15">
        <v>4.5600000000000002E-2</v>
      </c>
      <c r="F15">
        <v>42.2</v>
      </c>
      <c r="G15">
        <v>44.3</v>
      </c>
      <c r="H15">
        <v>26</v>
      </c>
      <c r="I15">
        <v>42.5</v>
      </c>
      <c r="J15">
        <v>40.200000000000003</v>
      </c>
      <c r="AC15">
        <v>65</v>
      </c>
      <c r="AD15">
        <v>2010</v>
      </c>
      <c r="AE15">
        <v>1.8200000000000001E-2</v>
      </c>
      <c r="AF15">
        <v>3.2800000000000003E-2</v>
      </c>
      <c r="AG15">
        <v>4.58E-2</v>
      </c>
      <c r="AH15">
        <v>47</v>
      </c>
      <c r="AI15">
        <v>50.6</v>
      </c>
      <c r="AJ15">
        <v>22.8</v>
      </c>
      <c r="AK15">
        <v>46.9</v>
      </c>
      <c r="AL15">
        <v>44.3</v>
      </c>
    </row>
    <row r="16" spans="1:38" x14ac:dyDescent="0.25">
      <c r="A16">
        <v>70</v>
      </c>
      <c r="B16">
        <v>1608</v>
      </c>
      <c r="C16">
        <v>1.78E-2</v>
      </c>
      <c r="D16">
        <v>3.2599999999999997E-2</v>
      </c>
      <c r="E16">
        <v>4.5600000000000002E-2</v>
      </c>
      <c r="F16">
        <v>42.5</v>
      </c>
      <c r="G16">
        <v>44.6</v>
      </c>
      <c r="H16">
        <v>25.8</v>
      </c>
      <c r="I16">
        <v>42.9</v>
      </c>
      <c r="J16">
        <v>40.4</v>
      </c>
      <c r="AC16">
        <v>70</v>
      </c>
      <c r="AD16">
        <v>2011</v>
      </c>
      <c r="AE16">
        <v>1.8100000000000002E-2</v>
      </c>
      <c r="AF16">
        <v>3.2800000000000003E-2</v>
      </c>
      <c r="AG16">
        <v>4.58E-2</v>
      </c>
      <c r="AH16">
        <v>47.4</v>
      </c>
      <c r="AI16">
        <v>50.9</v>
      </c>
      <c r="AJ16">
        <v>22.6</v>
      </c>
      <c r="AK16">
        <v>47.3</v>
      </c>
      <c r="AL16">
        <v>44.6</v>
      </c>
    </row>
    <row r="17" spans="1:39" x14ac:dyDescent="0.25">
      <c r="A17">
        <v>75</v>
      </c>
      <c r="B17">
        <v>1615</v>
      </c>
      <c r="C17">
        <v>1.78E-2</v>
      </c>
      <c r="D17">
        <v>3.2500000000000001E-2</v>
      </c>
      <c r="E17">
        <v>4.5600000000000002E-2</v>
      </c>
      <c r="F17">
        <v>42.6</v>
      </c>
      <c r="G17">
        <v>44.7</v>
      </c>
      <c r="H17">
        <v>25.7</v>
      </c>
      <c r="I17">
        <v>42.9</v>
      </c>
      <c r="J17">
        <v>40.4</v>
      </c>
      <c r="AC17">
        <v>75</v>
      </c>
      <c r="AD17">
        <v>2015</v>
      </c>
      <c r="AE17">
        <v>1.83E-2</v>
      </c>
      <c r="AF17">
        <v>3.2800000000000003E-2</v>
      </c>
      <c r="AG17">
        <v>4.58E-2</v>
      </c>
      <c r="AH17">
        <v>47.7</v>
      </c>
      <c r="AI17">
        <v>51.3</v>
      </c>
      <c r="AJ17">
        <v>22.7</v>
      </c>
      <c r="AK17">
        <v>47.8</v>
      </c>
      <c r="AL17">
        <v>44.8</v>
      </c>
    </row>
    <row r="18" spans="1:39" x14ac:dyDescent="0.25">
      <c r="A18">
        <v>80</v>
      </c>
      <c r="B18">
        <v>1613</v>
      </c>
      <c r="C18">
        <v>1.7899999999999999E-2</v>
      </c>
      <c r="D18">
        <v>3.2599999999999997E-2</v>
      </c>
      <c r="E18">
        <v>4.5699999999999998E-2</v>
      </c>
      <c r="F18">
        <v>42.8</v>
      </c>
      <c r="G18">
        <v>45</v>
      </c>
      <c r="H18">
        <v>25.7</v>
      </c>
      <c r="I18">
        <v>43.1</v>
      </c>
      <c r="J18">
        <v>40.700000000000003</v>
      </c>
      <c r="AC18">
        <v>80</v>
      </c>
      <c r="AD18">
        <v>2016</v>
      </c>
      <c r="AE18">
        <v>1.83E-2</v>
      </c>
      <c r="AF18">
        <v>3.2800000000000003E-2</v>
      </c>
      <c r="AG18">
        <v>4.58E-2</v>
      </c>
      <c r="AH18">
        <v>48.1</v>
      </c>
      <c r="AI18">
        <v>51.8</v>
      </c>
      <c r="AJ18">
        <v>23</v>
      </c>
      <c r="AK18">
        <v>48.3</v>
      </c>
      <c r="AL18">
        <v>45.3</v>
      </c>
    </row>
    <row r="19" spans="1:39" x14ac:dyDescent="0.25">
      <c r="A19">
        <v>85</v>
      </c>
      <c r="B19">
        <v>1619</v>
      </c>
      <c r="C19">
        <v>1.7899999999999999E-2</v>
      </c>
      <c r="D19">
        <v>3.27E-2</v>
      </c>
      <c r="E19">
        <v>4.5699999999999998E-2</v>
      </c>
      <c r="F19">
        <v>43.1</v>
      </c>
      <c r="G19">
        <v>45.3</v>
      </c>
      <c r="H19">
        <v>27</v>
      </c>
      <c r="I19">
        <v>43.5</v>
      </c>
      <c r="J19">
        <v>41</v>
      </c>
      <c r="AC19">
        <v>85</v>
      </c>
      <c r="AD19">
        <v>2012</v>
      </c>
      <c r="AE19">
        <v>1.8200000000000001E-2</v>
      </c>
      <c r="AF19">
        <v>3.2800000000000003E-2</v>
      </c>
      <c r="AG19">
        <v>4.5699999999999998E-2</v>
      </c>
      <c r="AH19">
        <v>48.5</v>
      </c>
      <c r="AI19">
        <v>52.2</v>
      </c>
      <c r="AJ19">
        <v>23.2</v>
      </c>
      <c r="AK19">
        <v>48.8</v>
      </c>
      <c r="AL19">
        <v>45.6</v>
      </c>
    </row>
    <row r="20" spans="1:39" x14ac:dyDescent="0.25">
      <c r="A20">
        <v>90</v>
      </c>
      <c r="B20">
        <v>1619</v>
      </c>
      <c r="C20">
        <v>1.7899999999999999E-2</v>
      </c>
      <c r="D20">
        <v>3.27E-2</v>
      </c>
      <c r="E20">
        <v>4.5699999999999998E-2</v>
      </c>
      <c r="F20">
        <v>43.7</v>
      </c>
      <c r="G20">
        <v>45.9</v>
      </c>
      <c r="H20">
        <v>26.9</v>
      </c>
      <c r="I20">
        <v>44</v>
      </c>
      <c r="J20">
        <v>41.5</v>
      </c>
      <c r="AC20">
        <v>90</v>
      </c>
      <c r="AD20">
        <v>2005</v>
      </c>
      <c r="AE20">
        <v>1.83E-2</v>
      </c>
      <c r="AF20">
        <v>3.2800000000000003E-2</v>
      </c>
      <c r="AG20">
        <v>4.58E-2</v>
      </c>
      <c r="AH20">
        <v>48.7</v>
      </c>
      <c r="AI20">
        <v>52.5</v>
      </c>
      <c r="AJ20">
        <v>23</v>
      </c>
      <c r="AK20">
        <v>49</v>
      </c>
      <c r="AL20">
        <v>45.8</v>
      </c>
    </row>
    <row r="21" spans="1:39" x14ac:dyDescent="0.25">
      <c r="A21">
        <v>95</v>
      </c>
      <c r="B21">
        <v>1611</v>
      </c>
      <c r="C21">
        <v>1.7999999999999999E-2</v>
      </c>
      <c r="D21">
        <v>3.27E-2</v>
      </c>
      <c r="E21">
        <v>4.58E-2</v>
      </c>
      <c r="F21">
        <v>44.2</v>
      </c>
      <c r="G21">
        <v>46.5</v>
      </c>
      <c r="H21">
        <v>27.4</v>
      </c>
      <c r="I21">
        <v>44.5</v>
      </c>
      <c r="J21">
        <v>41.9</v>
      </c>
      <c r="AC21">
        <v>95</v>
      </c>
      <c r="AD21">
        <v>2005</v>
      </c>
      <c r="AE21">
        <v>1.83E-2</v>
      </c>
      <c r="AF21">
        <v>3.2800000000000003E-2</v>
      </c>
      <c r="AG21">
        <v>4.5900000000000003E-2</v>
      </c>
      <c r="AH21">
        <v>48.9</v>
      </c>
      <c r="AI21">
        <v>52.6</v>
      </c>
      <c r="AJ21">
        <v>23.3</v>
      </c>
      <c r="AK21">
        <v>49.2</v>
      </c>
      <c r="AL21">
        <v>45.9</v>
      </c>
    </row>
    <row r="22" spans="1:39" x14ac:dyDescent="0.25">
      <c r="A22">
        <v>100</v>
      </c>
      <c r="B22">
        <v>1614</v>
      </c>
      <c r="C22">
        <v>1.7999999999999999E-2</v>
      </c>
      <c r="D22">
        <v>3.27E-2</v>
      </c>
      <c r="E22">
        <v>4.58E-2</v>
      </c>
      <c r="F22">
        <v>44.6</v>
      </c>
      <c r="G22">
        <v>46.9</v>
      </c>
      <c r="H22">
        <v>27.8</v>
      </c>
      <c r="I22">
        <v>44.9</v>
      </c>
      <c r="J22">
        <v>42.3</v>
      </c>
      <c r="AC22">
        <v>100</v>
      </c>
      <c r="AD22">
        <v>2010</v>
      </c>
      <c r="AE22">
        <v>1.84E-2</v>
      </c>
      <c r="AF22">
        <v>3.2800000000000003E-2</v>
      </c>
      <c r="AG22">
        <v>4.58E-2</v>
      </c>
      <c r="AH22">
        <v>48.9</v>
      </c>
      <c r="AI22">
        <v>52.5</v>
      </c>
      <c r="AJ22">
        <v>23.3</v>
      </c>
      <c r="AK22">
        <v>49.4</v>
      </c>
      <c r="AL22">
        <v>46.1</v>
      </c>
    </row>
    <row r="23" spans="1:39" x14ac:dyDescent="0.25">
      <c r="A23">
        <v>105</v>
      </c>
      <c r="B23">
        <v>1613</v>
      </c>
      <c r="C23">
        <v>1.7999999999999999E-2</v>
      </c>
      <c r="D23">
        <v>3.27E-2</v>
      </c>
      <c r="E23">
        <v>4.5900000000000003E-2</v>
      </c>
      <c r="F23">
        <v>45</v>
      </c>
      <c r="G23">
        <v>47.4</v>
      </c>
      <c r="H23">
        <v>27.3</v>
      </c>
      <c r="I23">
        <v>45.3</v>
      </c>
      <c r="J23">
        <v>42.6</v>
      </c>
      <c r="AC23">
        <v>105</v>
      </c>
      <c r="AD23">
        <v>2003</v>
      </c>
      <c r="AE23">
        <v>1.84E-2</v>
      </c>
      <c r="AF23">
        <v>3.2899999999999999E-2</v>
      </c>
      <c r="AG23">
        <v>4.5900000000000003E-2</v>
      </c>
      <c r="AH23">
        <v>49.2</v>
      </c>
      <c r="AI23">
        <v>52.9</v>
      </c>
      <c r="AJ23">
        <v>23.6</v>
      </c>
      <c r="AK23">
        <v>49.6</v>
      </c>
      <c r="AL23">
        <v>46.3</v>
      </c>
    </row>
    <row r="24" spans="1:39" x14ac:dyDescent="0.25">
      <c r="A24">
        <v>110</v>
      </c>
      <c r="B24">
        <v>1607</v>
      </c>
      <c r="C24">
        <v>1.8100000000000002E-2</v>
      </c>
      <c r="D24">
        <v>3.27E-2</v>
      </c>
      <c r="E24">
        <v>4.58E-2</v>
      </c>
      <c r="F24">
        <v>45.2</v>
      </c>
      <c r="G24">
        <v>47.6</v>
      </c>
      <c r="H24">
        <v>27.5</v>
      </c>
      <c r="I24">
        <v>45.5</v>
      </c>
      <c r="J24">
        <v>42.8</v>
      </c>
      <c r="AC24" s="12">
        <v>110</v>
      </c>
      <c r="AD24" s="12">
        <v>2007</v>
      </c>
      <c r="AE24" s="12">
        <v>1.84E-2</v>
      </c>
      <c r="AF24" s="12">
        <v>3.2800000000000003E-2</v>
      </c>
      <c r="AG24" s="12">
        <v>4.5900000000000003E-2</v>
      </c>
      <c r="AH24" s="12">
        <v>49.1</v>
      </c>
      <c r="AI24" s="12">
        <v>52.9</v>
      </c>
      <c r="AJ24" s="12">
        <v>23.5</v>
      </c>
      <c r="AK24" s="12">
        <v>49.6</v>
      </c>
      <c r="AL24" s="12">
        <v>46.4</v>
      </c>
      <c r="AM24" s="12">
        <v>29.4</v>
      </c>
    </row>
    <row r="25" spans="1:39" x14ac:dyDescent="0.25">
      <c r="A25">
        <v>115</v>
      </c>
      <c r="B25">
        <v>1613</v>
      </c>
      <c r="C25">
        <v>1.7999999999999999E-2</v>
      </c>
      <c r="D25">
        <v>3.27E-2</v>
      </c>
      <c r="E25">
        <v>4.58E-2</v>
      </c>
      <c r="F25">
        <v>45.4</v>
      </c>
      <c r="G25">
        <v>47.8</v>
      </c>
      <c r="H25">
        <v>27.4</v>
      </c>
      <c r="I25">
        <v>45.7</v>
      </c>
      <c r="J25">
        <v>43</v>
      </c>
      <c r="AC25">
        <v>115</v>
      </c>
      <c r="AD25">
        <v>2503</v>
      </c>
      <c r="AE25">
        <v>1.8599999999999998E-2</v>
      </c>
      <c r="AF25">
        <v>3.2899999999999999E-2</v>
      </c>
      <c r="AG25">
        <v>4.58E-2</v>
      </c>
      <c r="AH25">
        <v>51.8</v>
      </c>
      <c r="AI25">
        <v>56.6</v>
      </c>
      <c r="AJ25">
        <v>23.8</v>
      </c>
      <c r="AK25">
        <v>51.8</v>
      </c>
      <c r="AL25">
        <v>48.5</v>
      </c>
    </row>
    <row r="26" spans="1:39" x14ac:dyDescent="0.25">
      <c r="A26">
        <v>120</v>
      </c>
      <c r="B26">
        <v>1602</v>
      </c>
      <c r="C26">
        <v>1.7999999999999999E-2</v>
      </c>
      <c r="D26">
        <v>3.2300000000000002E-2</v>
      </c>
      <c r="E26">
        <v>4.5499999999999999E-2</v>
      </c>
      <c r="F26">
        <v>45.5</v>
      </c>
      <c r="G26">
        <v>47.9</v>
      </c>
      <c r="H26">
        <v>27.6</v>
      </c>
      <c r="I26">
        <v>45.8</v>
      </c>
      <c r="J26">
        <v>43.2</v>
      </c>
      <c r="AC26">
        <v>120</v>
      </c>
      <c r="AD26">
        <v>2503</v>
      </c>
      <c r="AE26">
        <v>1.8700000000000001E-2</v>
      </c>
      <c r="AF26">
        <v>3.3000000000000002E-2</v>
      </c>
      <c r="AG26">
        <v>4.58E-2</v>
      </c>
      <c r="AH26">
        <v>55.4</v>
      </c>
      <c r="AI26">
        <v>60.5</v>
      </c>
      <c r="AJ26">
        <v>24.1</v>
      </c>
      <c r="AK26">
        <v>54.6</v>
      </c>
      <c r="AL26">
        <v>51.6</v>
      </c>
    </row>
    <row r="27" spans="1:39" x14ac:dyDescent="0.25">
      <c r="A27" s="12">
        <v>125</v>
      </c>
      <c r="B27" s="12">
        <v>1603</v>
      </c>
      <c r="C27" s="12">
        <v>1.7999999999999999E-2</v>
      </c>
      <c r="D27" s="12">
        <v>3.2199999999999999E-2</v>
      </c>
      <c r="E27" s="12">
        <v>4.53E-2</v>
      </c>
      <c r="F27" s="12">
        <v>45.5</v>
      </c>
      <c r="G27" s="12">
        <v>47.9</v>
      </c>
      <c r="H27" s="12">
        <v>27.5</v>
      </c>
      <c r="I27" s="12">
        <v>45.9</v>
      </c>
      <c r="J27" s="12">
        <v>43.1</v>
      </c>
      <c r="K27" s="12">
        <v>20.399999999999999</v>
      </c>
      <c r="AC27">
        <v>125</v>
      </c>
      <c r="AD27">
        <v>2507</v>
      </c>
      <c r="AE27">
        <v>1.89E-2</v>
      </c>
      <c r="AF27">
        <v>3.3000000000000002E-2</v>
      </c>
      <c r="AG27">
        <v>4.5900000000000003E-2</v>
      </c>
      <c r="AH27">
        <v>58.2</v>
      </c>
      <c r="AI27">
        <v>63.3</v>
      </c>
      <c r="AJ27">
        <v>24.2</v>
      </c>
      <c r="AK27">
        <v>57</v>
      </c>
      <c r="AL27">
        <v>54.2</v>
      </c>
    </row>
    <row r="28" spans="1:39" x14ac:dyDescent="0.25">
      <c r="A28">
        <v>130</v>
      </c>
      <c r="B28">
        <v>2012</v>
      </c>
      <c r="C28">
        <v>1.8100000000000002E-2</v>
      </c>
      <c r="D28">
        <v>3.2399999999999998E-2</v>
      </c>
      <c r="E28">
        <v>4.53E-2</v>
      </c>
      <c r="F28">
        <v>46.2</v>
      </c>
      <c r="G28">
        <v>49.1</v>
      </c>
      <c r="H28">
        <v>28</v>
      </c>
      <c r="I28">
        <v>46.5</v>
      </c>
      <c r="J28">
        <v>43.7</v>
      </c>
      <c r="AC28">
        <v>130</v>
      </c>
      <c r="AD28">
        <v>2514</v>
      </c>
      <c r="AE28">
        <v>1.9E-2</v>
      </c>
      <c r="AF28">
        <v>3.3000000000000002E-2</v>
      </c>
      <c r="AG28">
        <v>4.5900000000000003E-2</v>
      </c>
      <c r="AH28">
        <v>60.3</v>
      </c>
      <c r="AI28">
        <v>65.5</v>
      </c>
      <c r="AJ28">
        <v>25</v>
      </c>
      <c r="AK28">
        <v>58.9</v>
      </c>
      <c r="AL28">
        <v>56.1</v>
      </c>
    </row>
    <row r="29" spans="1:39" x14ac:dyDescent="0.25">
      <c r="A29">
        <v>135</v>
      </c>
      <c r="B29">
        <v>2004</v>
      </c>
      <c r="C29">
        <v>1.8200000000000001E-2</v>
      </c>
      <c r="D29">
        <v>3.2399999999999998E-2</v>
      </c>
      <c r="E29">
        <v>4.5400000000000003E-2</v>
      </c>
      <c r="F29">
        <v>48.5</v>
      </c>
      <c r="G29">
        <v>51.8</v>
      </c>
      <c r="H29">
        <v>28.2</v>
      </c>
      <c r="I29">
        <v>48.4</v>
      </c>
      <c r="J29">
        <v>45.6</v>
      </c>
      <c r="AC29">
        <v>135</v>
      </c>
      <c r="AD29">
        <v>2501</v>
      </c>
      <c r="AE29">
        <v>1.9099999999999999E-2</v>
      </c>
      <c r="AF29">
        <v>3.3000000000000002E-2</v>
      </c>
      <c r="AG29">
        <v>4.5999999999999999E-2</v>
      </c>
      <c r="AH29">
        <v>62.2</v>
      </c>
      <c r="AI29">
        <v>67.400000000000006</v>
      </c>
      <c r="AJ29">
        <v>26</v>
      </c>
      <c r="AK29">
        <v>60.7</v>
      </c>
      <c r="AL29">
        <v>57.9</v>
      </c>
    </row>
    <row r="30" spans="1:39" x14ac:dyDescent="0.25">
      <c r="A30">
        <v>140</v>
      </c>
      <c r="B30">
        <v>2003</v>
      </c>
      <c r="C30">
        <v>1.83E-2</v>
      </c>
      <c r="D30">
        <v>3.2500000000000001E-2</v>
      </c>
      <c r="E30">
        <v>4.53E-2</v>
      </c>
      <c r="F30">
        <v>50.1</v>
      </c>
      <c r="G30">
        <v>53.7</v>
      </c>
      <c r="H30">
        <v>28.2</v>
      </c>
      <c r="I30">
        <v>49.8</v>
      </c>
      <c r="J30">
        <v>47.2</v>
      </c>
      <c r="AC30">
        <v>140</v>
      </c>
      <c r="AD30">
        <v>2501</v>
      </c>
      <c r="AE30">
        <v>1.9199999999999998E-2</v>
      </c>
      <c r="AF30">
        <v>3.3000000000000002E-2</v>
      </c>
      <c r="AG30">
        <v>4.5999999999999999E-2</v>
      </c>
      <c r="AH30">
        <v>63.6</v>
      </c>
      <c r="AI30">
        <v>69</v>
      </c>
      <c r="AJ30">
        <v>26</v>
      </c>
      <c r="AK30">
        <v>62.2</v>
      </c>
      <c r="AL30">
        <v>59.3</v>
      </c>
    </row>
    <row r="31" spans="1:39" x14ac:dyDescent="0.25">
      <c r="A31">
        <v>145</v>
      </c>
      <c r="B31">
        <v>2003</v>
      </c>
      <c r="C31">
        <v>1.84E-2</v>
      </c>
      <c r="D31">
        <v>3.2500000000000001E-2</v>
      </c>
      <c r="E31">
        <v>4.5499999999999999E-2</v>
      </c>
      <c r="F31">
        <v>51.3</v>
      </c>
      <c r="G31">
        <v>54.8</v>
      </c>
      <c r="H31">
        <v>28.1</v>
      </c>
      <c r="I31">
        <v>50.9</v>
      </c>
      <c r="J31">
        <v>48.2</v>
      </c>
      <c r="AC31">
        <v>145</v>
      </c>
      <c r="AD31">
        <v>2495</v>
      </c>
      <c r="AE31">
        <v>1.9199999999999998E-2</v>
      </c>
      <c r="AF31">
        <v>3.2800000000000003E-2</v>
      </c>
      <c r="AG31">
        <v>4.5999999999999999E-2</v>
      </c>
      <c r="AH31">
        <v>64.8</v>
      </c>
      <c r="AI31">
        <v>70</v>
      </c>
      <c r="AJ31">
        <v>25.6</v>
      </c>
      <c r="AK31">
        <v>63.3</v>
      </c>
      <c r="AL31">
        <v>60.2</v>
      </c>
    </row>
    <row r="32" spans="1:39" x14ac:dyDescent="0.25">
      <c r="A32">
        <v>150</v>
      </c>
      <c r="B32">
        <v>2005</v>
      </c>
      <c r="C32">
        <v>1.84E-2</v>
      </c>
      <c r="D32">
        <v>3.2399999999999998E-2</v>
      </c>
      <c r="E32">
        <v>4.5400000000000003E-2</v>
      </c>
      <c r="F32">
        <v>52.1</v>
      </c>
      <c r="G32">
        <v>55.6</v>
      </c>
      <c r="H32">
        <v>27.3</v>
      </c>
      <c r="I32">
        <v>51.7</v>
      </c>
      <c r="J32">
        <v>49</v>
      </c>
      <c r="AC32">
        <v>150</v>
      </c>
      <c r="AD32">
        <v>2492</v>
      </c>
      <c r="AE32">
        <v>1.9199999999999998E-2</v>
      </c>
      <c r="AF32">
        <v>3.2800000000000003E-2</v>
      </c>
      <c r="AG32">
        <v>4.5900000000000003E-2</v>
      </c>
      <c r="AH32">
        <v>65.5</v>
      </c>
      <c r="AI32">
        <v>70.7</v>
      </c>
      <c r="AJ32">
        <v>25.6</v>
      </c>
      <c r="AK32">
        <v>64.099999999999994</v>
      </c>
      <c r="AL32">
        <v>60.8</v>
      </c>
    </row>
    <row r="33" spans="1:39" x14ac:dyDescent="0.25">
      <c r="A33">
        <v>155</v>
      </c>
      <c r="B33">
        <v>2007</v>
      </c>
      <c r="C33">
        <v>1.84E-2</v>
      </c>
      <c r="D33">
        <v>3.2399999999999998E-2</v>
      </c>
      <c r="E33">
        <v>4.5400000000000003E-2</v>
      </c>
      <c r="F33">
        <v>52.6</v>
      </c>
      <c r="G33">
        <v>56</v>
      </c>
      <c r="H33">
        <v>27</v>
      </c>
      <c r="I33">
        <v>52.3</v>
      </c>
      <c r="J33">
        <v>49.4</v>
      </c>
      <c r="AC33">
        <v>155</v>
      </c>
      <c r="AD33">
        <v>2498</v>
      </c>
      <c r="AE33">
        <v>1.9400000000000001E-2</v>
      </c>
      <c r="AF33">
        <v>3.2800000000000003E-2</v>
      </c>
      <c r="AG33">
        <v>4.6199999999999998E-2</v>
      </c>
      <c r="AH33">
        <v>66</v>
      </c>
      <c r="AI33">
        <v>71.099999999999994</v>
      </c>
      <c r="AJ33">
        <v>25.4</v>
      </c>
      <c r="AK33">
        <v>64.8</v>
      </c>
      <c r="AL33">
        <v>61.3</v>
      </c>
    </row>
    <row r="34" spans="1:39" x14ac:dyDescent="0.25">
      <c r="A34">
        <v>160</v>
      </c>
      <c r="B34">
        <v>2013</v>
      </c>
      <c r="C34">
        <v>1.8499999999999999E-2</v>
      </c>
      <c r="D34">
        <v>3.2399999999999998E-2</v>
      </c>
      <c r="E34">
        <v>4.5499999999999999E-2</v>
      </c>
      <c r="F34">
        <v>52.9</v>
      </c>
      <c r="G34">
        <v>56.4</v>
      </c>
      <c r="H34">
        <v>26.9</v>
      </c>
      <c r="I34">
        <v>52.7</v>
      </c>
      <c r="J34">
        <v>49.7</v>
      </c>
      <c r="AC34">
        <v>160</v>
      </c>
      <c r="AD34">
        <v>2507</v>
      </c>
      <c r="AE34">
        <v>1.9400000000000001E-2</v>
      </c>
      <c r="AF34">
        <v>3.2899999999999999E-2</v>
      </c>
      <c r="AG34">
        <v>4.6100000000000002E-2</v>
      </c>
      <c r="AH34">
        <v>66.2</v>
      </c>
      <c r="AI34">
        <v>71.3</v>
      </c>
      <c r="AJ34">
        <v>25</v>
      </c>
      <c r="AK34">
        <v>65.2</v>
      </c>
      <c r="AL34">
        <v>61.5</v>
      </c>
    </row>
    <row r="35" spans="1:39" x14ac:dyDescent="0.25">
      <c r="A35">
        <v>165</v>
      </c>
      <c r="B35">
        <v>1997</v>
      </c>
      <c r="C35">
        <v>1.8499999999999999E-2</v>
      </c>
      <c r="D35">
        <v>3.2500000000000001E-2</v>
      </c>
      <c r="E35">
        <v>4.5499999999999999E-2</v>
      </c>
      <c r="F35">
        <v>53.3</v>
      </c>
      <c r="G35">
        <v>56.7</v>
      </c>
      <c r="H35">
        <v>27.4</v>
      </c>
      <c r="I35">
        <v>53.1</v>
      </c>
      <c r="J35">
        <v>50.1</v>
      </c>
      <c r="AC35">
        <v>165</v>
      </c>
      <c r="AD35">
        <v>2498</v>
      </c>
      <c r="AE35">
        <v>1.9400000000000001E-2</v>
      </c>
      <c r="AF35">
        <v>3.3099999999999997E-2</v>
      </c>
      <c r="AG35">
        <v>4.6100000000000002E-2</v>
      </c>
      <c r="AH35">
        <v>66.5</v>
      </c>
      <c r="AI35">
        <v>71.400000000000006</v>
      </c>
      <c r="AJ35">
        <v>24.8</v>
      </c>
      <c r="AK35">
        <v>65.5</v>
      </c>
      <c r="AL35">
        <v>61.8</v>
      </c>
    </row>
    <row r="36" spans="1:39" x14ac:dyDescent="0.25">
      <c r="A36">
        <v>170</v>
      </c>
      <c r="B36">
        <v>1998</v>
      </c>
      <c r="C36">
        <v>1.8499999999999999E-2</v>
      </c>
      <c r="D36">
        <v>3.2500000000000001E-2</v>
      </c>
      <c r="E36">
        <v>4.5600000000000002E-2</v>
      </c>
      <c r="F36">
        <v>53.8</v>
      </c>
      <c r="G36">
        <v>57.1</v>
      </c>
      <c r="H36">
        <v>27.6</v>
      </c>
      <c r="I36">
        <v>53.5</v>
      </c>
      <c r="J36">
        <v>50.5</v>
      </c>
      <c r="AC36">
        <v>170</v>
      </c>
      <c r="AD36">
        <v>2493</v>
      </c>
      <c r="AE36">
        <v>1.95E-2</v>
      </c>
      <c r="AF36">
        <v>3.3000000000000002E-2</v>
      </c>
      <c r="AG36">
        <v>4.6199999999999998E-2</v>
      </c>
      <c r="AH36">
        <v>66.599999999999994</v>
      </c>
      <c r="AI36">
        <v>71.599999999999994</v>
      </c>
      <c r="AJ36">
        <v>24.9</v>
      </c>
      <c r="AK36">
        <v>65.8</v>
      </c>
      <c r="AL36">
        <v>62</v>
      </c>
    </row>
    <row r="37" spans="1:39" x14ac:dyDescent="0.25">
      <c r="A37">
        <v>175</v>
      </c>
      <c r="B37">
        <v>1999</v>
      </c>
      <c r="C37">
        <v>1.8499999999999999E-2</v>
      </c>
      <c r="D37">
        <v>3.2599999999999997E-2</v>
      </c>
      <c r="E37">
        <v>4.5600000000000002E-2</v>
      </c>
      <c r="F37">
        <v>53.8</v>
      </c>
      <c r="G37">
        <v>57.2</v>
      </c>
      <c r="H37">
        <v>27.1</v>
      </c>
      <c r="I37">
        <v>53.7</v>
      </c>
      <c r="J37">
        <v>50.5</v>
      </c>
      <c r="AC37">
        <v>175</v>
      </c>
      <c r="AD37">
        <v>2488</v>
      </c>
      <c r="AE37">
        <v>1.95E-2</v>
      </c>
      <c r="AF37">
        <v>3.3000000000000002E-2</v>
      </c>
      <c r="AG37">
        <v>4.6100000000000002E-2</v>
      </c>
      <c r="AH37">
        <v>67</v>
      </c>
      <c r="AI37">
        <v>72.099999999999994</v>
      </c>
      <c r="AJ37">
        <v>25.2</v>
      </c>
      <c r="AK37">
        <v>66.2</v>
      </c>
      <c r="AL37">
        <v>62.4</v>
      </c>
    </row>
    <row r="38" spans="1:39" x14ac:dyDescent="0.25">
      <c r="A38">
        <v>180</v>
      </c>
      <c r="B38">
        <v>1999</v>
      </c>
      <c r="C38">
        <v>1.8599999999999998E-2</v>
      </c>
      <c r="D38">
        <v>3.2399999999999998E-2</v>
      </c>
      <c r="E38">
        <v>4.5499999999999999E-2</v>
      </c>
      <c r="F38">
        <v>54.1</v>
      </c>
      <c r="G38">
        <v>57.6</v>
      </c>
      <c r="H38">
        <v>27.1</v>
      </c>
      <c r="I38">
        <v>54</v>
      </c>
      <c r="J38">
        <v>50.8</v>
      </c>
      <c r="AC38">
        <v>180</v>
      </c>
      <c r="AD38">
        <v>2488</v>
      </c>
      <c r="AE38">
        <v>1.95E-2</v>
      </c>
      <c r="AF38">
        <v>3.3099999999999997E-2</v>
      </c>
      <c r="AG38">
        <v>4.6199999999999998E-2</v>
      </c>
      <c r="AH38">
        <v>67.400000000000006</v>
      </c>
      <c r="AI38">
        <v>72.5</v>
      </c>
      <c r="AJ38">
        <v>25.2</v>
      </c>
      <c r="AK38">
        <v>66.5</v>
      </c>
      <c r="AL38">
        <v>62.8</v>
      </c>
    </row>
    <row r="39" spans="1:39" x14ac:dyDescent="0.25">
      <c r="A39">
        <v>185</v>
      </c>
      <c r="B39">
        <v>1992</v>
      </c>
      <c r="C39">
        <v>1.8599999999999998E-2</v>
      </c>
      <c r="D39">
        <v>3.2500000000000001E-2</v>
      </c>
      <c r="E39">
        <v>4.5600000000000002E-2</v>
      </c>
      <c r="F39">
        <v>54.2</v>
      </c>
      <c r="G39">
        <v>57.7</v>
      </c>
      <c r="H39">
        <v>26.9</v>
      </c>
      <c r="I39">
        <v>54.1</v>
      </c>
      <c r="J39">
        <v>50.9</v>
      </c>
      <c r="AC39">
        <v>185</v>
      </c>
      <c r="AD39">
        <v>2486</v>
      </c>
      <c r="AE39">
        <v>1.95E-2</v>
      </c>
      <c r="AF39">
        <v>3.3000000000000002E-2</v>
      </c>
      <c r="AG39">
        <v>4.6199999999999998E-2</v>
      </c>
      <c r="AH39">
        <v>67.7</v>
      </c>
      <c r="AI39">
        <v>72.7</v>
      </c>
      <c r="AJ39">
        <v>25.4</v>
      </c>
      <c r="AK39">
        <v>66.900000000000006</v>
      </c>
      <c r="AL39">
        <v>63.1</v>
      </c>
    </row>
    <row r="40" spans="1:39" x14ac:dyDescent="0.25">
      <c r="A40">
        <v>190</v>
      </c>
      <c r="B40">
        <v>2002</v>
      </c>
      <c r="C40">
        <v>1.8599999999999998E-2</v>
      </c>
      <c r="D40">
        <v>3.2500000000000001E-2</v>
      </c>
      <c r="E40">
        <v>4.5499999999999999E-2</v>
      </c>
      <c r="F40">
        <v>54.4</v>
      </c>
      <c r="G40">
        <v>57.8</v>
      </c>
      <c r="H40">
        <v>27</v>
      </c>
      <c r="I40">
        <v>54.3</v>
      </c>
      <c r="J40">
        <v>51.1</v>
      </c>
      <c r="AC40">
        <v>190</v>
      </c>
      <c r="AD40">
        <v>2485</v>
      </c>
      <c r="AE40">
        <v>1.95E-2</v>
      </c>
      <c r="AF40">
        <v>3.3000000000000002E-2</v>
      </c>
      <c r="AG40">
        <v>4.6199999999999998E-2</v>
      </c>
      <c r="AH40">
        <v>67.900000000000006</v>
      </c>
      <c r="AI40">
        <v>73</v>
      </c>
      <c r="AJ40">
        <v>25.5</v>
      </c>
      <c r="AK40">
        <v>67.2</v>
      </c>
      <c r="AL40">
        <v>63.2</v>
      </c>
    </row>
    <row r="41" spans="1:39" x14ac:dyDescent="0.25">
      <c r="A41">
        <v>195</v>
      </c>
      <c r="B41">
        <v>1995</v>
      </c>
      <c r="C41">
        <v>1.8599999999999998E-2</v>
      </c>
      <c r="D41">
        <v>3.2500000000000001E-2</v>
      </c>
      <c r="E41">
        <v>4.5499999999999999E-2</v>
      </c>
      <c r="F41">
        <v>54.6</v>
      </c>
      <c r="G41">
        <v>57.9</v>
      </c>
      <c r="H41">
        <v>27.1</v>
      </c>
      <c r="I41">
        <v>54.5</v>
      </c>
      <c r="J41">
        <v>51.2</v>
      </c>
      <c r="AC41">
        <v>195</v>
      </c>
      <c r="AD41">
        <v>2501</v>
      </c>
      <c r="AE41">
        <v>1.95E-2</v>
      </c>
      <c r="AF41">
        <v>3.2800000000000003E-2</v>
      </c>
      <c r="AG41">
        <v>4.5900000000000003E-2</v>
      </c>
      <c r="AH41">
        <v>68.3</v>
      </c>
      <c r="AI41">
        <v>73.3</v>
      </c>
      <c r="AJ41">
        <v>25.8</v>
      </c>
      <c r="AK41">
        <v>67.400000000000006</v>
      </c>
      <c r="AL41">
        <v>63.6</v>
      </c>
    </row>
    <row r="42" spans="1:39" x14ac:dyDescent="0.25">
      <c r="A42">
        <v>200</v>
      </c>
      <c r="B42">
        <v>1996</v>
      </c>
      <c r="C42">
        <v>1.8599999999999998E-2</v>
      </c>
      <c r="D42">
        <v>3.2599999999999997E-2</v>
      </c>
      <c r="E42">
        <v>4.5600000000000002E-2</v>
      </c>
      <c r="F42">
        <v>54.7</v>
      </c>
      <c r="G42">
        <v>58</v>
      </c>
      <c r="H42">
        <v>27.2</v>
      </c>
      <c r="I42">
        <v>54.7</v>
      </c>
      <c r="J42">
        <v>51.3</v>
      </c>
      <c r="AC42">
        <v>200</v>
      </c>
      <c r="AD42">
        <v>2487</v>
      </c>
      <c r="AE42">
        <v>1.95E-2</v>
      </c>
      <c r="AF42">
        <v>3.27E-2</v>
      </c>
      <c r="AG42">
        <v>4.5999999999999999E-2</v>
      </c>
      <c r="AH42">
        <v>68.5</v>
      </c>
      <c r="AI42">
        <v>73.599999999999994</v>
      </c>
      <c r="AJ42">
        <v>26.1</v>
      </c>
      <c r="AK42">
        <v>67.7</v>
      </c>
      <c r="AL42">
        <v>63.6</v>
      </c>
    </row>
    <row r="43" spans="1:39" x14ac:dyDescent="0.25">
      <c r="A43">
        <v>205</v>
      </c>
      <c r="B43">
        <v>2002</v>
      </c>
      <c r="C43">
        <v>1.8599999999999998E-2</v>
      </c>
      <c r="D43">
        <v>3.27E-2</v>
      </c>
      <c r="E43">
        <v>4.5699999999999998E-2</v>
      </c>
      <c r="F43">
        <v>54.9</v>
      </c>
      <c r="G43">
        <v>58.5</v>
      </c>
      <c r="H43">
        <v>27.7</v>
      </c>
      <c r="I43">
        <v>54.9</v>
      </c>
      <c r="J43">
        <v>51.6</v>
      </c>
      <c r="AC43">
        <v>205</v>
      </c>
      <c r="AD43">
        <v>2483</v>
      </c>
      <c r="AE43">
        <v>1.9599999999999999E-2</v>
      </c>
      <c r="AF43">
        <v>3.2899999999999999E-2</v>
      </c>
      <c r="AG43">
        <v>4.6100000000000002E-2</v>
      </c>
      <c r="AH43">
        <v>68.5</v>
      </c>
      <c r="AI43">
        <v>73.5</v>
      </c>
      <c r="AJ43">
        <v>25.6</v>
      </c>
      <c r="AK43">
        <v>67.8</v>
      </c>
      <c r="AL43">
        <v>63.6</v>
      </c>
    </row>
    <row r="44" spans="1:39" x14ac:dyDescent="0.25">
      <c r="A44">
        <v>210</v>
      </c>
      <c r="B44">
        <v>2001</v>
      </c>
      <c r="C44">
        <v>1.8599999999999998E-2</v>
      </c>
      <c r="D44">
        <v>3.27E-2</v>
      </c>
      <c r="E44">
        <v>4.5699999999999998E-2</v>
      </c>
      <c r="F44">
        <v>55.1</v>
      </c>
      <c r="G44">
        <v>58.5</v>
      </c>
      <c r="H44">
        <v>27.2</v>
      </c>
      <c r="I44">
        <v>55.1</v>
      </c>
      <c r="J44">
        <v>51.7</v>
      </c>
      <c r="AC44">
        <v>210</v>
      </c>
      <c r="AD44">
        <v>2490</v>
      </c>
      <c r="AE44">
        <v>1.95E-2</v>
      </c>
      <c r="AF44">
        <v>3.2800000000000003E-2</v>
      </c>
      <c r="AG44">
        <v>4.5900000000000003E-2</v>
      </c>
      <c r="AH44">
        <v>68.3</v>
      </c>
      <c r="AI44">
        <v>73.2</v>
      </c>
      <c r="AJ44">
        <v>25</v>
      </c>
      <c r="AK44">
        <v>67.7</v>
      </c>
      <c r="AL44">
        <v>63.4</v>
      </c>
    </row>
    <row r="45" spans="1:39" x14ac:dyDescent="0.25">
      <c r="A45">
        <v>215</v>
      </c>
      <c r="B45">
        <v>1994</v>
      </c>
      <c r="C45">
        <v>1.8700000000000001E-2</v>
      </c>
      <c r="D45">
        <v>3.27E-2</v>
      </c>
      <c r="E45">
        <v>4.58E-2</v>
      </c>
      <c r="F45">
        <v>55.1</v>
      </c>
      <c r="G45">
        <v>58.5</v>
      </c>
      <c r="H45">
        <v>27.1</v>
      </c>
      <c r="I45">
        <v>55.1</v>
      </c>
      <c r="J45">
        <v>51.8</v>
      </c>
      <c r="AC45">
        <v>215</v>
      </c>
      <c r="AD45">
        <v>2514</v>
      </c>
      <c r="AE45">
        <v>1.95E-2</v>
      </c>
      <c r="AF45">
        <v>3.27E-2</v>
      </c>
      <c r="AG45">
        <v>4.58E-2</v>
      </c>
      <c r="AH45">
        <v>68.099999999999994</v>
      </c>
      <c r="AI45">
        <v>73</v>
      </c>
      <c r="AJ45">
        <v>24.8</v>
      </c>
      <c r="AK45">
        <v>67.5</v>
      </c>
      <c r="AL45">
        <v>63.3</v>
      </c>
    </row>
    <row r="46" spans="1:39" x14ac:dyDescent="0.25">
      <c r="A46">
        <v>220</v>
      </c>
      <c r="B46">
        <v>2003</v>
      </c>
      <c r="C46">
        <v>1.8700000000000001E-2</v>
      </c>
      <c r="D46">
        <v>3.2599999999999997E-2</v>
      </c>
      <c r="E46">
        <v>4.5699999999999998E-2</v>
      </c>
      <c r="F46">
        <v>55.3</v>
      </c>
      <c r="G46">
        <v>58.7</v>
      </c>
      <c r="H46">
        <v>27.3</v>
      </c>
      <c r="I46">
        <v>55.3</v>
      </c>
      <c r="J46">
        <v>52</v>
      </c>
      <c r="AC46" s="12">
        <v>220</v>
      </c>
      <c r="AD46" s="12">
        <v>2517</v>
      </c>
      <c r="AE46" s="12">
        <v>1.95E-2</v>
      </c>
      <c r="AF46" s="12">
        <v>3.2800000000000003E-2</v>
      </c>
      <c r="AG46" s="12">
        <v>4.5999999999999999E-2</v>
      </c>
      <c r="AH46" s="12">
        <v>68.2</v>
      </c>
      <c r="AI46" s="12">
        <v>73</v>
      </c>
      <c r="AJ46" s="12">
        <v>24.7</v>
      </c>
      <c r="AK46" s="12">
        <v>67.7</v>
      </c>
      <c r="AL46" s="12">
        <v>63.4</v>
      </c>
      <c r="AM46" s="12">
        <v>48.3</v>
      </c>
    </row>
    <row r="47" spans="1:39" x14ac:dyDescent="0.25">
      <c r="A47">
        <v>225</v>
      </c>
      <c r="B47">
        <v>2009</v>
      </c>
      <c r="C47">
        <v>1.8700000000000001E-2</v>
      </c>
      <c r="D47">
        <v>3.2500000000000001E-2</v>
      </c>
      <c r="E47">
        <v>4.5600000000000002E-2</v>
      </c>
      <c r="F47">
        <v>55.6</v>
      </c>
      <c r="G47">
        <v>59</v>
      </c>
      <c r="H47">
        <v>27.6</v>
      </c>
      <c r="I47">
        <v>55.5</v>
      </c>
      <c r="J47">
        <v>52.3</v>
      </c>
      <c r="AC47">
        <v>225</v>
      </c>
      <c r="AD47">
        <v>3200</v>
      </c>
      <c r="AE47">
        <v>1.9800000000000002E-2</v>
      </c>
      <c r="AF47">
        <v>3.2899999999999999E-2</v>
      </c>
      <c r="AG47">
        <v>4.5900000000000003E-2</v>
      </c>
      <c r="AH47">
        <v>70.099999999999994</v>
      </c>
      <c r="AI47">
        <v>76.3</v>
      </c>
      <c r="AJ47">
        <v>24.7</v>
      </c>
      <c r="AK47">
        <v>69.099999999999994</v>
      </c>
      <c r="AL47">
        <v>64.900000000000006</v>
      </c>
    </row>
    <row r="48" spans="1:39" x14ac:dyDescent="0.25">
      <c r="A48">
        <v>230</v>
      </c>
      <c r="B48">
        <v>2005</v>
      </c>
      <c r="C48">
        <v>1.8700000000000001E-2</v>
      </c>
      <c r="D48">
        <v>3.2599999999999997E-2</v>
      </c>
      <c r="E48">
        <v>4.5699999999999998E-2</v>
      </c>
      <c r="F48">
        <v>55.8</v>
      </c>
      <c r="G48">
        <v>59.2</v>
      </c>
      <c r="H48">
        <v>27.6</v>
      </c>
      <c r="I48">
        <v>55.7</v>
      </c>
      <c r="J48">
        <v>52.4</v>
      </c>
      <c r="AC48">
        <v>230</v>
      </c>
      <c r="AD48">
        <v>3193</v>
      </c>
      <c r="AE48">
        <v>2.01E-2</v>
      </c>
      <c r="AF48">
        <v>3.2899999999999999E-2</v>
      </c>
      <c r="AG48">
        <v>4.6100000000000002E-2</v>
      </c>
      <c r="AH48">
        <v>75.900000000000006</v>
      </c>
      <c r="AI48">
        <v>83.2</v>
      </c>
      <c r="AJ48">
        <v>24.6</v>
      </c>
      <c r="AK48">
        <v>73.599999999999994</v>
      </c>
      <c r="AL48">
        <v>69.5</v>
      </c>
    </row>
    <row r="49" spans="1:38" x14ac:dyDescent="0.25">
      <c r="A49">
        <v>235</v>
      </c>
      <c r="B49">
        <v>2012</v>
      </c>
      <c r="C49">
        <v>1.8700000000000001E-2</v>
      </c>
      <c r="D49">
        <v>3.27E-2</v>
      </c>
      <c r="E49">
        <v>4.58E-2</v>
      </c>
      <c r="F49">
        <v>55.8</v>
      </c>
      <c r="G49">
        <v>59.3</v>
      </c>
      <c r="H49">
        <v>27.8</v>
      </c>
      <c r="I49">
        <v>55.8</v>
      </c>
      <c r="J49">
        <v>52.5</v>
      </c>
      <c r="AC49">
        <v>235</v>
      </c>
      <c r="AD49">
        <v>3169</v>
      </c>
      <c r="AE49">
        <v>2.0299999999999999E-2</v>
      </c>
      <c r="AF49">
        <v>3.2899999999999999E-2</v>
      </c>
      <c r="AG49">
        <v>4.6100000000000002E-2</v>
      </c>
      <c r="AH49">
        <v>80</v>
      </c>
      <c r="AI49">
        <v>87.4</v>
      </c>
      <c r="AJ49">
        <v>24.7</v>
      </c>
      <c r="AK49">
        <v>76.8</v>
      </c>
      <c r="AL49">
        <v>73.2</v>
      </c>
    </row>
    <row r="50" spans="1:38" x14ac:dyDescent="0.25">
      <c r="A50">
        <v>240</v>
      </c>
      <c r="B50">
        <v>2016</v>
      </c>
      <c r="C50">
        <v>1.8700000000000001E-2</v>
      </c>
      <c r="D50">
        <v>3.27E-2</v>
      </c>
      <c r="E50">
        <v>4.58E-2</v>
      </c>
      <c r="F50">
        <v>55.8</v>
      </c>
      <c r="G50">
        <v>59.3</v>
      </c>
      <c r="H50">
        <v>27.7</v>
      </c>
      <c r="I50">
        <v>55.9</v>
      </c>
      <c r="J50">
        <v>52.5</v>
      </c>
      <c r="AC50">
        <v>240</v>
      </c>
      <c r="AD50">
        <v>3221</v>
      </c>
      <c r="AE50">
        <v>2.0500000000000001E-2</v>
      </c>
      <c r="AF50">
        <v>3.3099999999999997E-2</v>
      </c>
      <c r="AG50">
        <v>4.6399999999999997E-2</v>
      </c>
      <c r="AH50">
        <v>82.9</v>
      </c>
      <c r="AI50">
        <v>90.4</v>
      </c>
      <c r="AJ50">
        <v>24.8</v>
      </c>
      <c r="AK50">
        <v>79.5</v>
      </c>
      <c r="AL50">
        <v>76</v>
      </c>
    </row>
    <row r="51" spans="1:38" x14ac:dyDescent="0.25">
      <c r="A51">
        <v>245</v>
      </c>
      <c r="B51">
        <v>2014</v>
      </c>
      <c r="C51">
        <v>1.8700000000000001E-2</v>
      </c>
      <c r="D51">
        <v>3.2800000000000003E-2</v>
      </c>
      <c r="E51">
        <v>4.58E-2</v>
      </c>
      <c r="F51">
        <v>56</v>
      </c>
      <c r="G51">
        <v>59.4</v>
      </c>
      <c r="H51">
        <v>27.8</v>
      </c>
      <c r="I51">
        <v>56</v>
      </c>
      <c r="J51">
        <v>52.6</v>
      </c>
      <c r="AC51">
        <v>245</v>
      </c>
      <c r="AD51">
        <v>3220</v>
      </c>
      <c r="AE51">
        <v>2.06E-2</v>
      </c>
      <c r="AF51">
        <v>3.3099999999999997E-2</v>
      </c>
      <c r="AG51">
        <v>4.6399999999999997E-2</v>
      </c>
      <c r="AH51">
        <v>85.8</v>
      </c>
      <c r="AI51">
        <v>93.4</v>
      </c>
      <c r="AJ51">
        <v>24.8</v>
      </c>
      <c r="AK51">
        <v>82</v>
      </c>
      <c r="AL51">
        <v>78.400000000000006</v>
      </c>
    </row>
    <row r="52" spans="1:38" x14ac:dyDescent="0.25">
      <c r="A52">
        <v>250</v>
      </c>
      <c r="B52">
        <v>2009</v>
      </c>
      <c r="C52">
        <v>1.8700000000000001E-2</v>
      </c>
      <c r="D52">
        <v>3.27E-2</v>
      </c>
      <c r="E52">
        <v>4.58E-2</v>
      </c>
      <c r="F52">
        <v>56.1</v>
      </c>
      <c r="G52">
        <v>59.5</v>
      </c>
      <c r="H52">
        <v>27.8</v>
      </c>
      <c r="I52">
        <v>56.1</v>
      </c>
      <c r="J52">
        <v>52.7</v>
      </c>
      <c r="AC52">
        <v>250</v>
      </c>
      <c r="AD52">
        <v>3223</v>
      </c>
      <c r="AE52">
        <v>2.0799999999999999E-2</v>
      </c>
      <c r="AF52">
        <v>3.3099999999999997E-2</v>
      </c>
      <c r="AG52">
        <v>4.65E-2</v>
      </c>
      <c r="AH52">
        <v>87.9</v>
      </c>
      <c r="AI52">
        <v>95.5</v>
      </c>
      <c r="AJ52">
        <v>24.8</v>
      </c>
      <c r="AK52">
        <v>84</v>
      </c>
      <c r="AL52">
        <v>80.400000000000006</v>
      </c>
    </row>
    <row r="53" spans="1:38" x14ac:dyDescent="0.25">
      <c r="A53">
        <v>255</v>
      </c>
      <c r="B53">
        <v>2017</v>
      </c>
      <c r="C53">
        <v>1.8700000000000001E-2</v>
      </c>
      <c r="D53">
        <v>3.27E-2</v>
      </c>
      <c r="E53">
        <v>4.5699999999999998E-2</v>
      </c>
      <c r="F53">
        <v>56.4</v>
      </c>
      <c r="G53">
        <v>59.8</v>
      </c>
      <c r="H53">
        <v>27.9</v>
      </c>
      <c r="I53">
        <v>56.2</v>
      </c>
      <c r="J53">
        <v>52.9</v>
      </c>
      <c r="AC53">
        <v>255</v>
      </c>
      <c r="AD53">
        <v>3217</v>
      </c>
      <c r="AE53">
        <v>2.1000000000000001E-2</v>
      </c>
      <c r="AF53">
        <v>3.3300000000000003E-2</v>
      </c>
      <c r="AG53">
        <v>4.6699999999999998E-2</v>
      </c>
      <c r="AH53">
        <v>89.7</v>
      </c>
      <c r="AI53">
        <v>97.3</v>
      </c>
      <c r="AJ53">
        <v>24.9</v>
      </c>
      <c r="AK53">
        <v>85.7</v>
      </c>
      <c r="AL53">
        <v>81.900000000000006</v>
      </c>
    </row>
    <row r="54" spans="1:38" x14ac:dyDescent="0.25">
      <c r="A54" s="12">
        <v>260</v>
      </c>
      <c r="B54" s="12">
        <v>2123</v>
      </c>
      <c r="C54" s="12">
        <v>1.9E-2</v>
      </c>
      <c r="D54" s="12">
        <v>3.4599999999999999E-2</v>
      </c>
      <c r="E54" s="12">
        <v>4.7300000000000002E-2</v>
      </c>
      <c r="F54" s="12">
        <v>56.4</v>
      </c>
      <c r="G54" s="12">
        <v>59.9</v>
      </c>
      <c r="H54" s="12">
        <v>27.6</v>
      </c>
      <c r="I54" s="12">
        <v>56.3</v>
      </c>
      <c r="J54" s="12">
        <v>53.1</v>
      </c>
      <c r="K54" s="12">
        <v>32.299999999999997</v>
      </c>
      <c r="AC54">
        <v>260</v>
      </c>
      <c r="AD54">
        <v>3229</v>
      </c>
      <c r="AE54">
        <v>2.0899999999999998E-2</v>
      </c>
      <c r="AF54">
        <v>3.3000000000000002E-2</v>
      </c>
      <c r="AG54">
        <v>4.6600000000000003E-2</v>
      </c>
      <c r="AH54">
        <v>91.1</v>
      </c>
      <c r="AI54">
        <v>98.6</v>
      </c>
      <c r="AJ54">
        <v>24.8</v>
      </c>
      <c r="AK54">
        <v>86.9</v>
      </c>
      <c r="AL54">
        <v>83</v>
      </c>
    </row>
    <row r="55" spans="1:38" x14ac:dyDescent="0.25">
      <c r="A55">
        <v>265</v>
      </c>
      <c r="B55">
        <v>2507</v>
      </c>
      <c r="C55">
        <v>1.9E-2</v>
      </c>
      <c r="D55">
        <v>3.2599999999999997E-2</v>
      </c>
      <c r="E55">
        <v>4.5600000000000002E-2</v>
      </c>
      <c r="F55">
        <v>59.4</v>
      </c>
      <c r="G55">
        <v>64.2</v>
      </c>
      <c r="H55">
        <v>27.4</v>
      </c>
      <c r="I55">
        <v>58.7</v>
      </c>
      <c r="J55">
        <v>55.4</v>
      </c>
      <c r="AC55">
        <v>265</v>
      </c>
      <c r="AD55">
        <v>3220</v>
      </c>
      <c r="AE55">
        <v>2.1000000000000001E-2</v>
      </c>
      <c r="AF55">
        <v>3.3099999999999997E-2</v>
      </c>
      <c r="AG55">
        <v>4.6600000000000003E-2</v>
      </c>
      <c r="AH55">
        <v>92.1</v>
      </c>
      <c r="AI55">
        <v>99.5</v>
      </c>
      <c r="AJ55">
        <v>24.9</v>
      </c>
      <c r="AK55">
        <v>88.1</v>
      </c>
      <c r="AL55">
        <v>84</v>
      </c>
    </row>
    <row r="56" spans="1:38" x14ac:dyDescent="0.25">
      <c r="A56">
        <v>270</v>
      </c>
      <c r="B56">
        <v>2500</v>
      </c>
      <c r="C56">
        <v>1.9099999999999999E-2</v>
      </c>
      <c r="D56">
        <v>3.27E-2</v>
      </c>
      <c r="E56">
        <v>4.5600000000000002E-2</v>
      </c>
      <c r="F56">
        <v>61.9</v>
      </c>
      <c r="G56">
        <v>66.900000000000006</v>
      </c>
      <c r="H56">
        <v>27.6</v>
      </c>
      <c r="I56">
        <v>60.8</v>
      </c>
      <c r="J56">
        <v>57.6</v>
      </c>
      <c r="AC56">
        <v>270</v>
      </c>
      <c r="AD56">
        <v>3211</v>
      </c>
      <c r="AE56">
        <v>2.1100000000000001E-2</v>
      </c>
      <c r="AF56">
        <v>3.32E-2</v>
      </c>
      <c r="AG56">
        <v>4.6699999999999998E-2</v>
      </c>
      <c r="AH56">
        <v>93.1</v>
      </c>
      <c r="AI56">
        <v>100.5</v>
      </c>
      <c r="AJ56">
        <v>24.9</v>
      </c>
      <c r="AK56">
        <v>89</v>
      </c>
      <c r="AL56">
        <v>84.7</v>
      </c>
    </row>
    <row r="57" spans="1:38" x14ac:dyDescent="0.25">
      <c r="A57">
        <v>275</v>
      </c>
      <c r="B57">
        <v>2492</v>
      </c>
      <c r="C57">
        <v>1.9199999999999998E-2</v>
      </c>
      <c r="D57">
        <v>3.27E-2</v>
      </c>
      <c r="E57">
        <v>4.5699999999999998E-2</v>
      </c>
      <c r="F57">
        <v>63.7</v>
      </c>
      <c r="G57">
        <v>68.7</v>
      </c>
      <c r="H57">
        <v>27.6</v>
      </c>
      <c r="I57">
        <v>62.3</v>
      </c>
      <c r="J57">
        <v>59.3</v>
      </c>
      <c r="AC57">
        <v>275</v>
      </c>
      <c r="AD57">
        <v>3187</v>
      </c>
      <c r="AE57">
        <v>2.1100000000000001E-2</v>
      </c>
      <c r="AF57">
        <v>3.32E-2</v>
      </c>
      <c r="AG57">
        <v>4.6800000000000001E-2</v>
      </c>
      <c r="AH57">
        <v>93.6</v>
      </c>
      <c r="AI57">
        <v>101</v>
      </c>
      <c r="AJ57">
        <v>24.9</v>
      </c>
      <c r="AK57">
        <v>89.7</v>
      </c>
      <c r="AL57">
        <v>85.3</v>
      </c>
    </row>
    <row r="58" spans="1:38" x14ac:dyDescent="0.25">
      <c r="A58">
        <v>280</v>
      </c>
      <c r="B58">
        <v>2500</v>
      </c>
      <c r="C58">
        <v>1.9300000000000001E-2</v>
      </c>
      <c r="D58">
        <v>3.27E-2</v>
      </c>
      <c r="E58">
        <v>4.5699999999999998E-2</v>
      </c>
      <c r="F58">
        <v>64.900000000000006</v>
      </c>
      <c r="G58">
        <v>70</v>
      </c>
      <c r="H58">
        <v>27.4</v>
      </c>
      <c r="I58">
        <v>63.5</v>
      </c>
      <c r="J58">
        <v>60.3</v>
      </c>
      <c r="AC58">
        <v>280</v>
      </c>
      <c r="AD58">
        <v>3193</v>
      </c>
      <c r="AE58">
        <v>2.1000000000000001E-2</v>
      </c>
      <c r="AF58">
        <v>3.3000000000000002E-2</v>
      </c>
      <c r="AG58">
        <v>4.6699999999999998E-2</v>
      </c>
      <c r="AH58">
        <v>94.1</v>
      </c>
      <c r="AI58">
        <v>101.3</v>
      </c>
      <c r="AJ58">
        <v>24.8</v>
      </c>
      <c r="AK58">
        <v>90.1</v>
      </c>
      <c r="AL58">
        <v>85.7</v>
      </c>
    </row>
    <row r="59" spans="1:38" x14ac:dyDescent="0.25">
      <c r="A59">
        <v>285</v>
      </c>
      <c r="B59">
        <v>2491</v>
      </c>
      <c r="C59">
        <v>1.9300000000000001E-2</v>
      </c>
      <c r="D59">
        <v>3.27E-2</v>
      </c>
      <c r="E59">
        <v>4.5699999999999998E-2</v>
      </c>
      <c r="F59">
        <v>65.900000000000006</v>
      </c>
      <c r="G59">
        <v>70.8</v>
      </c>
      <c r="H59">
        <v>27.2</v>
      </c>
      <c r="I59">
        <v>64.5</v>
      </c>
      <c r="J59">
        <v>61.2</v>
      </c>
      <c r="AC59">
        <v>285</v>
      </c>
      <c r="AD59">
        <v>3206</v>
      </c>
      <c r="AE59">
        <v>2.1100000000000001E-2</v>
      </c>
      <c r="AF59">
        <v>3.2899999999999999E-2</v>
      </c>
      <c r="AG59">
        <v>4.6699999999999998E-2</v>
      </c>
      <c r="AH59">
        <v>94.5</v>
      </c>
      <c r="AI59">
        <v>101.7</v>
      </c>
      <c r="AJ59">
        <v>25</v>
      </c>
      <c r="AK59">
        <v>90.4</v>
      </c>
      <c r="AL59">
        <v>86.1</v>
      </c>
    </row>
    <row r="60" spans="1:38" x14ac:dyDescent="0.25">
      <c r="A60">
        <v>290</v>
      </c>
      <c r="B60">
        <v>2493</v>
      </c>
      <c r="C60">
        <v>1.9400000000000001E-2</v>
      </c>
      <c r="D60">
        <v>3.2800000000000003E-2</v>
      </c>
      <c r="E60">
        <v>4.58E-2</v>
      </c>
      <c r="F60">
        <v>66.599999999999994</v>
      </c>
      <c r="G60">
        <v>71.599999999999994</v>
      </c>
      <c r="H60">
        <v>27</v>
      </c>
      <c r="I60">
        <v>65.3</v>
      </c>
      <c r="J60">
        <v>61.9</v>
      </c>
      <c r="AC60">
        <v>290</v>
      </c>
      <c r="AD60">
        <v>3210</v>
      </c>
      <c r="AE60">
        <v>2.12E-2</v>
      </c>
      <c r="AF60">
        <v>3.32E-2</v>
      </c>
      <c r="AG60">
        <v>4.6800000000000001E-2</v>
      </c>
      <c r="AH60">
        <v>95</v>
      </c>
      <c r="AI60">
        <v>102.2</v>
      </c>
      <c r="AJ60">
        <v>25.1</v>
      </c>
      <c r="AK60" s="39">
        <v>90.4</v>
      </c>
      <c r="AL60">
        <v>86.6</v>
      </c>
    </row>
    <row r="61" spans="1:38" x14ac:dyDescent="0.25">
      <c r="A61">
        <v>295</v>
      </c>
      <c r="B61">
        <v>2490</v>
      </c>
      <c r="C61">
        <v>1.9400000000000001E-2</v>
      </c>
      <c r="D61">
        <v>3.2800000000000003E-2</v>
      </c>
      <c r="E61">
        <v>4.5699999999999998E-2</v>
      </c>
      <c r="F61">
        <v>67.099999999999994</v>
      </c>
      <c r="G61">
        <v>72</v>
      </c>
      <c r="H61">
        <v>26.9</v>
      </c>
      <c r="I61">
        <v>65.8</v>
      </c>
      <c r="J61">
        <v>62.3</v>
      </c>
      <c r="AC61">
        <v>295</v>
      </c>
      <c r="AD61">
        <v>3195</v>
      </c>
      <c r="AE61">
        <v>2.1299999999999999E-2</v>
      </c>
      <c r="AF61">
        <v>3.3300000000000003E-2</v>
      </c>
      <c r="AG61">
        <v>4.6899999999999997E-2</v>
      </c>
      <c r="AH61">
        <v>95.4</v>
      </c>
      <c r="AI61">
        <v>102.6</v>
      </c>
      <c r="AJ61">
        <v>25.2</v>
      </c>
      <c r="AK61" s="39">
        <v>90.8</v>
      </c>
      <c r="AL61">
        <v>87</v>
      </c>
    </row>
    <row r="62" spans="1:38" x14ac:dyDescent="0.25">
      <c r="A62">
        <v>300</v>
      </c>
      <c r="B62">
        <v>2487</v>
      </c>
      <c r="C62">
        <v>1.95E-2</v>
      </c>
      <c r="D62">
        <v>3.2800000000000003E-2</v>
      </c>
      <c r="E62">
        <v>4.58E-2</v>
      </c>
      <c r="F62">
        <v>67.5</v>
      </c>
      <c r="G62">
        <v>72.400000000000006</v>
      </c>
      <c r="H62">
        <v>26.9</v>
      </c>
      <c r="I62">
        <v>66.3</v>
      </c>
      <c r="J62">
        <v>62.7</v>
      </c>
      <c r="AC62">
        <v>300</v>
      </c>
      <c r="AD62">
        <v>3193</v>
      </c>
      <c r="AE62">
        <v>2.1299999999999999E-2</v>
      </c>
      <c r="AF62">
        <v>3.32E-2</v>
      </c>
      <c r="AG62">
        <v>4.6800000000000001E-2</v>
      </c>
      <c r="AH62">
        <v>95.7</v>
      </c>
      <c r="AI62">
        <v>102.9</v>
      </c>
      <c r="AJ62">
        <v>25.2</v>
      </c>
      <c r="AK62" s="39">
        <v>91.050000000000011</v>
      </c>
      <c r="AL62">
        <v>87.2</v>
      </c>
    </row>
    <row r="63" spans="1:38" x14ac:dyDescent="0.25">
      <c r="A63">
        <v>305</v>
      </c>
      <c r="B63">
        <v>2510</v>
      </c>
      <c r="C63">
        <v>1.95E-2</v>
      </c>
      <c r="D63">
        <v>3.2800000000000003E-2</v>
      </c>
      <c r="E63">
        <v>4.5900000000000003E-2</v>
      </c>
      <c r="F63">
        <v>68</v>
      </c>
      <c r="G63">
        <v>73</v>
      </c>
      <c r="H63">
        <v>27</v>
      </c>
      <c r="I63">
        <v>66.7</v>
      </c>
      <c r="J63">
        <v>63.2</v>
      </c>
      <c r="AC63">
        <v>305</v>
      </c>
      <c r="AD63">
        <v>3193</v>
      </c>
      <c r="AE63">
        <v>2.1299999999999999E-2</v>
      </c>
      <c r="AF63">
        <v>3.32E-2</v>
      </c>
      <c r="AG63">
        <v>4.6800000000000001E-2</v>
      </c>
      <c r="AH63">
        <v>96</v>
      </c>
      <c r="AI63">
        <v>103.3</v>
      </c>
      <c r="AJ63">
        <v>25.4</v>
      </c>
      <c r="AK63" s="39">
        <v>91.3</v>
      </c>
      <c r="AL63">
        <v>87.3</v>
      </c>
    </row>
    <row r="64" spans="1:38" x14ac:dyDescent="0.25">
      <c r="A64">
        <v>310</v>
      </c>
      <c r="B64">
        <v>2502</v>
      </c>
      <c r="C64">
        <v>1.9599999999999999E-2</v>
      </c>
      <c r="D64">
        <v>3.2899999999999999E-2</v>
      </c>
      <c r="E64">
        <v>4.5900000000000003E-2</v>
      </c>
      <c r="F64">
        <v>68.5</v>
      </c>
      <c r="G64">
        <v>73.400000000000006</v>
      </c>
      <c r="H64">
        <v>27.1</v>
      </c>
      <c r="I64">
        <v>67.2</v>
      </c>
      <c r="J64">
        <v>63.5</v>
      </c>
      <c r="AC64">
        <v>310</v>
      </c>
      <c r="AD64">
        <v>3192</v>
      </c>
      <c r="AE64">
        <v>2.1299999999999999E-2</v>
      </c>
      <c r="AF64">
        <v>3.3300000000000003E-2</v>
      </c>
      <c r="AG64">
        <v>4.6800000000000001E-2</v>
      </c>
      <c r="AH64">
        <v>96.1</v>
      </c>
      <c r="AI64">
        <v>103.5</v>
      </c>
      <c r="AJ64">
        <v>25.4</v>
      </c>
      <c r="AK64" s="39">
        <v>91.45</v>
      </c>
      <c r="AL64">
        <v>87.4</v>
      </c>
    </row>
    <row r="65" spans="1:38" x14ac:dyDescent="0.25">
      <c r="A65">
        <v>315</v>
      </c>
      <c r="B65">
        <v>2509</v>
      </c>
      <c r="C65">
        <v>1.9599999999999999E-2</v>
      </c>
      <c r="D65">
        <v>3.2800000000000003E-2</v>
      </c>
      <c r="E65">
        <v>4.5900000000000003E-2</v>
      </c>
      <c r="F65">
        <v>68.900000000000006</v>
      </c>
      <c r="G65">
        <v>73.900000000000006</v>
      </c>
      <c r="H65">
        <v>27.3</v>
      </c>
      <c r="I65">
        <v>67.7</v>
      </c>
      <c r="J65">
        <v>63.9</v>
      </c>
      <c r="AC65">
        <v>315</v>
      </c>
      <c r="AD65">
        <v>3196</v>
      </c>
      <c r="AE65">
        <v>2.1299999999999999E-2</v>
      </c>
      <c r="AF65">
        <v>3.3099999999999997E-2</v>
      </c>
      <c r="AG65">
        <v>4.6800000000000001E-2</v>
      </c>
      <c r="AH65">
        <v>96.4</v>
      </c>
      <c r="AI65">
        <v>103.6</v>
      </c>
      <c r="AJ65">
        <v>25.5</v>
      </c>
      <c r="AK65" s="39">
        <v>91.55</v>
      </c>
      <c r="AL65">
        <v>87.5</v>
      </c>
    </row>
    <row r="66" spans="1:38" x14ac:dyDescent="0.25">
      <c r="A66">
        <v>320</v>
      </c>
      <c r="B66">
        <v>2494</v>
      </c>
      <c r="C66">
        <v>1.9599999999999999E-2</v>
      </c>
      <c r="D66">
        <v>3.2800000000000003E-2</v>
      </c>
      <c r="E66">
        <v>4.58E-2</v>
      </c>
      <c r="F66">
        <v>69.2</v>
      </c>
      <c r="G66">
        <v>74.2</v>
      </c>
      <c r="H66">
        <v>27.3</v>
      </c>
      <c r="I66">
        <v>67.900000000000006</v>
      </c>
      <c r="J66">
        <v>64.2</v>
      </c>
      <c r="AC66">
        <v>320</v>
      </c>
      <c r="AD66">
        <v>3213</v>
      </c>
      <c r="AE66">
        <v>2.1399999999999999E-2</v>
      </c>
      <c r="AF66">
        <v>3.32E-2</v>
      </c>
      <c r="AG66">
        <v>4.6899999999999997E-2</v>
      </c>
      <c r="AH66">
        <v>96.5</v>
      </c>
      <c r="AI66">
        <v>103.8</v>
      </c>
      <c r="AJ66">
        <v>25.6</v>
      </c>
      <c r="AK66" s="39">
        <v>91.8</v>
      </c>
      <c r="AL66">
        <v>87.8</v>
      </c>
    </row>
    <row r="67" spans="1:38" x14ac:dyDescent="0.25">
      <c r="A67">
        <v>325</v>
      </c>
      <c r="B67">
        <v>2499</v>
      </c>
      <c r="C67">
        <v>1.9599999999999999E-2</v>
      </c>
      <c r="D67">
        <v>3.2800000000000003E-2</v>
      </c>
      <c r="E67">
        <v>4.5900000000000003E-2</v>
      </c>
      <c r="F67">
        <v>69.400000000000006</v>
      </c>
      <c r="G67">
        <v>74.3</v>
      </c>
      <c r="H67">
        <v>27.4</v>
      </c>
      <c r="I67">
        <v>68.3</v>
      </c>
      <c r="J67">
        <v>64.599999999999994</v>
      </c>
      <c r="AC67">
        <v>325</v>
      </c>
      <c r="AD67">
        <v>3220</v>
      </c>
      <c r="AE67">
        <v>2.1299999999999999E-2</v>
      </c>
      <c r="AF67">
        <v>3.32E-2</v>
      </c>
      <c r="AG67">
        <v>4.6899999999999997E-2</v>
      </c>
      <c r="AH67">
        <v>97</v>
      </c>
      <c r="AI67">
        <v>104.4</v>
      </c>
      <c r="AJ67">
        <v>25.8</v>
      </c>
      <c r="AK67" s="39">
        <v>92.35</v>
      </c>
      <c r="AL67">
        <v>88.3</v>
      </c>
    </row>
    <row r="68" spans="1:38" x14ac:dyDescent="0.25">
      <c r="A68">
        <v>330</v>
      </c>
      <c r="B68">
        <v>2491</v>
      </c>
      <c r="C68">
        <v>1.9599999999999999E-2</v>
      </c>
      <c r="D68">
        <v>3.2800000000000003E-2</v>
      </c>
      <c r="E68">
        <v>4.5900000000000003E-2</v>
      </c>
      <c r="F68">
        <v>69.7</v>
      </c>
      <c r="G68">
        <v>74.599999999999994</v>
      </c>
      <c r="H68">
        <v>27.5</v>
      </c>
      <c r="I68">
        <v>68.599999999999994</v>
      </c>
      <c r="J68">
        <v>64.7</v>
      </c>
      <c r="AC68">
        <v>330</v>
      </c>
      <c r="AD68">
        <v>3194</v>
      </c>
      <c r="AE68">
        <v>2.1499999999999998E-2</v>
      </c>
      <c r="AF68">
        <v>3.32E-2</v>
      </c>
      <c r="AG68">
        <v>4.6899999999999997E-2</v>
      </c>
      <c r="AH68">
        <v>97.3</v>
      </c>
      <c r="AI68">
        <v>104.5</v>
      </c>
      <c r="AJ68">
        <v>25.9</v>
      </c>
      <c r="AK68" s="39">
        <v>92.5</v>
      </c>
      <c r="AL68">
        <v>88.5</v>
      </c>
    </row>
    <row r="69" spans="1:38" x14ac:dyDescent="0.25">
      <c r="A69">
        <v>335</v>
      </c>
      <c r="B69">
        <v>2481</v>
      </c>
      <c r="C69">
        <v>1.9599999999999999E-2</v>
      </c>
      <c r="D69">
        <v>3.2800000000000003E-2</v>
      </c>
      <c r="E69">
        <v>4.5900000000000003E-2</v>
      </c>
      <c r="F69">
        <v>69.7</v>
      </c>
      <c r="G69">
        <v>74.599999999999994</v>
      </c>
      <c r="H69">
        <v>27.4</v>
      </c>
      <c r="I69">
        <v>68.7</v>
      </c>
      <c r="J69">
        <v>64.8</v>
      </c>
      <c r="AC69">
        <v>335</v>
      </c>
      <c r="AD69">
        <v>3194</v>
      </c>
      <c r="AE69">
        <v>2.1399999999999999E-2</v>
      </c>
      <c r="AF69">
        <v>3.3099999999999997E-2</v>
      </c>
      <c r="AG69">
        <v>4.6699999999999998E-2</v>
      </c>
      <c r="AH69">
        <v>97.4</v>
      </c>
      <c r="AI69">
        <v>104.5</v>
      </c>
      <c r="AJ69">
        <v>26</v>
      </c>
      <c r="AK69" s="39">
        <v>92.5</v>
      </c>
      <c r="AL69">
        <v>88.5</v>
      </c>
    </row>
    <row r="70" spans="1:38" x14ac:dyDescent="0.25">
      <c r="A70">
        <v>340</v>
      </c>
      <c r="B70">
        <v>2479</v>
      </c>
      <c r="C70">
        <v>1.9599999999999999E-2</v>
      </c>
      <c r="D70">
        <v>3.2800000000000003E-2</v>
      </c>
      <c r="E70">
        <v>4.5900000000000003E-2</v>
      </c>
      <c r="F70">
        <v>70</v>
      </c>
      <c r="G70">
        <v>74.8</v>
      </c>
      <c r="H70">
        <v>27.2</v>
      </c>
      <c r="I70">
        <v>68.8</v>
      </c>
      <c r="J70">
        <v>65</v>
      </c>
      <c r="AC70">
        <v>340</v>
      </c>
      <c r="AD70">
        <v>3205</v>
      </c>
      <c r="AE70">
        <v>2.1399999999999999E-2</v>
      </c>
      <c r="AF70">
        <v>3.32E-2</v>
      </c>
      <c r="AG70">
        <v>4.6899999999999997E-2</v>
      </c>
      <c r="AH70">
        <v>97.4</v>
      </c>
      <c r="AI70">
        <v>104.6</v>
      </c>
      <c r="AJ70">
        <v>26</v>
      </c>
      <c r="AK70" s="39">
        <v>92.5</v>
      </c>
      <c r="AL70">
        <v>88.4</v>
      </c>
    </row>
    <row r="71" spans="1:38" x14ac:dyDescent="0.25">
      <c r="A71">
        <v>345</v>
      </c>
      <c r="B71">
        <v>2490</v>
      </c>
      <c r="C71">
        <v>1.9599999999999999E-2</v>
      </c>
      <c r="D71">
        <v>3.2800000000000003E-2</v>
      </c>
      <c r="E71">
        <v>4.5900000000000003E-2</v>
      </c>
      <c r="F71">
        <v>69.900000000000006</v>
      </c>
      <c r="G71">
        <v>74.8</v>
      </c>
      <c r="H71">
        <v>27.1</v>
      </c>
      <c r="I71">
        <v>68.900000000000006</v>
      </c>
      <c r="J71">
        <v>64.900000000000006</v>
      </c>
      <c r="AC71">
        <v>345</v>
      </c>
      <c r="AD71">
        <v>3213</v>
      </c>
      <c r="AE71">
        <v>2.1399999999999999E-2</v>
      </c>
      <c r="AF71">
        <v>3.3300000000000003E-2</v>
      </c>
      <c r="AG71">
        <v>4.6899999999999997E-2</v>
      </c>
      <c r="AH71">
        <v>97.6</v>
      </c>
      <c r="AI71">
        <v>104.8</v>
      </c>
      <c r="AJ71">
        <v>26.1</v>
      </c>
      <c r="AK71" s="39">
        <v>92.699999999999989</v>
      </c>
      <c r="AL71">
        <v>88.6</v>
      </c>
    </row>
    <row r="72" spans="1:38" x14ac:dyDescent="0.25">
      <c r="A72">
        <v>350</v>
      </c>
      <c r="B72">
        <v>2482</v>
      </c>
      <c r="C72">
        <v>1.9699999999999999E-2</v>
      </c>
      <c r="D72">
        <v>3.2800000000000003E-2</v>
      </c>
      <c r="E72">
        <v>4.5999999999999999E-2</v>
      </c>
      <c r="F72">
        <v>69.900000000000006</v>
      </c>
      <c r="G72">
        <v>74.8</v>
      </c>
      <c r="H72">
        <v>27.1</v>
      </c>
      <c r="I72">
        <v>68.900000000000006</v>
      </c>
      <c r="J72">
        <v>64.900000000000006</v>
      </c>
      <c r="AC72">
        <v>350</v>
      </c>
      <c r="AD72">
        <v>3215</v>
      </c>
      <c r="AE72">
        <v>2.1399999999999999E-2</v>
      </c>
      <c r="AF72">
        <v>3.3399999999999999E-2</v>
      </c>
      <c r="AG72">
        <v>4.7E-2</v>
      </c>
      <c r="AH72">
        <v>98.1</v>
      </c>
      <c r="AI72">
        <v>105.5</v>
      </c>
      <c r="AJ72">
        <v>26.2</v>
      </c>
      <c r="AK72" s="39">
        <v>93.3</v>
      </c>
      <c r="AL72">
        <v>89.1</v>
      </c>
    </row>
    <row r="73" spans="1:38" x14ac:dyDescent="0.25">
      <c r="A73">
        <v>355</v>
      </c>
      <c r="B73">
        <v>2477</v>
      </c>
      <c r="C73">
        <v>1.9599999999999999E-2</v>
      </c>
      <c r="D73">
        <v>3.2800000000000003E-2</v>
      </c>
      <c r="E73">
        <v>4.5900000000000003E-2</v>
      </c>
      <c r="F73">
        <v>70</v>
      </c>
      <c r="G73">
        <v>74.8</v>
      </c>
      <c r="H73">
        <v>27.3</v>
      </c>
      <c r="I73">
        <v>69</v>
      </c>
      <c r="J73">
        <v>65.099999999999994</v>
      </c>
      <c r="AC73">
        <v>355</v>
      </c>
      <c r="AD73">
        <v>3206</v>
      </c>
      <c r="AE73">
        <v>2.1499999999999998E-2</v>
      </c>
      <c r="AF73">
        <v>3.3300000000000003E-2</v>
      </c>
      <c r="AG73">
        <v>4.6899999999999997E-2</v>
      </c>
      <c r="AH73">
        <v>98.5</v>
      </c>
      <c r="AI73">
        <v>105.8</v>
      </c>
      <c r="AJ73">
        <v>26.3</v>
      </c>
      <c r="AK73" s="39">
        <v>93.6</v>
      </c>
      <c r="AL73">
        <v>89.4</v>
      </c>
    </row>
    <row r="74" spans="1:38" x14ac:dyDescent="0.25">
      <c r="A74">
        <v>360</v>
      </c>
      <c r="B74">
        <v>2476</v>
      </c>
      <c r="C74">
        <v>1.9699999999999999E-2</v>
      </c>
      <c r="D74">
        <v>3.2800000000000003E-2</v>
      </c>
      <c r="E74">
        <v>4.5999999999999999E-2</v>
      </c>
      <c r="F74">
        <v>69.900000000000006</v>
      </c>
      <c r="G74">
        <v>74.7</v>
      </c>
      <c r="H74">
        <v>27.3</v>
      </c>
      <c r="I74">
        <v>69</v>
      </c>
      <c r="J74">
        <v>64.900000000000006</v>
      </c>
      <c r="AC74">
        <v>360</v>
      </c>
      <c r="AD74">
        <v>3216</v>
      </c>
      <c r="AE74">
        <v>2.1499999999999998E-2</v>
      </c>
      <c r="AF74">
        <v>3.3300000000000003E-2</v>
      </c>
      <c r="AG74">
        <v>4.6899999999999997E-2</v>
      </c>
      <c r="AH74">
        <v>98.7</v>
      </c>
      <c r="AI74">
        <v>106.2</v>
      </c>
      <c r="AJ74">
        <v>26.3</v>
      </c>
      <c r="AK74" s="39">
        <v>93.85</v>
      </c>
      <c r="AL74">
        <v>89.5</v>
      </c>
    </row>
    <row r="75" spans="1:38" x14ac:dyDescent="0.25">
      <c r="A75">
        <v>365</v>
      </c>
      <c r="B75">
        <v>2477</v>
      </c>
      <c r="C75">
        <v>1.9599999999999999E-2</v>
      </c>
      <c r="D75">
        <v>3.27E-2</v>
      </c>
      <c r="E75">
        <v>4.5900000000000003E-2</v>
      </c>
      <c r="F75">
        <v>69.8</v>
      </c>
      <c r="G75">
        <v>74.599999999999994</v>
      </c>
      <c r="H75">
        <v>27.5</v>
      </c>
      <c r="I75">
        <v>69</v>
      </c>
      <c r="J75">
        <v>64.900000000000006</v>
      </c>
      <c r="AC75">
        <v>365</v>
      </c>
      <c r="AD75">
        <v>3202</v>
      </c>
      <c r="AE75">
        <v>2.1499999999999998E-2</v>
      </c>
      <c r="AF75">
        <v>3.3300000000000003E-2</v>
      </c>
      <c r="AG75">
        <v>4.7E-2</v>
      </c>
      <c r="AH75">
        <v>98.9</v>
      </c>
      <c r="AI75">
        <v>106.3</v>
      </c>
      <c r="AJ75">
        <v>26.2</v>
      </c>
      <c r="AK75" s="39">
        <v>93.949999999999989</v>
      </c>
      <c r="AL75">
        <v>89.6</v>
      </c>
    </row>
    <row r="76" spans="1:38" x14ac:dyDescent="0.25">
      <c r="A76">
        <v>370</v>
      </c>
      <c r="B76">
        <v>2488</v>
      </c>
      <c r="C76">
        <v>1.9599999999999999E-2</v>
      </c>
      <c r="D76">
        <v>3.27E-2</v>
      </c>
      <c r="E76">
        <v>4.58E-2</v>
      </c>
      <c r="F76">
        <v>69.7</v>
      </c>
      <c r="G76">
        <v>74.5</v>
      </c>
      <c r="H76">
        <v>27.5</v>
      </c>
      <c r="I76">
        <v>68.900000000000006</v>
      </c>
      <c r="J76">
        <v>64.8</v>
      </c>
      <c r="AC76">
        <v>370</v>
      </c>
      <c r="AD76">
        <v>3217</v>
      </c>
      <c r="AE76">
        <v>2.1499999999999998E-2</v>
      </c>
      <c r="AF76">
        <v>3.3399999999999999E-2</v>
      </c>
      <c r="AG76">
        <v>4.7E-2</v>
      </c>
      <c r="AH76">
        <v>98.9</v>
      </c>
      <c r="AI76">
        <v>106.3</v>
      </c>
      <c r="AJ76">
        <v>26.3</v>
      </c>
      <c r="AK76" s="39">
        <v>94</v>
      </c>
      <c r="AL76">
        <v>89.7</v>
      </c>
    </row>
    <row r="77" spans="1:38" x14ac:dyDescent="0.25">
      <c r="A77">
        <v>375</v>
      </c>
      <c r="B77">
        <v>2479</v>
      </c>
      <c r="C77">
        <v>1.9599999999999999E-2</v>
      </c>
      <c r="D77">
        <v>3.2800000000000003E-2</v>
      </c>
      <c r="E77">
        <v>4.5900000000000003E-2</v>
      </c>
      <c r="F77">
        <v>69.8</v>
      </c>
      <c r="G77">
        <v>74.7</v>
      </c>
      <c r="H77">
        <v>27.5</v>
      </c>
      <c r="I77">
        <v>69.099999999999994</v>
      </c>
      <c r="J77">
        <v>65</v>
      </c>
      <c r="AC77">
        <v>375</v>
      </c>
      <c r="AD77">
        <v>3212</v>
      </c>
      <c r="AE77">
        <v>2.1499999999999998E-2</v>
      </c>
      <c r="AF77">
        <v>3.3399999999999999E-2</v>
      </c>
      <c r="AG77">
        <v>4.6899999999999997E-2</v>
      </c>
      <c r="AH77">
        <v>99.2</v>
      </c>
      <c r="AI77">
        <v>106.6</v>
      </c>
      <c r="AJ77">
        <v>26.5</v>
      </c>
      <c r="AK77" s="39">
        <v>94.3</v>
      </c>
      <c r="AL77">
        <v>90</v>
      </c>
    </row>
    <row r="78" spans="1:38" x14ac:dyDescent="0.25">
      <c r="A78">
        <v>380</v>
      </c>
      <c r="B78">
        <v>2483</v>
      </c>
      <c r="C78">
        <v>1.9699999999999999E-2</v>
      </c>
      <c r="D78">
        <v>3.2800000000000003E-2</v>
      </c>
      <c r="E78">
        <v>4.5999999999999999E-2</v>
      </c>
      <c r="F78">
        <v>70</v>
      </c>
      <c r="G78">
        <v>74.8</v>
      </c>
      <c r="H78">
        <v>27.5</v>
      </c>
      <c r="I78">
        <v>69.2</v>
      </c>
      <c r="J78">
        <v>65.099999999999994</v>
      </c>
      <c r="AC78">
        <v>380</v>
      </c>
      <c r="AD78">
        <v>3204</v>
      </c>
      <c r="AE78">
        <v>2.1499999999999998E-2</v>
      </c>
      <c r="AF78">
        <v>3.32E-2</v>
      </c>
      <c r="AG78">
        <v>4.6899999999999997E-2</v>
      </c>
      <c r="AH78">
        <v>99.2</v>
      </c>
      <c r="AI78">
        <v>106.6</v>
      </c>
      <c r="AJ78">
        <v>26.6</v>
      </c>
      <c r="AK78" s="39">
        <v>94.4</v>
      </c>
      <c r="AL78">
        <v>90.2</v>
      </c>
    </row>
    <row r="79" spans="1:38" x14ac:dyDescent="0.25">
      <c r="A79">
        <v>385</v>
      </c>
      <c r="B79">
        <v>2480</v>
      </c>
      <c r="C79">
        <v>1.9699999999999999E-2</v>
      </c>
      <c r="D79">
        <v>3.2899999999999999E-2</v>
      </c>
      <c r="E79">
        <v>4.5999999999999999E-2</v>
      </c>
      <c r="F79">
        <v>70.2</v>
      </c>
      <c r="G79">
        <v>75.099999999999994</v>
      </c>
      <c r="H79">
        <v>27.4</v>
      </c>
      <c r="I79">
        <v>69.3</v>
      </c>
      <c r="J79">
        <v>65.2</v>
      </c>
      <c r="AC79">
        <v>385</v>
      </c>
      <c r="AD79">
        <v>3210</v>
      </c>
      <c r="AE79">
        <v>2.1399999999999999E-2</v>
      </c>
      <c r="AF79">
        <v>3.32E-2</v>
      </c>
      <c r="AG79">
        <v>4.6800000000000001E-2</v>
      </c>
      <c r="AH79">
        <v>99.2</v>
      </c>
      <c r="AI79">
        <v>106.4</v>
      </c>
      <c r="AJ79">
        <v>26.7</v>
      </c>
      <c r="AK79" s="39">
        <v>94.300000000000011</v>
      </c>
      <c r="AL79">
        <v>90.2</v>
      </c>
    </row>
    <row r="80" spans="1:38" x14ac:dyDescent="0.25">
      <c r="A80">
        <v>390</v>
      </c>
      <c r="B80">
        <v>2490</v>
      </c>
      <c r="C80">
        <v>1.9699999999999999E-2</v>
      </c>
      <c r="D80">
        <v>3.2899999999999999E-2</v>
      </c>
      <c r="E80">
        <v>4.6100000000000002E-2</v>
      </c>
      <c r="F80">
        <v>70.099999999999994</v>
      </c>
      <c r="G80">
        <v>74.900000000000006</v>
      </c>
      <c r="H80">
        <v>27.2</v>
      </c>
      <c r="I80">
        <v>69.2</v>
      </c>
      <c r="J80">
        <v>65.099999999999994</v>
      </c>
      <c r="AC80">
        <v>390</v>
      </c>
      <c r="AD80">
        <v>3205</v>
      </c>
      <c r="AE80">
        <v>2.1399999999999999E-2</v>
      </c>
      <c r="AF80">
        <v>3.32E-2</v>
      </c>
      <c r="AG80">
        <v>4.7E-2</v>
      </c>
      <c r="AH80">
        <v>99.2</v>
      </c>
      <c r="AI80">
        <v>106.3</v>
      </c>
      <c r="AJ80">
        <v>26.8</v>
      </c>
      <c r="AK80" s="39">
        <v>94.199999999999989</v>
      </c>
      <c r="AL80">
        <v>90.1</v>
      </c>
    </row>
    <row r="81" spans="1:43" x14ac:dyDescent="0.25">
      <c r="A81" s="12">
        <v>395</v>
      </c>
      <c r="B81" s="12">
        <v>2488</v>
      </c>
      <c r="C81" s="12">
        <v>1.9699999999999999E-2</v>
      </c>
      <c r="D81" s="12">
        <v>3.3000000000000002E-2</v>
      </c>
      <c r="E81" s="12">
        <v>4.6100000000000002E-2</v>
      </c>
      <c r="F81" s="12">
        <v>70.099999999999994</v>
      </c>
      <c r="G81" s="12">
        <v>74.8</v>
      </c>
      <c r="H81" s="12">
        <v>27.2</v>
      </c>
      <c r="I81" s="12">
        <v>69.2</v>
      </c>
      <c r="J81" s="12">
        <v>65</v>
      </c>
      <c r="K81" s="12">
        <v>47.6</v>
      </c>
      <c r="AC81">
        <v>395</v>
      </c>
      <c r="AD81">
        <v>3222</v>
      </c>
      <c r="AE81">
        <v>2.1399999999999999E-2</v>
      </c>
      <c r="AF81">
        <v>3.32E-2</v>
      </c>
      <c r="AG81">
        <v>4.7E-2</v>
      </c>
      <c r="AH81">
        <v>99.4</v>
      </c>
      <c r="AI81">
        <v>106.6</v>
      </c>
      <c r="AJ81">
        <v>26.8</v>
      </c>
      <c r="AK81" s="39">
        <v>94.449999999999989</v>
      </c>
      <c r="AL81">
        <v>90.3</v>
      </c>
    </row>
    <row r="82" spans="1:43" x14ac:dyDescent="0.25">
      <c r="AC82">
        <v>400</v>
      </c>
      <c r="AD82">
        <v>3222</v>
      </c>
      <c r="AE82">
        <v>2.1499999999999998E-2</v>
      </c>
      <c r="AF82">
        <v>3.3099999999999997E-2</v>
      </c>
      <c r="AG82">
        <v>4.6899999999999997E-2</v>
      </c>
      <c r="AH82">
        <v>99.4</v>
      </c>
      <c r="AI82">
        <v>106.7</v>
      </c>
      <c r="AJ82">
        <v>26.8</v>
      </c>
      <c r="AK82" s="39">
        <v>94.45</v>
      </c>
      <c r="AL82">
        <v>90.2</v>
      </c>
    </row>
    <row r="83" spans="1:43" x14ac:dyDescent="0.25">
      <c r="AC83">
        <v>405</v>
      </c>
      <c r="AD83">
        <v>3203</v>
      </c>
      <c r="AE83">
        <v>2.1499999999999998E-2</v>
      </c>
      <c r="AF83">
        <v>3.3300000000000003E-2</v>
      </c>
      <c r="AG83">
        <v>4.7100000000000003E-2</v>
      </c>
      <c r="AH83">
        <v>99.3</v>
      </c>
      <c r="AI83">
        <v>106.6</v>
      </c>
      <c r="AJ83">
        <v>26.6</v>
      </c>
      <c r="AK83" s="39">
        <v>94.15</v>
      </c>
      <c r="AL83">
        <v>89.7</v>
      </c>
    </row>
    <row r="84" spans="1:43" x14ac:dyDescent="0.25">
      <c r="AC84">
        <v>410</v>
      </c>
      <c r="AD84">
        <v>3203</v>
      </c>
      <c r="AE84">
        <v>2.1399999999999999E-2</v>
      </c>
      <c r="AF84">
        <v>3.32E-2</v>
      </c>
      <c r="AG84">
        <v>4.7100000000000003E-2</v>
      </c>
      <c r="AH84">
        <v>98.8</v>
      </c>
      <c r="AI84">
        <v>106.1</v>
      </c>
      <c r="AJ84">
        <v>26.2</v>
      </c>
      <c r="AK84" s="39">
        <v>93.75</v>
      </c>
      <c r="AL84">
        <v>89.4</v>
      </c>
    </row>
    <row r="85" spans="1:43" x14ac:dyDescent="0.25">
      <c r="AC85">
        <v>415</v>
      </c>
      <c r="AD85">
        <v>3206</v>
      </c>
      <c r="AE85">
        <v>2.1399999999999999E-2</v>
      </c>
      <c r="AF85">
        <v>3.3099999999999997E-2</v>
      </c>
      <c r="AG85">
        <v>4.6800000000000001E-2</v>
      </c>
      <c r="AH85">
        <v>98.4</v>
      </c>
      <c r="AI85">
        <v>105.8</v>
      </c>
      <c r="AJ85">
        <v>26</v>
      </c>
      <c r="AK85" s="39">
        <v>93.449999999999989</v>
      </c>
      <c r="AL85">
        <v>89.1</v>
      </c>
    </row>
    <row r="86" spans="1:43" x14ac:dyDescent="0.25">
      <c r="AC86">
        <v>420</v>
      </c>
      <c r="AD86">
        <v>3226</v>
      </c>
      <c r="AE86">
        <v>2.1499999999999998E-2</v>
      </c>
      <c r="AF86">
        <v>3.3300000000000003E-2</v>
      </c>
      <c r="AG86">
        <v>4.7E-2</v>
      </c>
      <c r="AH86">
        <v>98.7</v>
      </c>
      <c r="AI86">
        <v>105.9</v>
      </c>
      <c r="AJ86">
        <v>26.1</v>
      </c>
      <c r="AK86" s="39">
        <v>93.800000000000011</v>
      </c>
      <c r="AL86">
        <v>89.7</v>
      </c>
    </row>
    <row r="87" spans="1:43" x14ac:dyDescent="0.25">
      <c r="AC87">
        <v>425</v>
      </c>
      <c r="AD87">
        <v>3228</v>
      </c>
      <c r="AE87">
        <v>2.1499999999999998E-2</v>
      </c>
      <c r="AF87">
        <v>3.3399999999999999E-2</v>
      </c>
      <c r="AG87">
        <v>4.7100000000000003E-2</v>
      </c>
      <c r="AH87">
        <v>99</v>
      </c>
      <c r="AI87">
        <v>106.3</v>
      </c>
      <c r="AJ87">
        <v>26.1</v>
      </c>
      <c r="AK87" s="39">
        <v>94.05</v>
      </c>
      <c r="AL87">
        <v>89.8</v>
      </c>
    </row>
    <row r="88" spans="1:43" x14ac:dyDescent="0.25">
      <c r="AC88">
        <v>430</v>
      </c>
      <c r="AD88">
        <v>3219</v>
      </c>
      <c r="AE88">
        <v>2.1499999999999998E-2</v>
      </c>
      <c r="AF88">
        <v>3.3399999999999999E-2</v>
      </c>
      <c r="AG88">
        <v>4.7E-2</v>
      </c>
      <c r="AH88">
        <v>99.2</v>
      </c>
      <c r="AI88">
        <v>106.6</v>
      </c>
      <c r="AJ88">
        <v>26</v>
      </c>
      <c r="AK88" s="39">
        <v>94.3</v>
      </c>
      <c r="AL88">
        <v>90</v>
      </c>
    </row>
    <row r="89" spans="1:43" x14ac:dyDescent="0.25">
      <c r="AC89" s="12">
        <v>435</v>
      </c>
      <c r="AD89" s="12">
        <v>3223</v>
      </c>
      <c r="AE89" s="12">
        <v>2.1499999999999998E-2</v>
      </c>
      <c r="AF89" s="12">
        <v>3.3399999999999999E-2</v>
      </c>
      <c r="AG89" s="12">
        <v>4.7E-2</v>
      </c>
      <c r="AH89" s="12">
        <v>99.3</v>
      </c>
      <c r="AI89" s="12">
        <v>106.6</v>
      </c>
      <c r="AJ89" s="12">
        <v>25.9</v>
      </c>
      <c r="AK89" s="40">
        <v>94.3</v>
      </c>
      <c r="AL89" s="12">
        <v>90</v>
      </c>
      <c r="AM89" s="12">
        <v>80.7</v>
      </c>
    </row>
    <row r="91" spans="1:43" x14ac:dyDescent="0.25">
      <c r="A91" s="179" t="s">
        <v>107</v>
      </c>
      <c r="B91" s="179"/>
      <c r="C91" s="179"/>
      <c r="D91" s="179"/>
      <c r="E91" s="179"/>
      <c r="F91" s="179"/>
      <c r="G91" s="179"/>
      <c r="H91" s="179"/>
      <c r="I91" s="179"/>
      <c r="J91" s="179"/>
      <c r="K91" s="179"/>
      <c r="L91" s="179"/>
      <c r="M91" s="179"/>
      <c r="N91" s="179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  <c r="AA91" s="179"/>
      <c r="AB91" s="179"/>
      <c r="AC91" s="179"/>
      <c r="AD91" s="179"/>
      <c r="AE91" s="179"/>
      <c r="AF91" s="179"/>
      <c r="AG91" s="179"/>
      <c r="AH91" s="179"/>
      <c r="AI91" s="179"/>
      <c r="AJ91" s="179"/>
      <c r="AK91" s="179"/>
      <c r="AL91" s="179"/>
      <c r="AM91" s="179"/>
      <c r="AN91" s="179"/>
      <c r="AO91" s="179"/>
      <c r="AP91" s="179"/>
      <c r="AQ91" s="179"/>
    </row>
    <row r="92" spans="1:43" x14ac:dyDescent="0.25">
      <c r="A92" t="s">
        <v>27</v>
      </c>
      <c r="B92" t="s">
        <v>65</v>
      </c>
      <c r="C92" t="s">
        <v>57</v>
      </c>
      <c r="D92" t="s">
        <v>66</v>
      </c>
      <c r="E92" t="s">
        <v>28</v>
      </c>
      <c r="F92" t="s">
        <v>44</v>
      </c>
      <c r="G92" t="s">
        <v>45</v>
      </c>
      <c r="H92" t="s">
        <v>46</v>
      </c>
      <c r="I92" t="s">
        <v>53</v>
      </c>
      <c r="J92" t="s">
        <v>47</v>
      </c>
      <c r="K92" t="s">
        <v>48</v>
      </c>
      <c r="L92" t="s">
        <v>32</v>
      </c>
      <c r="M92" t="s">
        <v>54</v>
      </c>
      <c r="N92" s="53" t="s">
        <v>34</v>
      </c>
      <c r="AC92" t="s">
        <v>27</v>
      </c>
      <c r="AD92" t="s">
        <v>65</v>
      </c>
      <c r="AE92" t="s">
        <v>57</v>
      </c>
      <c r="AF92" t="s">
        <v>66</v>
      </c>
      <c r="AG92" t="s">
        <v>28</v>
      </c>
      <c r="AH92" t="s">
        <v>44</v>
      </c>
      <c r="AI92" t="s">
        <v>45</v>
      </c>
      <c r="AJ92" t="s">
        <v>46</v>
      </c>
      <c r="AK92" t="s">
        <v>53</v>
      </c>
      <c r="AL92" t="s">
        <v>47</v>
      </c>
      <c r="AM92" t="s">
        <v>48</v>
      </c>
      <c r="AN92" t="s">
        <v>35</v>
      </c>
      <c r="AO92" t="s">
        <v>32</v>
      </c>
      <c r="AP92" t="s">
        <v>54</v>
      </c>
      <c r="AQ92" s="53" t="s">
        <v>34</v>
      </c>
    </row>
    <row r="93" spans="1:43" x14ac:dyDescent="0.25">
      <c r="A93">
        <v>5</v>
      </c>
      <c r="B93">
        <v>1</v>
      </c>
      <c r="C93">
        <v>1</v>
      </c>
      <c r="D93">
        <v>1</v>
      </c>
      <c r="E93">
        <v>1</v>
      </c>
      <c r="I93">
        <v>29.2</v>
      </c>
      <c r="J93">
        <v>28.1</v>
      </c>
      <c r="K93">
        <v>27.8</v>
      </c>
      <c r="L93">
        <v>28.9</v>
      </c>
      <c r="M93">
        <v>28.1</v>
      </c>
      <c r="N93" s="54"/>
      <c r="AC93">
        <v>5</v>
      </c>
      <c r="AD93">
        <v>1</v>
      </c>
      <c r="AE93">
        <v>1</v>
      </c>
      <c r="AF93">
        <v>1</v>
      </c>
      <c r="AG93">
        <v>1</v>
      </c>
      <c r="AH93">
        <v>0</v>
      </c>
      <c r="AI93">
        <v>0</v>
      </c>
      <c r="AJ93">
        <v>0</v>
      </c>
      <c r="AK93">
        <v>25.7</v>
      </c>
      <c r="AL93">
        <v>26</v>
      </c>
      <c r="AM93">
        <v>25.7</v>
      </c>
      <c r="AN93">
        <v>25.6</v>
      </c>
      <c r="AO93">
        <v>26</v>
      </c>
      <c r="AP93">
        <v>25.7</v>
      </c>
      <c r="AQ93" s="54"/>
    </row>
    <row r="94" spans="1:43" x14ac:dyDescent="0.25">
      <c r="A94">
        <v>10</v>
      </c>
      <c r="B94">
        <v>2538</v>
      </c>
      <c r="C94">
        <v>2601</v>
      </c>
      <c r="D94">
        <v>2547</v>
      </c>
      <c r="E94">
        <v>2562</v>
      </c>
      <c r="F94">
        <v>1.14E-2</v>
      </c>
      <c r="G94">
        <v>2.5100000000000001E-2</v>
      </c>
      <c r="H94">
        <v>3.6400000000000002E-2</v>
      </c>
      <c r="I94">
        <v>33.4</v>
      </c>
      <c r="J94">
        <v>29</v>
      </c>
      <c r="K94">
        <v>29.6</v>
      </c>
      <c r="L94">
        <v>31.6</v>
      </c>
      <c r="M94">
        <v>30.5</v>
      </c>
      <c r="N94" s="54"/>
      <c r="AC94">
        <v>10</v>
      </c>
      <c r="AD94">
        <v>2722</v>
      </c>
      <c r="AE94">
        <v>2722</v>
      </c>
      <c r="AF94">
        <v>2701</v>
      </c>
      <c r="AG94">
        <v>2715</v>
      </c>
      <c r="AH94">
        <v>1.1299999999999999E-2</v>
      </c>
      <c r="AI94">
        <v>2.5399999999999999E-2</v>
      </c>
      <c r="AJ94">
        <v>3.6499999999999998E-2</v>
      </c>
      <c r="AK94">
        <v>28.4</v>
      </c>
      <c r="AL94">
        <v>26.1</v>
      </c>
      <c r="AM94">
        <v>26.5</v>
      </c>
      <c r="AN94">
        <v>25.6</v>
      </c>
      <c r="AO94">
        <v>27.4</v>
      </c>
      <c r="AP94">
        <v>26.9</v>
      </c>
      <c r="AQ94" s="54"/>
    </row>
    <row r="95" spans="1:43" x14ac:dyDescent="0.25">
      <c r="A95">
        <v>15</v>
      </c>
      <c r="B95">
        <v>2508</v>
      </c>
      <c r="C95">
        <v>2576</v>
      </c>
      <c r="D95">
        <v>2528</v>
      </c>
      <c r="E95">
        <v>2537</v>
      </c>
      <c r="F95">
        <v>1.1599999999999999E-2</v>
      </c>
      <c r="G95">
        <v>2.53E-2</v>
      </c>
      <c r="H95">
        <v>3.6499999999999998E-2</v>
      </c>
      <c r="I95">
        <v>37.200000000000003</v>
      </c>
      <c r="J95">
        <v>29</v>
      </c>
      <c r="K95">
        <v>32.6</v>
      </c>
      <c r="L95">
        <v>35</v>
      </c>
      <c r="M95">
        <v>33.799999999999997</v>
      </c>
      <c r="N95" s="54"/>
      <c r="AC95">
        <v>15</v>
      </c>
      <c r="AD95">
        <v>2717</v>
      </c>
      <c r="AE95">
        <v>2720</v>
      </c>
      <c r="AF95">
        <v>2698</v>
      </c>
      <c r="AG95">
        <v>2712</v>
      </c>
      <c r="AH95">
        <v>1.14E-2</v>
      </c>
      <c r="AI95">
        <v>2.5499999999999998E-2</v>
      </c>
      <c r="AJ95">
        <v>3.6700000000000003E-2</v>
      </c>
      <c r="AK95">
        <v>33.5</v>
      </c>
      <c r="AL95">
        <v>26.3</v>
      </c>
      <c r="AM95">
        <v>29.5</v>
      </c>
      <c r="AN95">
        <v>25.9</v>
      </c>
      <c r="AO95">
        <v>31.4</v>
      </c>
      <c r="AP95">
        <v>30.6</v>
      </c>
      <c r="AQ95" s="54"/>
    </row>
    <row r="96" spans="1:43" x14ac:dyDescent="0.25">
      <c r="A96">
        <v>20</v>
      </c>
      <c r="B96">
        <v>2556</v>
      </c>
      <c r="C96">
        <v>2615</v>
      </c>
      <c r="D96">
        <v>2564</v>
      </c>
      <c r="E96">
        <v>2577</v>
      </c>
      <c r="F96">
        <v>1.1599999999999999E-2</v>
      </c>
      <c r="G96">
        <v>2.5100000000000001E-2</v>
      </c>
      <c r="H96">
        <v>3.6400000000000002E-2</v>
      </c>
      <c r="I96">
        <v>40.299999999999997</v>
      </c>
      <c r="J96">
        <v>29.3</v>
      </c>
      <c r="K96">
        <v>35.700000000000003</v>
      </c>
      <c r="L96">
        <v>38.1</v>
      </c>
      <c r="M96">
        <v>37</v>
      </c>
      <c r="N96" s="54"/>
      <c r="P96" s="109"/>
      <c r="AC96">
        <v>20</v>
      </c>
      <c r="AD96">
        <v>2742</v>
      </c>
      <c r="AE96">
        <v>2739</v>
      </c>
      <c r="AF96">
        <v>2725</v>
      </c>
      <c r="AG96">
        <v>2733</v>
      </c>
      <c r="AH96">
        <v>1.15E-2</v>
      </c>
      <c r="AI96">
        <v>2.5600000000000001E-2</v>
      </c>
      <c r="AJ96">
        <v>3.6700000000000003E-2</v>
      </c>
      <c r="AK96">
        <v>37.299999999999997</v>
      </c>
      <c r="AL96">
        <v>26.5</v>
      </c>
      <c r="AM96">
        <v>32.9</v>
      </c>
      <c r="AN96">
        <v>25.9</v>
      </c>
      <c r="AO96">
        <v>35</v>
      </c>
      <c r="AP96">
        <v>34.1</v>
      </c>
      <c r="AQ96" s="54"/>
    </row>
    <row r="97" spans="1:43" x14ac:dyDescent="0.25">
      <c r="A97">
        <v>25</v>
      </c>
      <c r="B97">
        <v>2550</v>
      </c>
      <c r="C97">
        <v>2609</v>
      </c>
      <c r="D97">
        <v>2560</v>
      </c>
      <c r="E97">
        <v>2573</v>
      </c>
      <c r="F97">
        <v>1.17E-2</v>
      </c>
      <c r="G97">
        <v>2.52E-2</v>
      </c>
      <c r="H97">
        <v>3.6499999999999998E-2</v>
      </c>
      <c r="I97">
        <v>43</v>
      </c>
      <c r="J97">
        <v>29.4</v>
      </c>
      <c r="K97">
        <v>38.200000000000003</v>
      </c>
      <c r="L97">
        <v>40.799999999999997</v>
      </c>
      <c r="M97">
        <v>39.700000000000003</v>
      </c>
      <c r="N97" s="54"/>
      <c r="AC97">
        <v>25</v>
      </c>
      <c r="AD97">
        <v>2725</v>
      </c>
      <c r="AE97">
        <v>2724</v>
      </c>
      <c r="AF97">
        <v>2712</v>
      </c>
      <c r="AG97">
        <v>2720</v>
      </c>
      <c r="AH97">
        <v>1.1599999999999999E-2</v>
      </c>
      <c r="AI97">
        <v>2.5499999999999998E-2</v>
      </c>
      <c r="AJ97">
        <v>3.6700000000000003E-2</v>
      </c>
      <c r="AK97">
        <v>40.299999999999997</v>
      </c>
      <c r="AL97">
        <v>26.3</v>
      </c>
      <c r="AM97">
        <v>35.700000000000003</v>
      </c>
      <c r="AN97">
        <v>25.9</v>
      </c>
      <c r="AO97">
        <v>38.1</v>
      </c>
      <c r="AP97">
        <v>37.1</v>
      </c>
      <c r="AQ97" s="54"/>
    </row>
    <row r="98" spans="1:43" x14ac:dyDescent="0.25">
      <c r="A98">
        <v>30</v>
      </c>
      <c r="B98">
        <v>2541</v>
      </c>
      <c r="C98">
        <v>2600</v>
      </c>
      <c r="D98">
        <v>2556</v>
      </c>
      <c r="E98">
        <v>2566</v>
      </c>
      <c r="F98">
        <v>1.18E-2</v>
      </c>
      <c r="G98">
        <v>2.5100000000000001E-2</v>
      </c>
      <c r="H98">
        <v>3.6600000000000001E-2</v>
      </c>
      <c r="I98">
        <v>45.6</v>
      </c>
      <c r="J98">
        <v>29.3</v>
      </c>
      <c r="K98">
        <v>40.6</v>
      </c>
      <c r="L98">
        <v>43.4</v>
      </c>
      <c r="M98">
        <v>42</v>
      </c>
      <c r="N98" s="54"/>
      <c r="AC98">
        <v>30</v>
      </c>
      <c r="AD98">
        <v>2722</v>
      </c>
      <c r="AE98">
        <v>2727</v>
      </c>
      <c r="AF98">
        <v>2714</v>
      </c>
      <c r="AG98">
        <v>2721</v>
      </c>
      <c r="AH98">
        <v>1.17E-2</v>
      </c>
      <c r="AI98">
        <v>2.5399999999999999E-2</v>
      </c>
      <c r="AJ98">
        <v>3.6799999999999999E-2</v>
      </c>
      <c r="AK98">
        <v>43</v>
      </c>
      <c r="AL98">
        <v>26.8</v>
      </c>
      <c r="AM98">
        <v>38.299999999999997</v>
      </c>
      <c r="AN98">
        <v>26.2</v>
      </c>
      <c r="AO98">
        <v>40.799999999999997</v>
      </c>
      <c r="AP98">
        <v>39.799999999999997</v>
      </c>
      <c r="AQ98" s="54"/>
    </row>
    <row r="99" spans="1:43" x14ac:dyDescent="0.25">
      <c r="A99">
        <v>35</v>
      </c>
      <c r="B99">
        <v>2533</v>
      </c>
      <c r="C99">
        <v>2598</v>
      </c>
      <c r="D99">
        <v>2551</v>
      </c>
      <c r="E99">
        <v>2561</v>
      </c>
      <c r="F99">
        <v>1.18E-2</v>
      </c>
      <c r="G99">
        <v>2.5000000000000001E-2</v>
      </c>
      <c r="H99">
        <v>3.6499999999999998E-2</v>
      </c>
      <c r="I99">
        <v>47.7</v>
      </c>
      <c r="J99">
        <v>29.3</v>
      </c>
      <c r="K99">
        <v>42.3</v>
      </c>
      <c r="L99">
        <v>45.5</v>
      </c>
      <c r="M99">
        <v>44.1</v>
      </c>
      <c r="N99" s="54"/>
      <c r="P99" s="8"/>
      <c r="Q99" s="8"/>
      <c r="R99" s="8"/>
      <c r="AC99">
        <v>35</v>
      </c>
      <c r="AD99">
        <v>2716</v>
      </c>
      <c r="AE99">
        <v>2719</v>
      </c>
      <c r="AF99">
        <v>2709</v>
      </c>
      <c r="AG99">
        <v>2715</v>
      </c>
      <c r="AH99">
        <v>1.18E-2</v>
      </c>
      <c r="AI99">
        <v>2.5499999999999998E-2</v>
      </c>
      <c r="AJ99">
        <v>3.6799999999999999E-2</v>
      </c>
      <c r="AK99">
        <v>45.3</v>
      </c>
      <c r="AL99">
        <v>27</v>
      </c>
      <c r="AM99">
        <v>40.4</v>
      </c>
      <c r="AN99">
        <v>26.4</v>
      </c>
      <c r="AO99">
        <v>43</v>
      </c>
      <c r="AP99">
        <v>42</v>
      </c>
      <c r="AQ99" s="54"/>
    </row>
    <row r="100" spans="1:43" x14ac:dyDescent="0.25">
      <c r="A100">
        <v>40</v>
      </c>
      <c r="B100">
        <v>2532</v>
      </c>
      <c r="C100">
        <v>2593</v>
      </c>
      <c r="D100">
        <v>2544</v>
      </c>
      <c r="E100">
        <v>2556</v>
      </c>
      <c r="F100">
        <v>1.1900000000000001E-2</v>
      </c>
      <c r="G100">
        <v>2.52E-2</v>
      </c>
      <c r="H100">
        <v>3.6600000000000001E-2</v>
      </c>
      <c r="I100">
        <v>49.5</v>
      </c>
      <c r="J100">
        <v>29.3</v>
      </c>
      <c r="K100">
        <v>44</v>
      </c>
      <c r="L100">
        <v>47.2</v>
      </c>
      <c r="M100">
        <v>45.8</v>
      </c>
      <c r="N100" s="54"/>
      <c r="AC100">
        <v>40</v>
      </c>
      <c r="AD100">
        <v>2713</v>
      </c>
      <c r="AE100">
        <v>2714</v>
      </c>
      <c r="AF100">
        <v>2703</v>
      </c>
      <c r="AG100">
        <v>2710</v>
      </c>
      <c r="AH100">
        <v>1.18E-2</v>
      </c>
      <c r="AI100">
        <v>2.5499999999999998E-2</v>
      </c>
      <c r="AJ100">
        <v>3.6900000000000002E-2</v>
      </c>
      <c r="AK100">
        <v>47.5</v>
      </c>
      <c r="AL100">
        <v>27</v>
      </c>
      <c r="AM100">
        <v>42.4</v>
      </c>
      <c r="AN100">
        <v>26.4</v>
      </c>
      <c r="AO100">
        <v>45.1</v>
      </c>
      <c r="AP100">
        <v>44.1</v>
      </c>
      <c r="AQ100" s="54"/>
    </row>
    <row r="101" spans="1:43" x14ac:dyDescent="0.25">
      <c r="A101">
        <v>45</v>
      </c>
      <c r="B101">
        <v>2525</v>
      </c>
      <c r="C101">
        <v>2591</v>
      </c>
      <c r="D101">
        <v>2546</v>
      </c>
      <c r="E101">
        <v>2554</v>
      </c>
      <c r="F101">
        <v>1.1900000000000001E-2</v>
      </c>
      <c r="G101">
        <v>2.5100000000000001E-2</v>
      </c>
      <c r="H101">
        <v>3.6600000000000001E-2</v>
      </c>
      <c r="I101">
        <v>51</v>
      </c>
      <c r="J101">
        <v>29.5</v>
      </c>
      <c r="K101">
        <v>45.5</v>
      </c>
      <c r="L101">
        <v>48.7</v>
      </c>
      <c r="M101">
        <v>47.3</v>
      </c>
      <c r="N101" s="54"/>
      <c r="AC101">
        <v>45</v>
      </c>
      <c r="AD101">
        <v>2709</v>
      </c>
      <c r="AE101">
        <v>2703</v>
      </c>
      <c r="AF101">
        <v>2700</v>
      </c>
      <c r="AG101">
        <v>2704</v>
      </c>
      <c r="AH101">
        <v>1.1900000000000001E-2</v>
      </c>
      <c r="AI101">
        <v>2.5600000000000001E-2</v>
      </c>
      <c r="AJ101">
        <v>3.6900000000000002E-2</v>
      </c>
      <c r="AK101">
        <v>49.1</v>
      </c>
      <c r="AL101">
        <v>27.1</v>
      </c>
      <c r="AM101">
        <v>44</v>
      </c>
      <c r="AN101">
        <v>26.4</v>
      </c>
      <c r="AO101">
        <v>46.8</v>
      </c>
      <c r="AP101">
        <v>45.8</v>
      </c>
      <c r="AQ101" s="54"/>
    </row>
    <row r="102" spans="1:43" x14ac:dyDescent="0.25">
      <c r="A102">
        <v>50</v>
      </c>
      <c r="B102">
        <v>2516</v>
      </c>
      <c r="C102">
        <v>2587</v>
      </c>
      <c r="D102">
        <v>2540</v>
      </c>
      <c r="E102">
        <v>2548</v>
      </c>
      <c r="F102">
        <v>1.2E-2</v>
      </c>
      <c r="G102">
        <v>2.5100000000000001E-2</v>
      </c>
      <c r="H102">
        <v>3.6700000000000003E-2</v>
      </c>
      <c r="I102">
        <v>52.2</v>
      </c>
      <c r="J102">
        <v>29.5</v>
      </c>
      <c r="K102">
        <v>46.8</v>
      </c>
      <c r="L102">
        <v>50</v>
      </c>
      <c r="M102">
        <v>48.6</v>
      </c>
      <c r="N102" s="54"/>
      <c r="AC102">
        <v>50</v>
      </c>
      <c r="AD102">
        <v>2713</v>
      </c>
      <c r="AE102">
        <v>2718</v>
      </c>
      <c r="AF102">
        <v>2707</v>
      </c>
      <c r="AG102">
        <v>2713</v>
      </c>
      <c r="AH102">
        <v>1.1900000000000001E-2</v>
      </c>
      <c r="AI102">
        <v>2.5600000000000001E-2</v>
      </c>
      <c r="AJ102">
        <v>3.6900000000000002E-2</v>
      </c>
      <c r="AK102">
        <v>50.6</v>
      </c>
      <c r="AL102">
        <v>27.2</v>
      </c>
      <c r="AM102">
        <v>45.4</v>
      </c>
      <c r="AN102">
        <v>26.5</v>
      </c>
      <c r="AO102">
        <v>48.3</v>
      </c>
      <c r="AP102">
        <v>47.3</v>
      </c>
      <c r="AQ102" s="54"/>
    </row>
    <row r="103" spans="1:43" x14ac:dyDescent="0.25">
      <c r="A103">
        <v>55</v>
      </c>
      <c r="B103">
        <v>2534</v>
      </c>
      <c r="C103">
        <v>2593</v>
      </c>
      <c r="D103">
        <v>2553</v>
      </c>
      <c r="E103">
        <v>2560</v>
      </c>
      <c r="F103">
        <v>1.2E-2</v>
      </c>
      <c r="G103">
        <v>2.52E-2</v>
      </c>
      <c r="H103">
        <v>3.6700000000000003E-2</v>
      </c>
      <c r="I103">
        <v>53.2</v>
      </c>
      <c r="J103">
        <v>29.5</v>
      </c>
      <c r="K103">
        <v>47.8</v>
      </c>
      <c r="L103">
        <v>51.1</v>
      </c>
      <c r="M103">
        <v>49.7</v>
      </c>
      <c r="N103" s="54"/>
      <c r="AC103">
        <v>55</v>
      </c>
      <c r="AD103">
        <v>2723</v>
      </c>
      <c r="AE103">
        <v>2725</v>
      </c>
      <c r="AF103">
        <v>2714</v>
      </c>
      <c r="AG103">
        <v>2721</v>
      </c>
      <c r="AH103">
        <v>1.1900000000000001E-2</v>
      </c>
      <c r="AI103">
        <v>2.5499999999999998E-2</v>
      </c>
      <c r="AJ103">
        <v>3.6900000000000002E-2</v>
      </c>
      <c r="AK103">
        <v>51.9</v>
      </c>
      <c r="AL103">
        <v>27.2</v>
      </c>
      <c r="AM103">
        <v>46.6</v>
      </c>
      <c r="AN103">
        <v>26.5</v>
      </c>
      <c r="AO103">
        <v>49.6</v>
      </c>
      <c r="AP103">
        <v>48.5</v>
      </c>
      <c r="AQ103" s="54"/>
    </row>
    <row r="104" spans="1:43" x14ac:dyDescent="0.25">
      <c r="A104">
        <v>60</v>
      </c>
      <c r="B104">
        <v>2536</v>
      </c>
      <c r="C104">
        <v>2594</v>
      </c>
      <c r="D104">
        <v>2555</v>
      </c>
      <c r="E104">
        <v>2562</v>
      </c>
      <c r="F104">
        <v>1.21E-2</v>
      </c>
      <c r="G104">
        <v>2.5100000000000001E-2</v>
      </c>
      <c r="H104">
        <v>3.6700000000000003E-2</v>
      </c>
      <c r="I104">
        <v>54.1</v>
      </c>
      <c r="J104">
        <v>29.8</v>
      </c>
      <c r="K104">
        <v>48.8</v>
      </c>
      <c r="L104">
        <v>52.1</v>
      </c>
      <c r="M104">
        <v>50.7</v>
      </c>
      <c r="N104" s="54"/>
      <c r="AC104">
        <v>60</v>
      </c>
      <c r="AD104">
        <v>2714</v>
      </c>
      <c r="AE104">
        <v>2715</v>
      </c>
      <c r="AF104">
        <v>2708</v>
      </c>
      <c r="AG104">
        <v>2712</v>
      </c>
      <c r="AH104">
        <v>1.2E-2</v>
      </c>
      <c r="AI104">
        <v>2.5600000000000001E-2</v>
      </c>
      <c r="AJ104">
        <v>3.6900000000000002E-2</v>
      </c>
      <c r="AK104">
        <v>52.9</v>
      </c>
      <c r="AL104">
        <v>27.1</v>
      </c>
      <c r="AM104">
        <v>47.7</v>
      </c>
      <c r="AN104">
        <v>26.5</v>
      </c>
      <c r="AO104">
        <v>50.6</v>
      </c>
      <c r="AP104">
        <v>49.6</v>
      </c>
      <c r="AQ104" s="54"/>
    </row>
    <row r="105" spans="1:43" x14ac:dyDescent="0.25">
      <c r="A105">
        <v>65</v>
      </c>
      <c r="B105">
        <v>2529</v>
      </c>
      <c r="C105">
        <v>2587</v>
      </c>
      <c r="D105">
        <v>2546</v>
      </c>
      <c r="E105">
        <v>2554</v>
      </c>
      <c r="F105">
        <v>1.21E-2</v>
      </c>
      <c r="G105">
        <v>2.5100000000000001E-2</v>
      </c>
      <c r="H105">
        <v>3.6700000000000003E-2</v>
      </c>
      <c r="I105">
        <v>54.6</v>
      </c>
      <c r="J105">
        <v>29.5</v>
      </c>
      <c r="K105">
        <v>49.6</v>
      </c>
      <c r="L105">
        <v>52.7</v>
      </c>
      <c r="M105">
        <v>51.5</v>
      </c>
      <c r="N105" s="54"/>
      <c r="AC105">
        <v>65</v>
      </c>
      <c r="AD105">
        <v>2708</v>
      </c>
      <c r="AE105">
        <v>2704</v>
      </c>
      <c r="AF105">
        <v>2705</v>
      </c>
      <c r="AG105">
        <v>2706</v>
      </c>
      <c r="AH105">
        <v>1.21E-2</v>
      </c>
      <c r="AI105">
        <v>2.5600000000000001E-2</v>
      </c>
      <c r="AJ105">
        <v>3.6999999999999998E-2</v>
      </c>
      <c r="AK105">
        <v>53.9</v>
      </c>
      <c r="AL105">
        <v>27.3</v>
      </c>
      <c r="AM105">
        <v>48.6</v>
      </c>
      <c r="AN105">
        <v>26.6</v>
      </c>
      <c r="AO105">
        <v>51.7</v>
      </c>
      <c r="AP105">
        <v>50.5</v>
      </c>
      <c r="AQ105" s="54"/>
    </row>
    <row r="106" spans="1:43" x14ac:dyDescent="0.25">
      <c r="A106">
        <v>70</v>
      </c>
      <c r="B106">
        <v>2524</v>
      </c>
      <c r="C106">
        <v>2581</v>
      </c>
      <c r="D106">
        <v>2542</v>
      </c>
      <c r="E106">
        <v>2549</v>
      </c>
      <c r="F106">
        <v>1.21E-2</v>
      </c>
      <c r="G106">
        <v>2.5100000000000001E-2</v>
      </c>
      <c r="H106">
        <v>3.6700000000000003E-2</v>
      </c>
      <c r="I106">
        <v>55.3</v>
      </c>
      <c r="J106">
        <v>29.6</v>
      </c>
      <c r="K106">
        <v>50.3</v>
      </c>
      <c r="L106">
        <v>53.3</v>
      </c>
      <c r="M106">
        <v>52.2</v>
      </c>
      <c r="N106" s="54"/>
      <c r="AC106">
        <v>70</v>
      </c>
      <c r="AD106">
        <v>2709</v>
      </c>
      <c r="AE106">
        <v>2708</v>
      </c>
      <c r="AF106">
        <v>2713</v>
      </c>
      <c r="AG106">
        <v>2710</v>
      </c>
      <c r="AH106">
        <v>1.2200000000000001E-2</v>
      </c>
      <c r="AI106">
        <v>2.5600000000000001E-2</v>
      </c>
      <c r="AJ106">
        <v>3.7100000000000001E-2</v>
      </c>
      <c r="AK106">
        <v>54.8</v>
      </c>
      <c r="AL106">
        <v>27.2</v>
      </c>
      <c r="AM106">
        <v>49.3</v>
      </c>
      <c r="AN106">
        <v>26.6</v>
      </c>
      <c r="AO106">
        <v>52.6</v>
      </c>
      <c r="AP106">
        <v>51.3</v>
      </c>
      <c r="AQ106" s="54"/>
    </row>
    <row r="107" spans="1:43" x14ac:dyDescent="0.25">
      <c r="A107">
        <v>75</v>
      </c>
      <c r="B107">
        <v>2530</v>
      </c>
      <c r="C107">
        <v>2589</v>
      </c>
      <c r="D107">
        <v>2547</v>
      </c>
      <c r="E107">
        <v>2555</v>
      </c>
      <c r="F107">
        <v>1.21E-2</v>
      </c>
      <c r="G107">
        <v>2.5100000000000001E-2</v>
      </c>
      <c r="H107">
        <v>3.6600000000000001E-2</v>
      </c>
      <c r="I107">
        <v>55.9</v>
      </c>
      <c r="J107">
        <v>29.9</v>
      </c>
      <c r="K107">
        <v>50.9</v>
      </c>
      <c r="L107">
        <v>53.8</v>
      </c>
      <c r="M107">
        <v>52.7</v>
      </c>
      <c r="N107" s="54"/>
      <c r="AC107">
        <v>75</v>
      </c>
      <c r="AD107">
        <v>2704</v>
      </c>
      <c r="AE107">
        <v>2707</v>
      </c>
      <c r="AF107">
        <v>2704</v>
      </c>
      <c r="AG107">
        <v>2705</v>
      </c>
      <c r="AH107">
        <v>1.2200000000000001E-2</v>
      </c>
      <c r="AI107">
        <v>2.5499999999999998E-2</v>
      </c>
      <c r="AJ107">
        <v>3.6999999999999998E-2</v>
      </c>
      <c r="AK107">
        <v>55.6</v>
      </c>
      <c r="AL107">
        <v>27.2</v>
      </c>
      <c r="AM107">
        <v>49.9</v>
      </c>
      <c r="AN107">
        <v>26.6</v>
      </c>
      <c r="AO107">
        <v>53.3</v>
      </c>
      <c r="AP107">
        <v>51.9</v>
      </c>
      <c r="AQ107" s="54"/>
    </row>
    <row r="108" spans="1:43" x14ac:dyDescent="0.25">
      <c r="A108">
        <v>80</v>
      </c>
      <c r="B108">
        <v>2527</v>
      </c>
      <c r="C108">
        <v>2582</v>
      </c>
      <c r="D108">
        <v>2545</v>
      </c>
      <c r="E108">
        <v>2551</v>
      </c>
      <c r="F108">
        <v>1.2200000000000001E-2</v>
      </c>
      <c r="G108">
        <v>2.52E-2</v>
      </c>
      <c r="H108">
        <v>3.6799999999999999E-2</v>
      </c>
      <c r="I108">
        <v>56.2</v>
      </c>
      <c r="J108">
        <v>30</v>
      </c>
      <c r="K108">
        <v>51.4</v>
      </c>
      <c r="L108">
        <v>54.3</v>
      </c>
      <c r="M108">
        <v>53.3</v>
      </c>
      <c r="N108" s="54"/>
      <c r="AC108">
        <v>80</v>
      </c>
      <c r="AD108">
        <v>2693</v>
      </c>
      <c r="AE108">
        <v>2705</v>
      </c>
      <c r="AF108">
        <v>2697</v>
      </c>
      <c r="AG108">
        <v>2698</v>
      </c>
      <c r="AH108">
        <v>1.2200000000000001E-2</v>
      </c>
      <c r="AI108">
        <v>2.5600000000000001E-2</v>
      </c>
      <c r="AJ108">
        <v>3.6999999999999998E-2</v>
      </c>
      <c r="AK108">
        <v>56.2</v>
      </c>
      <c r="AL108">
        <v>27.6</v>
      </c>
      <c r="AM108">
        <v>50.6</v>
      </c>
      <c r="AN108">
        <v>26.9</v>
      </c>
      <c r="AO108">
        <v>53.9</v>
      </c>
      <c r="AP108">
        <v>52.7</v>
      </c>
      <c r="AQ108" s="54"/>
    </row>
    <row r="109" spans="1:43" x14ac:dyDescent="0.25">
      <c r="A109">
        <v>85</v>
      </c>
      <c r="B109">
        <v>2539</v>
      </c>
      <c r="C109">
        <v>2596</v>
      </c>
      <c r="D109">
        <v>2559</v>
      </c>
      <c r="E109">
        <v>2565</v>
      </c>
      <c r="F109">
        <v>1.2200000000000001E-2</v>
      </c>
      <c r="G109">
        <v>2.52E-2</v>
      </c>
      <c r="H109">
        <v>3.6799999999999999E-2</v>
      </c>
      <c r="I109">
        <v>56.6</v>
      </c>
      <c r="J109">
        <v>30.1</v>
      </c>
      <c r="K109">
        <v>51.8</v>
      </c>
      <c r="L109">
        <v>54.7</v>
      </c>
      <c r="M109">
        <v>53.6</v>
      </c>
      <c r="N109" s="54"/>
      <c r="AC109">
        <v>85</v>
      </c>
      <c r="AD109">
        <v>2695</v>
      </c>
      <c r="AE109">
        <v>2701</v>
      </c>
      <c r="AF109">
        <v>2699</v>
      </c>
      <c r="AG109">
        <v>2698</v>
      </c>
      <c r="AH109">
        <v>1.2200000000000001E-2</v>
      </c>
      <c r="AI109">
        <v>2.5600000000000001E-2</v>
      </c>
      <c r="AJ109">
        <v>3.6999999999999998E-2</v>
      </c>
      <c r="AK109">
        <v>56.9</v>
      </c>
      <c r="AL109">
        <v>28</v>
      </c>
      <c r="AM109">
        <v>51.3</v>
      </c>
      <c r="AN109">
        <v>27.2</v>
      </c>
      <c r="AO109">
        <v>54.6</v>
      </c>
      <c r="AP109">
        <v>53.4</v>
      </c>
      <c r="AQ109" s="54"/>
    </row>
    <row r="110" spans="1:43" x14ac:dyDescent="0.25">
      <c r="A110">
        <v>90</v>
      </c>
      <c r="B110">
        <v>2516</v>
      </c>
      <c r="C110">
        <v>2572</v>
      </c>
      <c r="D110">
        <v>2534</v>
      </c>
      <c r="E110">
        <v>2541</v>
      </c>
      <c r="F110">
        <v>1.2200000000000001E-2</v>
      </c>
      <c r="G110">
        <v>2.52E-2</v>
      </c>
      <c r="H110">
        <v>3.6799999999999999E-2</v>
      </c>
      <c r="I110">
        <v>56.9</v>
      </c>
      <c r="J110">
        <v>30</v>
      </c>
      <c r="K110">
        <v>52.2</v>
      </c>
      <c r="L110">
        <v>55</v>
      </c>
      <c r="M110">
        <v>54</v>
      </c>
      <c r="N110" s="54"/>
      <c r="P110">
        <v>29.2</v>
      </c>
      <c r="Q110">
        <v>34</v>
      </c>
      <c r="R110">
        <v>46.3</v>
      </c>
      <c r="S110">
        <v>54</v>
      </c>
      <c r="T110">
        <v>67.599999999999994</v>
      </c>
      <c r="U110">
        <v>74</v>
      </c>
      <c r="AC110">
        <v>90</v>
      </c>
      <c r="AD110">
        <v>2700</v>
      </c>
      <c r="AE110">
        <v>2707</v>
      </c>
      <c r="AF110">
        <v>2704</v>
      </c>
      <c r="AG110">
        <v>2703</v>
      </c>
      <c r="AH110">
        <v>1.23E-2</v>
      </c>
      <c r="AI110">
        <v>2.5600000000000001E-2</v>
      </c>
      <c r="AJ110">
        <v>3.7100000000000001E-2</v>
      </c>
      <c r="AK110">
        <v>57.5</v>
      </c>
      <c r="AL110">
        <v>27.9</v>
      </c>
      <c r="AM110">
        <v>51.8</v>
      </c>
      <c r="AN110">
        <v>27.1</v>
      </c>
      <c r="AO110">
        <v>55.1</v>
      </c>
      <c r="AP110">
        <v>53.9</v>
      </c>
      <c r="AQ110" s="54"/>
    </row>
    <row r="111" spans="1:43" x14ac:dyDescent="0.25">
      <c r="A111">
        <v>95</v>
      </c>
      <c r="B111">
        <v>2532</v>
      </c>
      <c r="C111">
        <v>2596</v>
      </c>
      <c r="D111">
        <v>2562</v>
      </c>
      <c r="E111">
        <v>2563</v>
      </c>
      <c r="F111">
        <v>1.2200000000000001E-2</v>
      </c>
      <c r="G111">
        <v>2.5100000000000001E-2</v>
      </c>
      <c r="H111">
        <v>3.6600000000000001E-2</v>
      </c>
      <c r="I111">
        <v>57.3</v>
      </c>
      <c r="J111">
        <v>30.1</v>
      </c>
      <c r="K111">
        <v>52.6</v>
      </c>
      <c r="L111">
        <v>55.3</v>
      </c>
      <c r="M111">
        <v>54.4</v>
      </c>
      <c r="N111" s="54"/>
      <c r="P111">
        <v>2514</v>
      </c>
      <c r="Q111">
        <v>2762</v>
      </c>
      <c r="R111">
        <v>3257</v>
      </c>
      <c r="S111">
        <v>3539</v>
      </c>
      <c r="T111">
        <v>4024</v>
      </c>
      <c r="U111">
        <v>4209</v>
      </c>
      <c r="AC111">
        <v>95</v>
      </c>
      <c r="AD111">
        <v>2695</v>
      </c>
      <c r="AE111">
        <v>2697</v>
      </c>
      <c r="AF111">
        <v>2694</v>
      </c>
      <c r="AG111">
        <v>2695</v>
      </c>
      <c r="AH111">
        <v>1.2200000000000001E-2</v>
      </c>
      <c r="AI111">
        <v>2.5600000000000001E-2</v>
      </c>
      <c r="AJ111">
        <v>3.6999999999999998E-2</v>
      </c>
      <c r="AK111">
        <v>58.3</v>
      </c>
      <c r="AL111">
        <v>28.1</v>
      </c>
      <c r="AM111">
        <v>52.4</v>
      </c>
      <c r="AN111">
        <v>27.4</v>
      </c>
      <c r="AO111">
        <v>55.9</v>
      </c>
      <c r="AP111">
        <v>54.4</v>
      </c>
      <c r="AQ111" s="54"/>
    </row>
    <row r="112" spans="1:43" x14ac:dyDescent="0.25">
      <c r="A112">
        <v>100</v>
      </c>
      <c r="B112">
        <v>2527</v>
      </c>
      <c r="C112">
        <v>2589</v>
      </c>
      <c r="D112">
        <v>2558</v>
      </c>
      <c r="E112">
        <v>2558</v>
      </c>
      <c r="F112">
        <v>1.23E-2</v>
      </c>
      <c r="G112">
        <v>2.5100000000000001E-2</v>
      </c>
      <c r="H112">
        <v>3.6799999999999999E-2</v>
      </c>
      <c r="I112">
        <v>57.5</v>
      </c>
      <c r="J112">
        <v>30</v>
      </c>
      <c r="K112">
        <v>52.9</v>
      </c>
      <c r="L112">
        <v>55.6</v>
      </c>
      <c r="M112">
        <v>54.7</v>
      </c>
      <c r="N112" s="54"/>
      <c r="AC112">
        <v>100</v>
      </c>
      <c r="AD112">
        <v>2680</v>
      </c>
      <c r="AE112">
        <v>2688</v>
      </c>
      <c r="AF112">
        <v>2685</v>
      </c>
      <c r="AG112">
        <v>2684</v>
      </c>
      <c r="AH112">
        <v>1.23E-2</v>
      </c>
      <c r="AI112">
        <v>2.5600000000000001E-2</v>
      </c>
      <c r="AJ112">
        <v>3.6999999999999998E-2</v>
      </c>
      <c r="AK112">
        <v>59</v>
      </c>
      <c r="AL112">
        <v>28.6</v>
      </c>
      <c r="AM112">
        <v>52.9</v>
      </c>
      <c r="AN112">
        <v>27.7</v>
      </c>
      <c r="AO112">
        <v>56.5</v>
      </c>
      <c r="AP112">
        <v>55.1</v>
      </c>
      <c r="AQ112" s="54"/>
    </row>
    <row r="113" spans="1:43" x14ac:dyDescent="0.25">
      <c r="A113">
        <v>105</v>
      </c>
      <c r="B113">
        <v>2536</v>
      </c>
      <c r="C113">
        <v>2587</v>
      </c>
      <c r="D113">
        <v>2553</v>
      </c>
      <c r="E113">
        <v>2559</v>
      </c>
      <c r="F113">
        <v>1.23E-2</v>
      </c>
      <c r="G113">
        <v>2.53E-2</v>
      </c>
      <c r="H113">
        <v>3.6900000000000002E-2</v>
      </c>
      <c r="I113">
        <v>58</v>
      </c>
      <c r="J113">
        <v>30.3</v>
      </c>
      <c r="K113">
        <v>53.2</v>
      </c>
      <c r="L113">
        <v>55.9</v>
      </c>
      <c r="M113">
        <v>55</v>
      </c>
      <c r="N113" s="54"/>
      <c r="P113" s="109" t="s">
        <v>108</v>
      </c>
      <c r="AC113">
        <v>105</v>
      </c>
      <c r="AD113">
        <v>2683</v>
      </c>
      <c r="AE113">
        <v>2693</v>
      </c>
      <c r="AF113">
        <v>2687</v>
      </c>
      <c r="AG113">
        <v>2688</v>
      </c>
      <c r="AH113">
        <v>1.23E-2</v>
      </c>
      <c r="AI113">
        <v>2.5600000000000001E-2</v>
      </c>
      <c r="AJ113">
        <v>3.7100000000000001E-2</v>
      </c>
      <c r="AK113">
        <v>59.5</v>
      </c>
      <c r="AL113">
        <v>28.8</v>
      </c>
      <c r="AM113">
        <v>53.5</v>
      </c>
      <c r="AN113">
        <v>27.9</v>
      </c>
      <c r="AO113">
        <v>57.1</v>
      </c>
      <c r="AP113">
        <v>55.7</v>
      </c>
      <c r="AQ113" s="54"/>
    </row>
    <row r="114" spans="1:43" x14ac:dyDescent="0.25">
      <c r="A114">
        <v>110</v>
      </c>
      <c r="B114">
        <v>2531</v>
      </c>
      <c r="C114">
        <v>2585</v>
      </c>
      <c r="D114">
        <v>2549</v>
      </c>
      <c r="E114">
        <v>2555</v>
      </c>
      <c r="F114">
        <v>1.23E-2</v>
      </c>
      <c r="G114">
        <v>2.5000000000000001E-2</v>
      </c>
      <c r="H114">
        <v>3.6799999999999999E-2</v>
      </c>
      <c r="I114">
        <v>58.2</v>
      </c>
      <c r="J114">
        <v>30.5</v>
      </c>
      <c r="K114">
        <v>53.5</v>
      </c>
      <c r="L114">
        <v>56.3</v>
      </c>
      <c r="M114">
        <v>55.3</v>
      </c>
      <c r="N114" s="54"/>
      <c r="AC114">
        <v>110</v>
      </c>
      <c r="AD114">
        <v>2738</v>
      </c>
      <c r="AE114">
        <v>2746</v>
      </c>
      <c r="AF114">
        <v>2742</v>
      </c>
      <c r="AG114">
        <v>2742</v>
      </c>
      <c r="AH114">
        <v>1.23E-2</v>
      </c>
      <c r="AI114">
        <v>2.5700000000000001E-2</v>
      </c>
      <c r="AJ114">
        <v>3.7100000000000001E-2</v>
      </c>
      <c r="AK114">
        <v>60.3</v>
      </c>
      <c r="AL114">
        <v>29.1</v>
      </c>
      <c r="AM114">
        <v>54.1</v>
      </c>
      <c r="AN114">
        <v>28.1</v>
      </c>
      <c r="AO114">
        <v>57.8</v>
      </c>
      <c r="AP114">
        <v>56.2</v>
      </c>
      <c r="AQ114" s="54"/>
    </row>
    <row r="115" spans="1:43" x14ac:dyDescent="0.25">
      <c r="A115">
        <v>115</v>
      </c>
      <c r="B115">
        <v>2527</v>
      </c>
      <c r="C115">
        <v>2574</v>
      </c>
      <c r="D115">
        <v>2541</v>
      </c>
      <c r="E115">
        <v>2548</v>
      </c>
      <c r="F115">
        <v>1.23E-2</v>
      </c>
      <c r="G115">
        <v>2.53E-2</v>
      </c>
      <c r="H115">
        <v>3.6900000000000002E-2</v>
      </c>
      <c r="I115">
        <v>58.6</v>
      </c>
      <c r="J115">
        <v>30.6</v>
      </c>
      <c r="K115">
        <v>53.9</v>
      </c>
      <c r="L115">
        <v>56.6</v>
      </c>
      <c r="M115">
        <v>55.7</v>
      </c>
      <c r="N115" s="54"/>
      <c r="AC115">
        <v>115</v>
      </c>
      <c r="AD115">
        <v>2748</v>
      </c>
      <c r="AE115">
        <v>2759</v>
      </c>
      <c r="AF115">
        <v>2758</v>
      </c>
      <c r="AG115">
        <v>2755</v>
      </c>
      <c r="AH115">
        <v>1.23E-2</v>
      </c>
      <c r="AI115">
        <v>2.5499999999999998E-2</v>
      </c>
      <c r="AJ115">
        <v>3.6999999999999998E-2</v>
      </c>
      <c r="AK115">
        <v>61.1</v>
      </c>
      <c r="AL115">
        <v>29.2</v>
      </c>
      <c r="AM115">
        <v>54.7</v>
      </c>
      <c r="AN115">
        <v>28.1</v>
      </c>
      <c r="AO115">
        <v>58.5</v>
      </c>
      <c r="AP115">
        <v>57</v>
      </c>
      <c r="AQ115" s="54"/>
    </row>
    <row r="116" spans="1:43" x14ac:dyDescent="0.25">
      <c r="A116">
        <v>120</v>
      </c>
      <c r="B116">
        <v>2509</v>
      </c>
      <c r="C116">
        <v>2561</v>
      </c>
      <c r="D116">
        <v>2528</v>
      </c>
      <c r="E116">
        <v>2533</v>
      </c>
      <c r="F116">
        <v>1.23E-2</v>
      </c>
      <c r="G116">
        <v>2.52E-2</v>
      </c>
      <c r="H116">
        <v>3.6999999999999998E-2</v>
      </c>
      <c r="I116">
        <v>59</v>
      </c>
      <c r="J116">
        <v>30.7</v>
      </c>
      <c r="K116">
        <v>54.2</v>
      </c>
      <c r="L116">
        <v>56.9</v>
      </c>
      <c r="M116">
        <v>56</v>
      </c>
      <c r="N116" s="54"/>
      <c r="P116">
        <v>30</v>
      </c>
      <c r="Q116">
        <v>50</v>
      </c>
      <c r="R116">
        <v>70</v>
      </c>
      <c r="AC116">
        <v>120</v>
      </c>
      <c r="AD116">
        <v>2742</v>
      </c>
      <c r="AE116">
        <v>2760</v>
      </c>
      <c r="AF116">
        <v>2752</v>
      </c>
      <c r="AG116">
        <v>2751</v>
      </c>
      <c r="AH116">
        <v>1.24E-2</v>
      </c>
      <c r="AI116">
        <v>2.5499999999999998E-2</v>
      </c>
      <c r="AJ116">
        <v>3.6999999999999998E-2</v>
      </c>
      <c r="AK116">
        <v>61.6</v>
      </c>
      <c r="AL116">
        <v>29.2</v>
      </c>
      <c r="AM116">
        <v>55.3</v>
      </c>
      <c r="AN116">
        <v>28.1</v>
      </c>
      <c r="AO116">
        <v>59</v>
      </c>
      <c r="AP116">
        <v>57.4</v>
      </c>
      <c r="AQ116" s="54"/>
    </row>
    <row r="117" spans="1:43" x14ac:dyDescent="0.25">
      <c r="A117">
        <v>125</v>
      </c>
      <c r="B117">
        <v>2517</v>
      </c>
      <c r="C117">
        <v>2576</v>
      </c>
      <c r="D117">
        <v>2540</v>
      </c>
      <c r="E117">
        <v>2544</v>
      </c>
      <c r="F117">
        <v>1.23E-2</v>
      </c>
      <c r="G117">
        <v>2.5100000000000001E-2</v>
      </c>
      <c r="H117">
        <v>3.6799999999999999E-2</v>
      </c>
      <c r="I117">
        <v>59</v>
      </c>
      <c r="J117">
        <v>29.7</v>
      </c>
      <c r="K117">
        <v>54.2</v>
      </c>
      <c r="L117">
        <v>57</v>
      </c>
      <c r="M117">
        <v>56.1</v>
      </c>
      <c r="N117" s="54"/>
      <c r="P117" s="8">
        <f>392.3*P116^0.5519</f>
        <v>2563.54844274057</v>
      </c>
      <c r="Q117" s="8">
        <f t="shared" ref="Q117:R117" si="1">392.3*Q116^0.5519</f>
        <v>3398.4419307500921</v>
      </c>
      <c r="R117" s="8">
        <f t="shared" si="1"/>
        <v>4091.9273685899766</v>
      </c>
      <c r="AC117">
        <v>125</v>
      </c>
      <c r="AD117">
        <v>2746</v>
      </c>
      <c r="AE117">
        <v>2748</v>
      </c>
      <c r="AF117">
        <v>2751</v>
      </c>
      <c r="AG117">
        <v>2744</v>
      </c>
      <c r="AH117">
        <v>1.24E-2</v>
      </c>
      <c r="AI117">
        <v>2.5700000000000001E-2</v>
      </c>
      <c r="AJ117">
        <v>3.7199999999999997E-2</v>
      </c>
      <c r="AK117">
        <v>62</v>
      </c>
      <c r="AL117">
        <v>29.3</v>
      </c>
      <c r="AM117">
        <v>55.7</v>
      </c>
      <c r="AN117">
        <v>28.2</v>
      </c>
      <c r="AO117">
        <v>59.6</v>
      </c>
      <c r="AP117">
        <v>58</v>
      </c>
      <c r="AQ117" s="54"/>
    </row>
    <row r="118" spans="1:43" x14ac:dyDescent="0.25">
      <c r="A118">
        <v>130</v>
      </c>
      <c r="B118">
        <v>2524</v>
      </c>
      <c r="C118">
        <v>2586</v>
      </c>
      <c r="D118">
        <v>2545</v>
      </c>
      <c r="E118">
        <v>2552</v>
      </c>
      <c r="F118">
        <v>1.23E-2</v>
      </c>
      <c r="G118">
        <v>2.52E-2</v>
      </c>
      <c r="H118">
        <v>3.6799999999999999E-2</v>
      </c>
      <c r="I118">
        <v>59</v>
      </c>
      <c r="J118">
        <v>29.1</v>
      </c>
      <c r="K118">
        <v>54.4</v>
      </c>
      <c r="L118">
        <v>57.1</v>
      </c>
      <c r="M118">
        <v>56.1</v>
      </c>
      <c r="N118" s="54"/>
      <c r="AC118">
        <v>130</v>
      </c>
      <c r="AD118">
        <v>2736</v>
      </c>
      <c r="AE118">
        <v>2743</v>
      </c>
      <c r="AF118">
        <v>2749</v>
      </c>
      <c r="AG118">
        <v>2742</v>
      </c>
      <c r="AH118">
        <v>1.24E-2</v>
      </c>
      <c r="AI118">
        <v>2.5600000000000001E-2</v>
      </c>
      <c r="AJ118">
        <v>3.7100000000000001E-2</v>
      </c>
      <c r="AK118">
        <v>62.2</v>
      </c>
      <c r="AL118">
        <v>29.5</v>
      </c>
      <c r="AM118">
        <v>56.1</v>
      </c>
      <c r="AN118">
        <v>28.4</v>
      </c>
      <c r="AO118">
        <v>60</v>
      </c>
      <c r="AP118">
        <v>58.4</v>
      </c>
      <c r="AQ118" s="54"/>
    </row>
    <row r="119" spans="1:43" x14ac:dyDescent="0.25">
      <c r="A119">
        <v>135</v>
      </c>
      <c r="B119">
        <v>2535</v>
      </c>
      <c r="C119">
        <v>2591</v>
      </c>
      <c r="D119">
        <v>2556</v>
      </c>
      <c r="E119">
        <v>2561</v>
      </c>
      <c r="F119">
        <v>1.23E-2</v>
      </c>
      <c r="G119">
        <v>2.53E-2</v>
      </c>
      <c r="H119">
        <v>3.6799999999999999E-2</v>
      </c>
      <c r="I119">
        <v>59</v>
      </c>
      <c r="J119">
        <v>29</v>
      </c>
      <c r="K119">
        <v>54.2</v>
      </c>
      <c r="L119">
        <v>57</v>
      </c>
      <c r="M119">
        <v>56</v>
      </c>
      <c r="N119" s="54"/>
      <c r="AC119">
        <v>135</v>
      </c>
      <c r="AD119">
        <v>2739</v>
      </c>
      <c r="AE119">
        <v>2745</v>
      </c>
      <c r="AF119">
        <v>2748</v>
      </c>
      <c r="AG119">
        <v>2744</v>
      </c>
      <c r="AH119">
        <v>1.24E-2</v>
      </c>
      <c r="AI119">
        <v>2.5600000000000001E-2</v>
      </c>
      <c r="AJ119">
        <v>3.7100000000000001E-2</v>
      </c>
      <c r="AK119">
        <v>62.5</v>
      </c>
      <c r="AL119">
        <v>29.3</v>
      </c>
      <c r="AM119">
        <v>56.4</v>
      </c>
      <c r="AN119">
        <v>28.3</v>
      </c>
      <c r="AO119">
        <v>60.1</v>
      </c>
      <c r="AP119">
        <v>58.7</v>
      </c>
      <c r="AQ119" s="54"/>
    </row>
    <row r="120" spans="1:43" x14ac:dyDescent="0.25">
      <c r="A120" s="12">
        <v>140</v>
      </c>
      <c r="B120" s="12">
        <v>2514</v>
      </c>
      <c r="C120" s="12">
        <v>2572</v>
      </c>
      <c r="D120" s="12">
        <v>2537</v>
      </c>
      <c r="E120" s="12">
        <v>2541</v>
      </c>
      <c r="F120" s="12">
        <v>1.23E-2</v>
      </c>
      <c r="G120" s="12">
        <v>2.52E-2</v>
      </c>
      <c r="H120" s="12">
        <v>3.6799999999999999E-2</v>
      </c>
      <c r="I120" s="12">
        <v>59</v>
      </c>
      <c r="J120" s="12">
        <v>29.8</v>
      </c>
      <c r="K120" s="12">
        <v>54.3</v>
      </c>
      <c r="L120" s="12">
        <v>57.1</v>
      </c>
      <c r="M120" s="12">
        <v>56.2</v>
      </c>
      <c r="N120" s="54">
        <f>I120-J120</f>
        <v>29.2</v>
      </c>
      <c r="AC120">
        <v>140</v>
      </c>
      <c r="AD120">
        <v>2727</v>
      </c>
      <c r="AE120">
        <v>2734</v>
      </c>
      <c r="AF120">
        <v>2735</v>
      </c>
      <c r="AG120">
        <v>2730</v>
      </c>
      <c r="AH120">
        <v>1.24E-2</v>
      </c>
      <c r="AI120">
        <v>2.5600000000000001E-2</v>
      </c>
      <c r="AJ120">
        <v>3.7100000000000001E-2</v>
      </c>
      <c r="AK120">
        <v>62.6</v>
      </c>
      <c r="AL120">
        <v>29.6</v>
      </c>
      <c r="AM120">
        <v>56.6</v>
      </c>
      <c r="AN120">
        <v>28.6</v>
      </c>
      <c r="AO120">
        <v>60.3</v>
      </c>
      <c r="AP120">
        <v>58.9</v>
      </c>
      <c r="AQ120" s="54"/>
    </row>
    <row r="121" spans="1:43" x14ac:dyDescent="0.25">
      <c r="A121">
        <v>145</v>
      </c>
      <c r="B121">
        <v>3286</v>
      </c>
      <c r="C121">
        <v>3274</v>
      </c>
      <c r="D121">
        <v>3277</v>
      </c>
      <c r="E121">
        <v>3279</v>
      </c>
      <c r="F121">
        <v>1.2500000000000001E-2</v>
      </c>
      <c r="G121">
        <v>2.58E-2</v>
      </c>
      <c r="H121">
        <v>3.7100000000000001E-2</v>
      </c>
      <c r="I121">
        <v>61.4</v>
      </c>
      <c r="J121">
        <v>29.8</v>
      </c>
      <c r="K121">
        <v>55.1</v>
      </c>
      <c r="L121">
        <v>58.4</v>
      </c>
      <c r="M121">
        <v>57.2</v>
      </c>
      <c r="N121" s="54"/>
      <c r="AC121">
        <v>145</v>
      </c>
      <c r="AD121">
        <v>2732</v>
      </c>
      <c r="AE121">
        <v>2744</v>
      </c>
      <c r="AF121">
        <v>2749</v>
      </c>
      <c r="AG121">
        <v>2741</v>
      </c>
      <c r="AH121">
        <v>1.24E-2</v>
      </c>
      <c r="AI121">
        <v>2.5499999999999998E-2</v>
      </c>
      <c r="AJ121">
        <v>3.6999999999999998E-2</v>
      </c>
      <c r="AK121">
        <v>62.6</v>
      </c>
      <c r="AL121">
        <v>29.6</v>
      </c>
      <c r="AM121">
        <v>56.9</v>
      </c>
      <c r="AN121">
        <v>28.6</v>
      </c>
      <c r="AO121">
        <v>60.4</v>
      </c>
      <c r="AP121">
        <v>59</v>
      </c>
      <c r="AQ121" s="54"/>
    </row>
    <row r="122" spans="1:43" x14ac:dyDescent="0.25">
      <c r="A122">
        <v>150</v>
      </c>
      <c r="B122">
        <v>3287</v>
      </c>
      <c r="C122">
        <v>3275</v>
      </c>
      <c r="D122">
        <v>3283</v>
      </c>
      <c r="E122">
        <v>3282</v>
      </c>
      <c r="F122">
        <v>1.26E-2</v>
      </c>
      <c r="G122">
        <v>2.58E-2</v>
      </c>
      <c r="H122">
        <v>3.7199999999999997E-2</v>
      </c>
      <c r="I122">
        <v>64.099999999999994</v>
      </c>
      <c r="J122">
        <v>29.8</v>
      </c>
      <c r="K122">
        <v>57</v>
      </c>
      <c r="L122">
        <v>60.8</v>
      </c>
      <c r="M122">
        <v>59.6</v>
      </c>
      <c r="N122" s="54"/>
      <c r="AC122">
        <v>150</v>
      </c>
      <c r="AD122">
        <v>2736</v>
      </c>
      <c r="AE122">
        <v>2736</v>
      </c>
      <c r="AF122">
        <v>2736</v>
      </c>
      <c r="AG122">
        <v>2736</v>
      </c>
      <c r="AH122">
        <v>1.24E-2</v>
      </c>
      <c r="AI122">
        <v>2.5600000000000001E-2</v>
      </c>
      <c r="AJ122">
        <v>3.7199999999999997E-2</v>
      </c>
      <c r="AK122">
        <v>62.5</v>
      </c>
      <c r="AL122">
        <v>29.6</v>
      </c>
      <c r="AM122">
        <v>56.8</v>
      </c>
      <c r="AN122">
        <v>28.6</v>
      </c>
      <c r="AO122">
        <v>60.4</v>
      </c>
      <c r="AP122">
        <v>59.1</v>
      </c>
      <c r="AQ122" s="54"/>
    </row>
    <row r="123" spans="1:43" x14ac:dyDescent="0.25">
      <c r="A123">
        <v>155</v>
      </c>
      <c r="B123">
        <v>3287</v>
      </c>
      <c r="C123">
        <v>3283</v>
      </c>
      <c r="D123">
        <v>3288</v>
      </c>
      <c r="E123">
        <v>3286</v>
      </c>
      <c r="F123">
        <v>1.26E-2</v>
      </c>
      <c r="G123">
        <v>2.5700000000000001E-2</v>
      </c>
      <c r="H123">
        <v>3.7199999999999997E-2</v>
      </c>
      <c r="I123">
        <v>66.3</v>
      </c>
      <c r="J123">
        <v>29.9</v>
      </c>
      <c r="K123">
        <v>59</v>
      </c>
      <c r="L123">
        <v>62.9</v>
      </c>
      <c r="M123">
        <v>61.7</v>
      </c>
      <c r="N123" s="54"/>
      <c r="AC123">
        <v>155</v>
      </c>
      <c r="AD123">
        <v>2761</v>
      </c>
      <c r="AE123">
        <v>2751</v>
      </c>
      <c r="AF123">
        <v>2758</v>
      </c>
      <c r="AG123">
        <v>2757</v>
      </c>
      <c r="AH123">
        <v>1.2500000000000001E-2</v>
      </c>
      <c r="AI123">
        <v>2.5700000000000001E-2</v>
      </c>
      <c r="AJ123">
        <v>3.7400000000000003E-2</v>
      </c>
      <c r="AK123">
        <v>62.7</v>
      </c>
      <c r="AL123">
        <v>29.7</v>
      </c>
      <c r="AM123">
        <v>57</v>
      </c>
      <c r="AN123">
        <v>28.7</v>
      </c>
      <c r="AO123">
        <v>60.4</v>
      </c>
      <c r="AP123">
        <v>59.2</v>
      </c>
      <c r="AQ123" s="54"/>
    </row>
    <row r="124" spans="1:43" x14ac:dyDescent="0.25">
      <c r="A124">
        <v>160</v>
      </c>
      <c r="B124">
        <v>3292</v>
      </c>
      <c r="C124">
        <v>3274</v>
      </c>
      <c r="D124">
        <v>3274</v>
      </c>
      <c r="E124">
        <v>3280</v>
      </c>
      <c r="F124">
        <v>1.2699999999999999E-2</v>
      </c>
      <c r="G124">
        <v>2.58E-2</v>
      </c>
      <c r="H124">
        <v>3.73E-2</v>
      </c>
      <c r="I124">
        <v>67.900000000000006</v>
      </c>
      <c r="J124">
        <v>29.9</v>
      </c>
      <c r="K124">
        <v>60.6</v>
      </c>
      <c r="L124">
        <v>64.599999999999994</v>
      </c>
      <c r="M124">
        <v>63.4</v>
      </c>
      <c r="N124" s="54"/>
      <c r="AC124">
        <v>160</v>
      </c>
      <c r="AD124">
        <v>2748</v>
      </c>
      <c r="AE124">
        <v>2753</v>
      </c>
      <c r="AF124">
        <v>2762</v>
      </c>
      <c r="AG124">
        <v>2754</v>
      </c>
      <c r="AH124">
        <v>1.24E-2</v>
      </c>
      <c r="AI124">
        <v>2.5499999999999998E-2</v>
      </c>
      <c r="AJ124">
        <v>3.7100000000000001E-2</v>
      </c>
      <c r="AK124">
        <v>62.8</v>
      </c>
      <c r="AL124">
        <v>29.6</v>
      </c>
      <c r="AM124">
        <v>57.2</v>
      </c>
      <c r="AN124">
        <v>28.7</v>
      </c>
      <c r="AO124">
        <v>60.5</v>
      </c>
      <c r="AP124">
        <v>59.3</v>
      </c>
      <c r="AQ124" s="54"/>
    </row>
    <row r="125" spans="1:43" x14ac:dyDescent="0.25">
      <c r="A125">
        <v>165</v>
      </c>
      <c r="B125">
        <v>3273</v>
      </c>
      <c r="C125">
        <v>3258</v>
      </c>
      <c r="D125">
        <v>3257</v>
      </c>
      <c r="E125">
        <v>3265</v>
      </c>
      <c r="F125">
        <v>1.2699999999999999E-2</v>
      </c>
      <c r="G125">
        <v>2.58E-2</v>
      </c>
      <c r="H125">
        <v>3.73E-2</v>
      </c>
      <c r="I125">
        <v>69.400000000000006</v>
      </c>
      <c r="J125">
        <v>30.1</v>
      </c>
      <c r="K125">
        <v>62</v>
      </c>
      <c r="L125">
        <v>66</v>
      </c>
      <c r="M125">
        <v>64.8</v>
      </c>
      <c r="N125" s="54"/>
      <c r="AC125">
        <v>165</v>
      </c>
      <c r="AD125">
        <v>2735</v>
      </c>
      <c r="AE125">
        <v>2742</v>
      </c>
      <c r="AF125">
        <v>2749</v>
      </c>
      <c r="AG125">
        <v>2742</v>
      </c>
      <c r="AH125">
        <v>1.2500000000000001E-2</v>
      </c>
      <c r="AI125">
        <v>2.5600000000000001E-2</v>
      </c>
      <c r="AJ125">
        <v>3.7100000000000001E-2</v>
      </c>
      <c r="AK125">
        <v>62.9</v>
      </c>
      <c r="AL125">
        <v>29.6</v>
      </c>
      <c r="AM125">
        <v>57.2</v>
      </c>
      <c r="AN125">
        <v>28.7</v>
      </c>
      <c r="AO125">
        <v>60.6</v>
      </c>
      <c r="AP125">
        <v>59.4</v>
      </c>
      <c r="AQ125" s="54"/>
    </row>
    <row r="126" spans="1:43" x14ac:dyDescent="0.25">
      <c r="A126">
        <v>170</v>
      </c>
      <c r="B126">
        <v>3277</v>
      </c>
      <c r="C126">
        <v>3256</v>
      </c>
      <c r="D126">
        <v>3256</v>
      </c>
      <c r="E126">
        <v>3263</v>
      </c>
      <c r="F126">
        <v>1.2800000000000001E-2</v>
      </c>
      <c r="G126">
        <v>2.5899999999999999E-2</v>
      </c>
      <c r="H126">
        <v>3.7400000000000003E-2</v>
      </c>
      <c r="I126">
        <v>70.5</v>
      </c>
      <c r="J126">
        <v>30.1</v>
      </c>
      <c r="K126">
        <v>63.1</v>
      </c>
      <c r="L126">
        <v>67.099999999999994</v>
      </c>
      <c r="M126">
        <v>65.900000000000006</v>
      </c>
      <c r="N126" s="54"/>
      <c r="AC126">
        <v>170</v>
      </c>
      <c r="AD126">
        <v>2746</v>
      </c>
      <c r="AE126">
        <v>2744</v>
      </c>
      <c r="AF126">
        <v>2756</v>
      </c>
      <c r="AG126">
        <v>2749</v>
      </c>
      <c r="AH126">
        <v>1.2500000000000001E-2</v>
      </c>
      <c r="AI126">
        <v>2.5700000000000001E-2</v>
      </c>
      <c r="AJ126">
        <v>3.7199999999999997E-2</v>
      </c>
      <c r="AK126">
        <v>63.1</v>
      </c>
      <c r="AL126">
        <v>30</v>
      </c>
      <c r="AM126">
        <v>57.5</v>
      </c>
      <c r="AN126">
        <v>28.9</v>
      </c>
      <c r="AO126">
        <v>60.7</v>
      </c>
      <c r="AP126">
        <v>59.7</v>
      </c>
      <c r="AQ126" s="54"/>
    </row>
    <row r="127" spans="1:43" x14ac:dyDescent="0.25">
      <c r="A127">
        <v>175</v>
      </c>
      <c r="B127">
        <v>3259</v>
      </c>
      <c r="C127">
        <v>3241</v>
      </c>
      <c r="D127">
        <v>3242</v>
      </c>
      <c r="E127">
        <v>3247</v>
      </c>
      <c r="F127">
        <v>1.2699999999999999E-2</v>
      </c>
      <c r="G127">
        <v>2.58E-2</v>
      </c>
      <c r="H127">
        <v>3.7400000000000003E-2</v>
      </c>
      <c r="I127">
        <v>71.3</v>
      </c>
      <c r="J127">
        <v>30</v>
      </c>
      <c r="K127">
        <v>63.9</v>
      </c>
      <c r="L127">
        <v>68.099999999999994</v>
      </c>
      <c r="M127">
        <v>66.8</v>
      </c>
      <c r="N127" s="54"/>
      <c r="AC127">
        <v>175</v>
      </c>
      <c r="AD127">
        <v>2753</v>
      </c>
      <c r="AE127">
        <v>2757</v>
      </c>
      <c r="AF127">
        <v>2770</v>
      </c>
      <c r="AG127">
        <v>2760</v>
      </c>
      <c r="AH127">
        <v>1.2500000000000001E-2</v>
      </c>
      <c r="AI127">
        <v>2.5499999999999998E-2</v>
      </c>
      <c r="AJ127">
        <v>3.7100000000000001E-2</v>
      </c>
      <c r="AK127">
        <v>63.3</v>
      </c>
      <c r="AL127">
        <v>30.2</v>
      </c>
      <c r="AM127">
        <v>57.7</v>
      </c>
      <c r="AN127">
        <v>29</v>
      </c>
      <c r="AO127">
        <v>61</v>
      </c>
      <c r="AP127">
        <v>59.8</v>
      </c>
      <c r="AQ127" s="54"/>
    </row>
    <row r="128" spans="1:43" x14ac:dyDescent="0.25">
      <c r="A128">
        <v>180</v>
      </c>
      <c r="B128">
        <v>3261</v>
      </c>
      <c r="C128">
        <v>3245</v>
      </c>
      <c r="D128">
        <v>3247</v>
      </c>
      <c r="E128">
        <v>3251</v>
      </c>
      <c r="F128">
        <v>1.2800000000000001E-2</v>
      </c>
      <c r="G128">
        <v>2.5899999999999999E-2</v>
      </c>
      <c r="H128">
        <v>3.7400000000000003E-2</v>
      </c>
      <c r="I128">
        <v>72</v>
      </c>
      <c r="J128">
        <v>29.9</v>
      </c>
      <c r="K128">
        <v>64.5</v>
      </c>
      <c r="L128">
        <v>68.8</v>
      </c>
      <c r="M128">
        <v>67.5</v>
      </c>
      <c r="N128" s="54"/>
      <c r="AC128">
        <v>180</v>
      </c>
      <c r="AD128">
        <v>2745</v>
      </c>
      <c r="AE128">
        <v>2751</v>
      </c>
      <c r="AF128">
        <v>2755</v>
      </c>
      <c r="AG128">
        <v>2750</v>
      </c>
      <c r="AH128">
        <v>1.2500000000000001E-2</v>
      </c>
      <c r="AI128">
        <v>2.5600000000000001E-2</v>
      </c>
      <c r="AJ128">
        <v>3.7100000000000001E-2</v>
      </c>
      <c r="AK128">
        <v>63.4</v>
      </c>
      <c r="AL128">
        <v>29.8</v>
      </c>
      <c r="AM128">
        <v>57.7</v>
      </c>
      <c r="AN128">
        <v>28.9</v>
      </c>
      <c r="AO128">
        <v>61.1</v>
      </c>
      <c r="AP128">
        <v>59.9</v>
      </c>
      <c r="AQ128" s="54"/>
    </row>
    <row r="129" spans="1:43" x14ac:dyDescent="0.25">
      <c r="A129">
        <v>185</v>
      </c>
      <c r="B129">
        <v>3253</v>
      </c>
      <c r="C129">
        <v>3244</v>
      </c>
      <c r="D129">
        <v>3263</v>
      </c>
      <c r="E129">
        <v>3253</v>
      </c>
      <c r="F129">
        <v>1.2800000000000001E-2</v>
      </c>
      <c r="G129">
        <v>2.58E-2</v>
      </c>
      <c r="H129">
        <v>3.73E-2</v>
      </c>
      <c r="I129">
        <v>72.599999999999994</v>
      </c>
      <c r="J129">
        <v>29.9</v>
      </c>
      <c r="K129">
        <v>65.099999999999994</v>
      </c>
      <c r="L129">
        <v>69.400000000000006</v>
      </c>
      <c r="M129">
        <v>68.099999999999994</v>
      </c>
      <c r="N129" s="54"/>
      <c r="AC129" s="12">
        <v>185</v>
      </c>
      <c r="AD129" s="12">
        <v>2762</v>
      </c>
      <c r="AE129" s="12">
        <v>2769</v>
      </c>
      <c r="AF129" s="12">
        <v>2773</v>
      </c>
      <c r="AG129" s="12">
        <v>2768</v>
      </c>
      <c r="AH129" s="12">
        <v>1.2500000000000001E-2</v>
      </c>
      <c r="AI129" s="12">
        <v>2.5499999999999998E-2</v>
      </c>
      <c r="AJ129" s="12">
        <v>3.7199999999999997E-2</v>
      </c>
      <c r="AK129" s="12">
        <v>63.3</v>
      </c>
      <c r="AL129" s="12">
        <v>29.3</v>
      </c>
      <c r="AM129" s="12">
        <v>57.8</v>
      </c>
      <c r="AN129" s="12">
        <v>28.3</v>
      </c>
      <c r="AO129" s="12">
        <v>61</v>
      </c>
      <c r="AP129" s="12">
        <v>59.9</v>
      </c>
      <c r="AQ129" s="54">
        <f>AK129-AL129</f>
        <v>34</v>
      </c>
    </row>
    <row r="130" spans="1:43" x14ac:dyDescent="0.25">
      <c r="A130">
        <v>190</v>
      </c>
      <c r="B130">
        <v>3243</v>
      </c>
      <c r="C130">
        <v>3227</v>
      </c>
      <c r="D130">
        <v>3247</v>
      </c>
      <c r="E130">
        <v>3240</v>
      </c>
      <c r="F130">
        <v>1.2800000000000001E-2</v>
      </c>
      <c r="G130">
        <v>2.58E-2</v>
      </c>
      <c r="H130">
        <v>3.7199999999999997E-2</v>
      </c>
      <c r="I130">
        <v>73</v>
      </c>
      <c r="J130">
        <v>30.1</v>
      </c>
      <c r="K130">
        <v>65.599999999999994</v>
      </c>
      <c r="L130">
        <v>69.8</v>
      </c>
      <c r="M130">
        <v>68.599999999999994</v>
      </c>
      <c r="N130" s="54"/>
      <c r="AC130">
        <v>190</v>
      </c>
      <c r="AD130">
        <v>3525</v>
      </c>
      <c r="AE130">
        <v>3486</v>
      </c>
      <c r="AF130">
        <v>3495</v>
      </c>
      <c r="AG130">
        <v>3502</v>
      </c>
      <c r="AH130">
        <v>1.26E-2</v>
      </c>
      <c r="AI130">
        <v>2.5999999999999999E-2</v>
      </c>
      <c r="AJ130">
        <v>3.73E-2</v>
      </c>
      <c r="AK130">
        <v>66.2</v>
      </c>
      <c r="AL130">
        <v>29.9</v>
      </c>
      <c r="AM130">
        <v>58.8</v>
      </c>
      <c r="AN130">
        <v>28.9</v>
      </c>
      <c r="AO130">
        <v>62.7</v>
      </c>
      <c r="AP130">
        <v>61.4</v>
      </c>
      <c r="AQ130" s="54"/>
    </row>
    <row r="131" spans="1:43" x14ac:dyDescent="0.25">
      <c r="A131">
        <v>195</v>
      </c>
      <c r="B131">
        <v>3266</v>
      </c>
      <c r="C131">
        <v>3250</v>
      </c>
      <c r="D131">
        <v>3275</v>
      </c>
      <c r="E131">
        <v>3263</v>
      </c>
      <c r="F131">
        <v>1.2800000000000001E-2</v>
      </c>
      <c r="G131">
        <v>2.5700000000000001E-2</v>
      </c>
      <c r="H131">
        <v>3.7400000000000003E-2</v>
      </c>
      <c r="I131">
        <v>73.400000000000006</v>
      </c>
      <c r="J131">
        <v>30.2</v>
      </c>
      <c r="K131">
        <v>66</v>
      </c>
      <c r="L131">
        <v>70.2</v>
      </c>
      <c r="M131">
        <v>68.900000000000006</v>
      </c>
      <c r="N131" s="54"/>
      <c r="AC131">
        <v>195</v>
      </c>
      <c r="AD131">
        <v>3522</v>
      </c>
      <c r="AE131">
        <v>3495</v>
      </c>
      <c r="AF131">
        <v>3502</v>
      </c>
      <c r="AG131">
        <v>3506</v>
      </c>
      <c r="AH131">
        <v>1.2699999999999999E-2</v>
      </c>
      <c r="AI131">
        <v>2.5899999999999999E-2</v>
      </c>
      <c r="AJ131">
        <v>3.73E-2</v>
      </c>
      <c r="AK131">
        <v>69</v>
      </c>
      <c r="AL131">
        <v>29.5</v>
      </c>
      <c r="AM131">
        <v>60.8</v>
      </c>
      <c r="AN131">
        <v>28.8</v>
      </c>
      <c r="AO131">
        <v>65.2</v>
      </c>
      <c r="AP131">
        <v>63.7</v>
      </c>
      <c r="AQ131" s="54"/>
    </row>
    <row r="132" spans="1:43" x14ac:dyDescent="0.25">
      <c r="A132">
        <v>200</v>
      </c>
      <c r="B132">
        <v>3258</v>
      </c>
      <c r="C132">
        <v>3241</v>
      </c>
      <c r="D132">
        <v>3259</v>
      </c>
      <c r="E132">
        <v>3253</v>
      </c>
      <c r="F132">
        <v>1.29E-2</v>
      </c>
      <c r="G132">
        <v>2.5899999999999999E-2</v>
      </c>
      <c r="H132">
        <v>3.7400000000000003E-2</v>
      </c>
      <c r="I132">
        <v>73.8</v>
      </c>
      <c r="J132">
        <v>30.2</v>
      </c>
      <c r="K132">
        <v>66.3</v>
      </c>
      <c r="L132">
        <v>70.599999999999994</v>
      </c>
      <c r="M132">
        <v>69.400000000000006</v>
      </c>
      <c r="N132" s="54"/>
      <c r="AC132">
        <v>200</v>
      </c>
      <c r="AD132">
        <v>3493</v>
      </c>
      <c r="AE132">
        <v>3466</v>
      </c>
      <c r="AF132">
        <v>3467</v>
      </c>
      <c r="AG132">
        <v>3476</v>
      </c>
      <c r="AH132">
        <v>1.2699999999999999E-2</v>
      </c>
      <c r="AI132">
        <v>2.5899999999999999E-2</v>
      </c>
      <c r="AJ132">
        <v>3.7400000000000003E-2</v>
      </c>
      <c r="AK132">
        <v>71.3</v>
      </c>
      <c r="AL132">
        <v>30.3</v>
      </c>
      <c r="AM132">
        <v>62.9</v>
      </c>
      <c r="AN132">
        <v>29.2</v>
      </c>
      <c r="AO132">
        <v>67.5</v>
      </c>
      <c r="AP132">
        <v>66</v>
      </c>
      <c r="AQ132" s="54"/>
    </row>
    <row r="133" spans="1:43" x14ac:dyDescent="0.25">
      <c r="A133">
        <v>205</v>
      </c>
      <c r="B133">
        <v>3256</v>
      </c>
      <c r="C133">
        <v>3241</v>
      </c>
      <c r="D133">
        <v>3264</v>
      </c>
      <c r="E133">
        <v>3254</v>
      </c>
      <c r="F133">
        <v>1.2800000000000001E-2</v>
      </c>
      <c r="G133">
        <v>2.5700000000000001E-2</v>
      </c>
      <c r="H133">
        <v>3.73E-2</v>
      </c>
      <c r="I133">
        <v>74.3</v>
      </c>
      <c r="J133">
        <v>30.2</v>
      </c>
      <c r="K133">
        <v>66.7</v>
      </c>
      <c r="L133">
        <v>71</v>
      </c>
      <c r="M133">
        <v>69.8</v>
      </c>
      <c r="N133" s="54"/>
      <c r="AC133">
        <v>205</v>
      </c>
      <c r="AD133">
        <v>3512</v>
      </c>
      <c r="AE133">
        <v>3518</v>
      </c>
      <c r="AF133">
        <v>3510</v>
      </c>
      <c r="AG133">
        <v>3508</v>
      </c>
      <c r="AH133">
        <v>1.2800000000000001E-2</v>
      </c>
      <c r="AI133">
        <v>2.5700000000000001E-2</v>
      </c>
      <c r="AJ133">
        <v>3.7199999999999997E-2</v>
      </c>
      <c r="AK133">
        <v>73.2</v>
      </c>
      <c r="AL133">
        <v>30.4</v>
      </c>
      <c r="AM133">
        <v>64.7</v>
      </c>
      <c r="AN133">
        <v>29.4</v>
      </c>
      <c r="AO133">
        <v>69.400000000000006</v>
      </c>
      <c r="AP133">
        <v>68</v>
      </c>
      <c r="AQ133" s="54"/>
    </row>
    <row r="134" spans="1:43" x14ac:dyDescent="0.25">
      <c r="A134">
        <v>210</v>
      </c>
      <c r="B134">
        <v>3267</v>
      </c>
      <c r="C134">
        <v>3249</v>
      </c>
      <c r="D134">
        <v>3270</v>
      </c>
      <c r="E134">
        <v>3262</v>
      </c>
      <c r="F134">
        <v>1.29E-2</v>
      </c>
      <c r="G134">
        <v>2.58E-2</v>
      </c>
      <c r="H134">
        <v>3.7400000000000003E-2</v>
      </c>
      <c r="I134">
        <v>74.599999999999994</v>
      </c>
      <c r="J134">
        <v>29.7</v>
      </c>
      <c r="K134">
        <v>67</v>
      </c>
      <c r="L134">
        <v>71.400000000000006</v>
      </c>
      <c r="M134">
        <v>70.099999999999994</v>
      </c>
      <c r="N134" s="54"/>
      <c r="AC134">
        <v>210</v>
      </c>
      <c r="AD134">
        <v>3517</v>
      </c>
      <c r="AE134">
        <v>3532</v>
      </c>
      <c r="AF134">
        <v>3530</v>
      </c>
      <c r="AG134">
        <v>3526</v>
      </c>
      <c r="AH134">
        <v>1.2800000000000001E-2</v>
      </c>
      <c r="AI134">
        <v>2.5600000000000001E-2</v>
      </c>
      <c r="AJ134">
        <v>3.7199999999999997E-2</v>
      </c>
      <c r="AK134">
        <v>74.7</v>
      </c>
      <c r="AL134">
        <v>30.4</v>
      </c>
      <c r="AM134">
        <v>66.2</v>
      </c>
      <c r="AN134">
        <v>29.4</v>
      </c>
      <c r="AO134">
        <v>70.900000000000006</v>
      </c>
      <c r="AP134">
        <v>69.5</v>
      </c>
      <c r="AQ134" s="54"/>
    </row>
    <row r="135" spans="1:43" x14ac:dyDescent="0.25">
      <c r="A135">
        <v>215</v>
      </c>
      <c r="B135">
        <v>3260</v>
      </c>
      <c r="C135">
        <v>3238</v>
      </c>
      <c r="D135">
        <v>3261</v>
      </c>
      <c r="E135">
        <v>3253</v>
      </c>
      <c r="F135">
        <v>1.29E-2</v>
      </c>
      <c r="G135">
        <v>2.58E-2</v>
      </c>
      <c r="H135">
        <v>3.7400000000000003E-2</v>
      </c>
      <c r="I135">
        <v>74.8</v>
      </c>
      <c r="J135">
        <v>29.8</v>
      </c>
      <c r="K135">
        <v>67.3</v>
      </c>
      <c r="L135">
        <v>71.5</v>
      </c>
      <c r="M135">
        <v>70.3</v>
      </c>
      <c r="N135" s="54"/>
      <c r="AC135">
        <v>215</v>
      </c>
      <c r="AD135">
        <v>3519</v>
      </c>
      <c r="AE135">
        <v>3531</v>
      </c>
      <c r="AF135">
        <v>3534</v>
      </c>
      <c r="AG135">
        <v>3528</v>
      </c>
      <c r="AH135">
        <v>1.2800000000000001E-2</v>
      </c>
      <c r="AI135">
        <v>2.5700000000000001E-2</v>
      </c>
      <c r="AJ135">
        <v>3.7199999999999997E-2</v>
      </c>
      <c r="AK135">
        <v>75.7</v>
      </c>
      <c r="AL135">
        <v>30.3</v>
      </c>
      <c r="AM135">
        <v>67.2</v>
      </c>
      <c r="AN135">
        <v>29.3</v>
      </c>
      <c r="AO135">
        <v>72</v>
      </c>
      <c r="AP135">
        <v>70.5</v>
      </c>
      <c r="AQ135" s="54"/>
    </row>
    <row r="136" spans="1:43" x14ac:dyDescent="0.25">
      <c r="A136">
        <v>220</v>
      </c>
      <c r="B136">
        <v>3236</v>
      </c>
      <c r="C136">
        <v>3218</v>
      </c>
      <c r="D136">
        <v>3243</v>
      </c>
      <c r="E136">
        <v>3232</v>
      </c>
      <c r="F136">
        <v>1.29E-2</v>
      </c>
      <c r="G136">
        <v>2.58E-2</v>
      </c>
      <c r="H136">
        <v>3.7400000000000003E-2</v>
      </c>
      <c r="I136">
        <v>74.900000000000006</v>
      </c>
      <c r="J136">
        <v>29.9</v>
      </c>
      <c r="K136">
        <v>67.400000000000006</v>
      </c>
      <c r="L136">
        <v>71.7</v>
      </c>
      <c r="M136">
        <v>70.5</v>
      </c>
      <c r="N136" s="54"/>
      <c r="AC136">
        <v>220</v>
      </c>
      <c r="AD136">
        <v>3531</v>
      </c>
      <c r="AE136">
        <v>3540</v>
      </c>
      <c r="AF136">
        <v>3542</v>
      </c>
      <c r="AG136">
        <v>3538</v>
      </c>
      <c r="AH136">
        <v>1.29E-2</v>
      </c>
      <c r="AI136">
        <v>2.5700000000000001E-2</v>
      </c>
      <c r="AJ136">
        <v>3.7199999999999997E-2</v>
      </c>
      <c r="AK136">
        <v>76.8</v>
      </c>
      <c r="AL136">
        <v>30.3</v>
      </c>
      <c r="AM136">
        <v>68.2</v>
      </c>
      <c r="AN136">
        <v>29.4</v>
      </c>
      <c r="AO136">
        <v>73.099999999999994</v>
      </c>
      <c r="AP136">
        <v>71.599999999999994</v>
      </c>
      <c r="AQ136" s="54"/>
    </row>
    <row r="137" spans="1:43" x14ac:dyDescent="0.25">
      <c r="A137">
        <v>225</v>
      </c>
      <c r="B137">
        <v>3236</v>
      </c>
      <c r="C137">
        <v>3213</v>
      </c>
      <c r="D137">
        <v>3238</v>
      </c>
      <c r="E137">
        <v>3229</v>
      </c>
      <c r="F137">
        <v>1.29E-2</v>
      </c>
      <c r="G137">
        <v>2.58E-2</v>
      </c>
      <c r="H137">
        <v>3.7400000000000003E-2</v>
      </c>
      <c r="I137">
        <v>75.099999999999994</v>
      </c>
      <c r="J137">
        <v>30</v>
      </c>
      <c r="K137">
        <v>67.7</v>
      </c>
      <c r="L137">
        <v>72</v>
      </c>
      <c r="M137">
        <v>70.7</v>
      </c>
      <c r="N137" s="54"/>
      <c r="AC137">
        <v>225</v>
      </c>
      <c r="AD137">
        <v>3495</v>
      </c>
      <c r="AE137">
        <v>3513</v>
      </c>
      <c r="AF137">
        <v>3513</v>
      </c>
      <c r="AG137">
        <v>3507</v>
      </c>
      <c r="AH137">
        <v>1.29E-2</v>
      </c>
      <c r="AI137">
        <v>2.5600000000000001E-2</v>
      </c>
      <c r="AJ137">
        <v>3.7199999999999997E-2</v>
      </c>
      <c r="AK137">
        <v>77.599999999999994</v>
      </c>
      <c r="AL137">
        <v>30.3</v>
      </c>
      <c r="AM137">
        <v>69</v>
      </c>
      <c r="AN137">
        <v>29.4</v>
      </c>
      <c r="AO137">
        <v>73.900000000000006</v>
      </c>
      <c r="AP137">
        <v>72.5</v>
      </c>
      <c r="AQ137" s="54"/>
    </row>
    <row r="138" spans="1:43" x14ac:dyDescent="0.25">
      <c r="A138">
        <v>230</v>
      </c>
      <c r="B138">
        <v>3242</v>
      </c>
      <c r="C138">
        <v>3228</v>
      </c>
      <c r="D138">
        <v>3242</v>
      </c>
      <c r="E138">
        <v>3237</v>
      </c>
      <c r="F138">
        <v>1.29E-2</v>
      </c>
      <c r="G138">
        <v>2.58E-2</v>
      </c>
      <c r="H138">
        <v>3.7400000000000003E-2</v>
      </c>
      <c r="I138">
        <v>75.3</v>
      </c>
      <c r="J138">
        <v>30</v>
      </c>
      <c r="K138">
        <v>67.8</v>
      </c>
      <c r="L138">
        <v>72.099999999999994</v>
      </c>
      <c r="M138">
        <v>70.900000000000006</v>
      </c>
      <c r="N138" s="54"/>
      <c r="AC138">
        <v>230</v>
      </c>
      <c r="AD138">
        <v>3493</v>
      </c>
      <c r="AE138">
        <v>3493</v>
      </c>
      <c r="AF138">
        <v>3486</v>
      </c>
      <c r="AG138">
        <v>3491</v>
      </c>
      <c r="AH138">
        <v>1.29E-2</v>
      </c>
      <c r="AI138">
        <v>2.58E-2</v>
      </c>
      <c r="AJ138">
        <v>3.73E-2</v>
      </c>
      <c r="AK138">
        <v>78.2</v>
      </c>
      <c r="AL138">
        <v>30.6</v>
      </c>
      <c r="AM138">
        <v>69.599999999999994</v>
      </c>
      <c r="AN138">
        <v>29.5</v>
      </c>
      <c r="AO138">
        <v>74.599999999999994</v>
      </c>
      <c r="AP138">
        <v>73.099999999999994</v>
      </c>
      <c r="AQ138" s="54"/>
    </row>
    <row r="139" spans="1:43" x14ac:dyDescent="0.25">
      <c r="A139">
        <v>235</v>
      </c>
      <c r="B139">
        <v>3246</v>
      </c>
      <c r="C139">
        <v>3232</v>
      </c>
      <c r="D139">
        <v>3253</v>
      </c>
      <c r="E139">
        <v>3237</v>
      </c>
      <c r="F139">
        <v>1.29E-2</v>
      </c>
      <c r="G139">
        <v>2.5899999999999999E-2</v>
      </c>
      <c r="H139">
        <v>3.73E-2</v>
      </c>
      <c r="I139">
        <v>75.5</v>
      </c>
      <c r="J139">
        <v>30.2</v>
      </c>
      <c r="K139">
        <v>68.099999999999994</v>
      </c>
      <c r="L139">
        <v>72.400000000000006</v>
      </c>
      <c r="M139">
        <v>71.2</v>
      </c>
      <c r="N139" s="54"/>
      <c r="AC139">
        <v>235</v>
      </c>
      <c r="AD139">
        <v>3496</v>
      </c>
      <c r="AE139">
        <v>3502</v>
      </c>
      <c r="AF139">
        <v>3504</v>
      </c>
      <c r="AG139">
        <v>3501</v>
      </c>
      <c r="AH139">
        <v>1.29E-2</v>
      </c>
      <c r="AI139">
        <v>2.5700000000000001E-2</v>
      </c>
      <c r="AJ139">
        <v>3.73E-2</v>
      </c>
      <c r="AK139">
        <v>78.900000000000006</v>
      </c>
      <c r="AL139">
        <v>30.6</v>
      </c>
      <c r="AM139">
        <v>70.2</v>
      </c>
      <c r="AN139">
        <v>29.5</v>
      </c>
      <c r="AO139">
        <v>75.2</v>
      </c>
      <c r="AP139">
        <v>73.7</v>
      </c>
      <c r="AQ139" s="54"/>
    </row>
    <row r="140" spans="1:43" x14ac:dyDescent="0.25">
      <c r="A140">
        <v>240</v>
      </c>
      <c r="B140">
        <v>3238</v>
      </c>
      <c r="C140">
        <v>3226</v>
      </c>
      <c r="D140">
        <v>3250</v>
      </c>
      <c r="E140">
        <v>3238</v>
      </c>
      <c r="F140">
        <v>1.29E-2</v>
      </c>
      <c r="G140">
        <v>2.58E-2</v>
      </c>
      <c r="H140">
        <v>3.7400000000000003E-2</v>
      </c>
      <c r="I140">
        <v>75.599999999999994</v>
      </c>
      <c r="J140">
        <v>30.3</v>
      </c>
      <c r="K140">
        <v>68.2</v>
      </c>
      <c r="L140">
        <v>72.5</v>
      </c>
      <c r="M140">
        <v>71.3</v>
      </c>
      <c r="N140" s="54"/>
      <c r="AC140">
        <v>240</v>
      </c>
      <c r="AD140">
        <v>3478</v>
      </c>
      <c r="AE140">
        <v>3483</v>
      </c>
      <c r="AF140">
        <v>3489</v>
      </c>
      <c r="AG140">
        <v>3483</v>
      </c>
      <c r="AH140">
        <v>1.2999999999999999E-2</v>
      </c>
      <c r="AI140">
        <v>2.5700000000000001E-2</v>
      </c>
      <c r="AJ140">
        <v>3.73E-2</v>
      </c>
      <c r="AK140">
        <v>79.400000000000006</v>
      </c>
      <c r="AL140">
        <v>30.5</v>
      </c>
      <c r="AM140">
        <v>70.7</v>
      </c>
      <c r="AN140">
        <v>29.5</v>
      </c>
      <c r="AO140">
        <v>75.7</v>
      </c>
      <c r="AP140">
        <v>74.3</v>
      </c>
      <c r="AQ140" s="54"/>
    </row>
    <row r="141" spans="1:43" x14ac:dyDescent="0.25">
      <c r="A141">
        <v>245</v>
      </c>
      <c r="B141">
        <v>3243</v>
      </c>
      <c r="C141">
        <v>3239</v>
      </c>
      <c r="D141">
        <v>3258</v>
      </c>
      <c r="E141">
        <v>3246</v>
      </c>
      <c r="F141">
        <v>1.2800000000000001E-2</v>
      </c>
      <c r="G141">
        <v>2.5700000000000001E-2</v>
      </c>
      <c r="H141">
        <v>3.7400000000000003E-2</v>
      </c>
      <c r="I141">
        <v>75.7</v>
      </c>
      <c r="J141">
        <v>30.1</v>
      </c>
      <c r="K141">
        <v>68.3</v>
      </c>
      <c r="L141">
        <v>72.599999999999994</v>
      </c>
      <c r="M141">
        <v>71.400000000000006</v>
      </c>
      <c r="N141" s="54"/>
      <c r="AC141">
        <v>245</v>
      </c>
      <c r="AD141">
        <v>3478</v>
      </c>
      <c r="AE141">
        <v>3489</v>
      </c>
      <c r="AF141">
        <v>3500</v>
      </c>
      <c r="AG141">
        <v>3489</v>
      </c>
      <c r="AH141">
        <v>1.2999999999999999E-2</v>
      </c>
      <c r="AI141">
        <v>2.5600000000000001E-2</v>
      </c>
      <c r="AJ141">
        <v>3.7199999999999997E-2</v>
      </c>
      <c r="AK141">
        <v>79.900000000000006</v>
      </c>
      <c r="AL141">
        <v>30.7</v>
      </c>
      <c r="AM141">
        <v>71.3</v>
      </c>
      <c r="AN141">
        <v>29.7</v>
      </c>
      <c r="AO141">
        <v>76.3</v>
      </c>
      <c r="AP141">
        <v>74.8</v>
      </c>
      <c r="AQ141" s="54"/>
    </row>
    <row r="142" spans="1:43" x14ac:dyDescent="0.25">
      <c r="A142">
        <v>250</v>
      </c>
      <c r="B142">
        <v>3230</v>
      </c>
      <c r="C142">
        <v>3225</v>
      </c>
      <c r="D142">
        <v>3254</v>
      </c>
      <c r="E142">
        <v>3236</v>
      </c>
      <c r="F142">
        <v>1.29E-2</v>
      </c>
      <c r="G142">
        <v>2.5700000000000001E-2</v>
      </c>
      <c r="H142">
        <v>3.73E-2</v>
      </c>
      <c r="I142">
        <v>75.8</v>
      </c>
      <c r="J142">
        <v>29.8</v>
      </c>
      <c r="K142">
        <v>68.400000000000006</v>
      </c>
      <c r="L142">
        <v>72.7</v>
      </c>
      <c r="M142">
        <v>71.400000000000006</v>
      </c>
      <c r="N142" s="54"/>
      <c r="AC142">
        <v>250</v>
      </c>
      <c r="AD142">
        <v>3479</v>
      </c>
      <c r="AE142">
        <v>3492</v>
      </c>
      <c r="AF142">
        <v>3490</v>
      </c>
      <c r="AG142">
        <v>3487</v>
      </c>
      <c r="AH142">
        <v>1.2999999999999999E-2</v>
      </c>
      <c r="AI142">
        <v>2.5700000000000001E-2</v>
      </c>
      <c r="AJ142">
        <v>3.73E-2</v>
      </c>
      <c r="AK142">
        <v>80.2</v>
      </c>
      <c r="AL142">
        <v>30.4</v>
      </c>
      <c r="AM142">
        <v>71.599999999999994</v>
      </c>
      <c r="AN142">
        <v>29.5</v>
      </c>
      <c r="AO142">
        <v>76.599999999999994</v>
      </c>
      <c r="AP142">
        <v>75</v>
      </c>
      <c r="AQ142" s="54"/>
    </row>
    <row r="143" spans="1:43" x14ac:dyDescent="0.25">
      <c r="A143">
        <v>255</v>
      </c>
      <c r="B143">
        <v>3226</v>
      </c>
      <c r="C143">
        <v>3234</v>
      </c>
      <c r="D143">
        <v>3254</v>
      </c>
      <c r="E143">
        <v>3238</v>
      </c>
      <c r="F143">
        <v>1.29E-2</v>
      </c>
      <c r="G143">
        <v>2.5700000000000001E-2</v>
      </c>
      <c r="H143">
        <v>3.73E-2</v>
      </c>
      <c r="I143">
        <v>75.7</v>
      </c>
      <c r="J143">
        <v>29.5</v>
      </c>
      <c r="K143">
        <v>68.3</v>
      </c>
      <c r="L143">
        <v>72.5</v>
      </c>
      <c r="M143">
        <v>71.3</v>
      </c>
      <c r="N143" s="54"/>
      <c r="AC143">
        <v>255</v>
      </c>
      <c r="AD143">
        <v>3510</v>
      </c>
      <c r="AE143">
        <v>3515</v>
      </c>
      <c r="AF143">
        <v>3525</v>
      </c>
      <c r="AG143">
        <v>3517</v>
      </c>
      <c r="AH143">
        <v>1.2999999999999999E-2</v>
      </c>
      <c r="AI143">
        <v>2.5700000000000001E-2</v>
      </c>
      <c r="AJ143">
        <v>3.7400000000000003E-2</v>
      </c>
      <c r="AK143">
        <v>80.400000000000006</v>
      </c>
      <c r="AL143">
        <v>30.6</v>
      </c>
      <c r="AM143">
        <v>71.8</v>
      </c>
      <c r="AN143">
        <v>29.6</v>
      </c>
      <c r="AO143">
        <v>76.900000000000006</v>
      </c>
      <c r="AP143">
        <v>75.3</v>
      </c>
      <c r="AQ143" s="54"/>
    </row>
    <row r="144" spans="1:43" x14ac:dyDescent="0.25">
      <c r="A144" s="12">
        <v>260</v>
      </c>
      <c r="B144" s="12">
        <v>3257</v>
      </c>
      <c r="C144" s="12">
        <v>3250</v>
      </c>
      <c r="D144" s="12">
        <v>3267</v>
      </c>
      <c r="E144" s="12">
        <v>3258</v>
      </c>
      <c r="F144" s="12">
        <v>1.29E-2</v>
      </c>
      <c r="G144" s="12">
        <v>2.58E-2</v>
      </c>
      <c r="H144" s="12">
        <v>3.7400000000000003E-2</v>
      </c>
      <c r="I144" s="12">
        <v>75.7</v>
      </c>
      <c r="J144" s="12">
        <v>29.4</v>
      </c>
      <c r="K144" s="12">
        <v>68.2</v>
      </c>
      <c r="L144" s="12">
        <v>72.5</v>
      </c>
      <c r="M144" s="12">
        <v>71.3</v>
      </c>
      <c r="N144" s="54">
        <f>I144-J144</f>
        <v>46.300000000000004</v>
      </c>
      <c r="AC144">
        <v>260</v>
      </c>
      <c r="AD144">
        <v>3528</v>
      </c>
      <c r="AE144">
        <v>3528</v>
      </c>
      <c r="AF144">
        <v>3538</v>
      </c>
      <c r="AG144">
        <v>3531</v>
      </c>
      <c r="AH144">
        <v>1.2999999999999999E-2</v>
      </c>
      <c r="AI144">
        <v>2.58E-2</v>
      </c>
      <c r="AJ144">
        <v>3.73E-2</v>
      </c>
      <c r="AK144">
        <v>81</v>
      </c>
      <c r="AL144">
        <v>30.6</v>
      </c>
      <c r="AM144">
        <v>72.2</v>
      </c>
      <c r="AN144">
        <v>29.6</v>
      </c>
      <c r="AO144">
        <v>77.400000000000006</v>
      </c>
      <c r="AP144">
        <v>75.8</v>
      </c>
      <c r="AQ144" s="54"/>
    </row>
    <row r="145" spans="1:43" x14ac:dyDescent="0.25">
      <c r="A145">
        <v>265</v>
      </c>
      <c r="B145">
        <v>4030</v>
      </c>
      <c r="C145">
        <v>4043</v>
      </c>
      <c r="D145">
        <v>4042</v>
      </c>
      <c r="E145">
        <v>4013</v>
      </c>
      <c r="F145">
        <v>1.29E-2</v>
      </c>
      <c r="G145">
        <v>2.5499999999999998E-2</v>
      </c>
      <c r="H145">
        <v>3.7100000000000001E-2</v>
      </c>
      <c r="I145">
        <v>76.099999999999994</v>
      </c>
      <c r="J145">
        <v>29.2</v>
      </c>
      <c r="K145">
        <v>68.3</v>
      </c>
      <c r="L145">
        <v>72.7</v>
      </c>
      <c r="M145">
        <v>71.400000000000006</v>
      </c>
      <c r="N145" s="54"/>
      <c r="AC145">
        <v>265</v>
      </c>
      <c r="AD145">
        <v>3524</v>
      </c>
      <c r="AE145">
        <v>3522</v>
      </c>
      <c r="AF145">
        <v>3534</v>
      </c>
      <c r="AG145">
        <v>3527</v>
      </c>
      <c r="AH145">
        <v>1.2999999999999999E-2</v>
      </c>
      <c r="AI145">
        <v>2.5700000000000001E-2</v>
      </c>
      <c r="AJ145">
        <v>3.7400000000000003E-2</v>
      </c>
      <c r="AK145">
        <v>81.400000000000006</v>
      </c>
      <c r="AL145">
        <v>30.5</v>
      </c>
      <c r="AM145">
        <v>72.5</v>
      </c>
      <c r="AN145">
        <v>29.6</v>
      </c>
      <c r="AO145">
        <v>77.7</v>
      </c>
      <c r="AP145">
        <v>76.2</v>
      </c>
      <c r="AQ145" s="54"/>
    </row>
    <row r="146" spans="1:43" x14ac:dyDescent="0.25">
      <c r="A146">
        <v>270</v>
      </c>
      <c r="B146">
        <v>4018</v>
      </c>
      <c r="C146">
        <v>4031</v>
      </c>
      <c r="D146">
        <v>4032</v>
      </c>
      <c r="E146">
        <v>4027</v>
      </c>
      <c r="F146">
        <v>1.2999999999999999E-2</v>
      </c>
      <c r="G146">
        <v>2.5600000000000001E-2</v>
      </c>
      <c r="H146">
        <v>3.7199999999999997E-2</v>
      </c>
      <c r="I146">
        <v>80.400000000000006</v>
      </c>
      <c r="J146">
        <v>29.1</v>
      </c>
      <c r="K146">
        <v>70.2</v>
      </c>
      <c r="L146">
        <v>75.8</v>
      </c>
      <c r="M146">
        <v>74.099999999999994</v>
      </c>
      <c r="N146" s="54"/>
      <c r="AC146">
        <v>270</v>
      </c>
      <c r="AD146">
        <v>3547</v>
      </c>
      <c r="AE146">
        <v>3541</v>
      </c>
      <c r="AF146">
        <v>3563</v>
      </c>
      <c r="AG146">
        <v>3550</v>
      </c>
      <c r="AH146">
        <v>1.3100000000000001E-2</v>
      </c>
      <c r="AI146">
        <v>2.5700000000000001E-2</v>
      </c>
      <c r="AJ146">
        <v>3.7400000000000003E-2</v>
      </c>
      <c r="AK146">
        <v>81.8</v>
      </c>
      <c r="AL146">
        <v>30.6</v>
      </c>
      <c r="AM146">
        <v>73</v>
      </c>
      <c r="AN146">
        <v>29.6</v>
      </c>
      <c r="AO146">
        <v>78.099999999999994</v>
      </c>
      <c r="AP146">
        <v>76.599999999999994</v>
      </c>
      <c r="AQ146" s="54"/>
    </row>
    <row r="147" spans="1:43" x14ac:dyDescent="0.25">
      <c r="A147">
        <v>275</v>
      </c>
      <c r="B147">
        <v>4034</v>
      </c>
      <c r="C147">
        <v>4047</v>
      </c>
      <c r="D147">
        <v>4046</v>
      </c>
      <c r="E147">
        <v>4042</v>
      </c>
      <c r="F147">
        <v>1.3100000000000001E-2</v>
      </c>
      <c r="G147">
        <v>2.5700000000000001E-2</v>
      </c>
      <c r="H147">
        <v>3.73E-2</v>
      </c>
      <c r="I147">
        <v>83.3</v>
      </c>
      <c r="J147">
        <v>29.3</v>
      </c>
      <c r="K147">
        <v>72.599999999999994</v>
      </c>
      <c r="L147">
        <v>78.599999999999994</v>
      </c>
      <c r="M147">
        <v>76.8</v>
      </c>
      <c r="N147" s="54"/>
      <c r="AC147">
        <v>275</v>
      </c>
      <c r="AD147">
        <v>3518</v>
      </c>
      <c r="AE147">
        <v>3511</v>
      </c>
      <c r="AF147">
        <v>3534</v>
      </c>
      <c r="AG147">
        <v>3531</v>
      </c>
      <c r="AH147">
        <v>1.3100000000000001E-2</v>
      </c>
      <c r="AI147">
        <v>2.58E-2</v>
      </c>
      <c r="AJ147">
        <v>3.7400000000000003E-2</v>
      </c>
      <c r="AK147">
        <v>82.2</v>
      </c>
      <c r="AL147">
        <v>30.6</v>
      </c>
      <c r="AM147">
        <v>73.400000000000006</v>
      </c>
      <c r="AN147">
        <v>29.5</v>
      </c>
      <c r="AO147">
        <v>78.5</v>
      </c>
      <c r="AP147">
        <v>77</v>
      </c>
      <c r="AQ147" s="54"/>
    </row>
    <row r="148" spans="1:43" x14ac:dyDescent="0.25">
      <c r="A148">
        <v>280</v>
      </c>
      <c r="B148">
        <v>4021</v>
      </c>
      <c r="C148">
        <v>4047</v>
      </c>
      <c r="D148">
        <v>4049</v>
      </c>
      <c r="E148">
        <v>4039</v>
      </c>
      <c r="F148">
        <v>1.32E-2</v>
      </c>
      <c r="G148">
        <v>2.5600000000000001E-2</v>
      </c>
      <c r="H148">
        <v>3.73E-2</v>
      </c>
      <c r="I148">
        <v>85.4</v>
      </c>
      <c r="J148">
        <v>29.1</v>
      </c>
      <c r="K148">
        <v>74.599999999999994</v>
      </c>
      <c r="L148">
        <v>80.599999999999994</v>
      </c>
      <c r="M148">
        <v>78.8</v>
      </c>
      <c r="N148" s="54"/>
      <c r="AC148">
        <v>280</v>
      </c>
      <c r="AD148">
        <v>3542</v>
      </c>
      <c r="AE148">
        <v>3523</v>
      </c>
      <c r="AF148">
        <v>3534</v>
      </c>
      <c r="AG148">
        <v>3533</v>
      </c>
      <c r="AH148">
        <v>1.3100000000000001E-2</v>
      </c>
      <c r="AI148">
        <v>2.5899999999999999E-2</v>
      </c>
      <c r="AJ148">
        <v>3.7499999999999999E-2</v>
      </c>
      <c r="AK148">
        <v>82.5</v>
      </c>
      <c r="AL148">
        <v>30.5</v>
      </c>
      <c r="AM148">
        <v>73.599999999999994</v>
      </c>
      <c r="AN148">
        <v>29.5</v>
      </c>
      <c r="AO148">
        <v>78.8</v>
      </c>
      <c r="AP148">
        <v>77.3</v>
      </c>
      <c r="AQ148" s="54"/>
    </row>
    <row r="149" spans="1:43" x14ac:dyDescent="0.25">
      <c r="A149">
        <v>285</v>
      </c>
      <c r="B149">
        <v>4029</v>
      </c>
      <c r="C149">
        <v>4053</v>
      </c>
      <c r="D149">
        <v>4056</v>
      </c>
      <c r="E149">
        <v>4046</v>
      </c>
      <c r="F149">
        <v>1.32E-2</v>
      </c>
      <c r="G149">
        <v>2.5600000000000001E-2</v>
      </c>
      <c r="H149">
        <v>3.7400000000000003E-2</v>
      </c>
      <c r="I149">
        <v>87.2</v>
      </c>
      <c r="J149">
        <v>28.7</v>
      </c>
      <c r="K149">
        <v>76.400000000000006</v>
      </c>
      <c r="L149">
        <v>82.4</v>
      </c>
      <c r="M149">
        <v>80.7</v>
      </c>
      <c r="N149" s="54"/>
      <c r="AC149">
        <v>285</v>
      </c>
      <c r="AD149">
        <v>3537</v>
      </c>
      <c r="AE149">
        <v>3524</v>
      </c>
      <c r="AF149">
        <v>3532</v>
      </c>
      <c r="AG149">
        <v>3531</v>
      </c>
      <c r="AH149">
        <v>1.3100000000000001E-2</v>
      </c>
      <c r="AI149">
        <v>2.5899999999999999E-2</v>
      </c>
      <c r="AJ149">
        <v>3.7499999999999999E-2</v>
      </c>
      <c r="AK149">
        <v>82.6</v>
      </c>
      <c r="AL149">
        <v>29.9</v>
      </c>
      <c r="AM149">
        <v>73.599999999999994</v>
      </c>
      <c r="AN149">
        <v>29.3</v>
      </c>
      <c r="AO149">
        <v>78.900000000000006</v>
      </c>
      <c r="AP149">
        <v>77.3</v>
      </c>
      <c r="AQ149" s="54"/>
    </row>
    <row r="150" spans="1:43" x14ac:dyDescent="0.25">
      <c r="A150">
        <v>290</v>
      </c>
      <c r="B150">
        <v>4018</v>
      </c>
      <c r="C150">
        <v>4035</v>
      </c>
      <c r="D150">
        <v>4040</v>
      </c>
      <c r="E150">
        <v>4031</v>
      </c>
      <c r="F150">
        <v>1.3299999999999999E-2</v>
      </c>
      <c r="G150">
        <v>2.5700000000000001E-2</v>
      </c>
      <c r="H150">
        <v>3.7499999999999999E-2</v>
      </c>
      <c r="I150">
        <v>88.7</v>
      </c>
      <c r="J150">
        <v>28.8</v>
      </c>
      <c r="K150">
        <v>77.7</v>
      </c>
      <c r="L150">
        <v>83.9</v>
      </c>
      <c r="M150">
        <v>82.2</v>
      </c>
      <c r="N150" s="54"/>
      <c r="AC150">
        <v>290</v>
      </c>
      <c r="AD150">
        <v>3526</v>
      </c>
      <c r="AE150">
        <v>3511</v>
      </c>
      <c r="AF150">
        <v>3537</v>
      </c>
      <c r="AG150">
        <v>3525</v>
      </c>
      <c r="AH150">
        <v>1.3100000000000001E-2</v>
      </c>
      <c r="AI150">
        <v>2.5700000000000001E-2</v>
      </c>
      <c r="AJ150">
        <v>3.7400000000000003E-2</v>
      </c>
      <c r="AK150">
        <v>82.5</v>
      </c>
      <c r="AL150">
        <v>29.8</v>
      </c>
      <c r="AM150">
        <v>73.7</v>
      </c>
      <c r="AN150">
        <v>29.3</v>
      </c>
      <c r="AO150">
        <v>78.900000000000006</v>
      </c>
      <c r="AP150">
        <v>77.3</v>
      </c>
      <c r="AQ150" s="54"/>
    </row>
    <row r="151" spans="1:43" x14ac:dyDescent="0.25">
      <c r="A151">
        <v>295</v>
      </c>
      <c r="B151">
        <v>4015</v>
      </c>
      <c r="C151">
        <v>4033</v>
      </c>
      <c r="D151">
        <v>4043</v>
      </c>
      <c r="E151">
        <v>4028</v>
      </c>
      <c r="F151">
        <v>1.3299999999999999E-2</v>
      </c>
      <c r="G151">
        <v>2.5600000000000001E-2</v>
      </c>
      <c r="H151">
        <v>3.7400000000000003E-2</v>
      </c>
      <c r="I151">
        <v>89.9</v>
      </c>
      <c r="J151">
        <v>28.7</v>
      </c>
      <c r="K151">
        <v>78.900000000000006</v>
      </c>
      <c r="L151">
        <v>85.1</v>
      </c>
      <c r="M151">
        <v>83.3</v>
      </c>
      <c r="N151" s="54"/>
      <c r="AC151">
        <v>295</v>
      </c>
      <c r="AD151">
        <v>3535</v>
      </c>
      <c r="AE151">
        <v>3520</v>
      </c>
      <c r="AF151">
        <v>3538</v>
      </c>
      <c r="AG151">
        <v>3531</v>
      </c>
      <c r="AH151">
        <v>1.3100000000000001E-2</v>
      </c>
      <c r="AI151">
        <v>2.5899999999999999E-2</v>
      </c>
      <c r="AJ151">
        <v>3.7499999999999999E-2</v>
      </c>
      <c r="AK151">
        <v>82.5</v>
      </c>
      <c r="AL151">
        <v>29.8</v>
      </c>
      <c r="AM151">
        <v>73.599999999999994</v>
      </c>
      <c r="AN151">
        <v>29.2</v>
      </c>
      <c r="AO151">
        <v>78.900000000000006</v>
      </c>
      <c r="AP151">
        <v>77.3</v>
      </c>
      <c r="AQ151" s="54"/>
    </row>
    <row r="152" spans="1:43" x14ac:dyDescent="0.25">
      <c r="A152">
        <v>300</v>
      </c>
      <c r="B152">
        <v>3996</v>
      </c>
      <c r="C152">
        <v>4022</v>
      </c>
      <c r="D152">
        <v>4024</v>
      </c>
      <c r="E152">
        <v>4014</v>
      </c>
      <c r="F152">
        <v>1.3299999999999999E-2</v>
      </c>
      <c r="G152">
        <v>2.5600000000000001E-2</v>
      </c>
      <c r="H152">
        <v>3.7400000000000003E-2</v>
      </c>
      <c r="I152">
        <v>90.5</v>
      </c>
      <c r="J152">
        <v>28.4</v>
      </c>
      <c r="K152">
        <v>79.5</v>
      </c>
      <c r="L152">
        <v>85.9</v>
      </c>
      <c r="M152">
        <v>84.1</v>
      </c>
      <c r="N152" s="54"/>
      <c r="AC152">
        <v>300</v>
      </c>
      <c r="AD152">
        <v>3531</v>
      </c>
      <c r="AE152">
        <v>3511</v>
      </c>
      <c r="AF152">
        <v>3531</v>
      </c>
      <c r="AG152">
        <v>3524</v>
      </c>
      <c r="AH152">
        <v>1.3100000000000001E-2</v>
      </c>
      <c r="AI152">
        <v>2.5899999999999999E-2</v>
      </c>
      <c r="AJ152">
        <v>3.7499999999999999E-2</v>
      </c>
      <c r="AK152">
        <v>82.6</v>
      </c>
      <c r="AL152">
        <v>29.9</v>
      </c>
      <c r="AM152">
        <v>73.5</v>
      </c>
      <c r="AN152">
        <v>29.3</v>
      </c>
      <c r="AO152">
        <v>78.8</v>
      </c>
      <c r="AP152">
        <v>77.2</v>
      </c>
      <c r="AQ152" s="54"/>
    </row>
    <row r="153" spans="1:43" x14ac:dyDescent="0.25">
      <c r="A153">
        <v>305</v>
      </c>
      <c r="B153">
        <v>4003</v>
      </c>
      <c r="C153">
        <v>4030</v>
      </c>
      <c r="D153">
        <v>4035</v>
      </c>
      <c r="E153">
        <v>4023</v>
      </c>
      <c r="F153">
        <v>1.3299999999999999E-2</v>
      </c>
      <c r="G153">
        <v>2.5700000000000001E-2</v>
      </c>
      <c r="H153">
        <v>3.7499999999999999E-2</v>
      </c>
      <c r="I153">
        <v>90.8</v>
      </c>
      <c r="J153">
        <v>28.1</v>
      </c>
      <c r="K153">
        <v>79.5</v>
      </c>
      <c r="L153">
        <v>86.1</v>
      </c>
      <c r="M153">
        <v>84.1</v>
      </c>
      <c r="N153" s="54"/>
      <c r="AC153">
        <v>305</v>
      </c>
      <c r="AD153">
        <v>3539</v>
      </c>
      <c r="AE153">
        <v>3518</v>
      </c>
      <c r="AF153">
        <v>3535</v>
      </c>
      <c r="AG153">
        <v>3530</v>
      </c>
      <c r="AH153">
        <v>1.3100000000000001E-2</v>
      </c>
      <c r="AI153">
        <v>2.5899999999999999E-2</v>
      </c>
      <c r="AJ153">
        <v>3.7499999999999999E-2</v>
      </c>
      <c r="AK153">
        <v>82.7</v>
      </c>
      <c r="AL153">
        <v>29.9</v>
      </c>
      <c r="AM153">
        <v>73.8</v>
      </c>
      <c r="AN153">
        <v>29.3</v>
      </c>
      <c r="AO153">
        <v>79</v>
      </c>
      <c r="AP153">
        <v>77.5</v>
      </c>
      <c r="AQ153" s="54"/>
    </row>
    <row r="154" spans="1:43" x14ac:dyDescent="0.25">
      <c r="A154">
        <v>310</v>
      </c>
      <c r="B154">
        <v>3991</v>
      </c>
      <c r="C154">
        <v>4019</v>
      </c>
      <c r="D154">
        <v>4029</v>
      </c>
      <c r="E154">
        <v>4013</v>
      </c>
      <c r="F154">
        <v>1.3299999999999999E-2</v>
      </c>
      <c r="G154">
        <v>2.5600000000000001E-2</v>
      </c>
      <c r="H154">
        <v>3.7400000000000003E-2</v>
      </c>
      <c r="I154">
        <v>91.4</v>
      </c>
      <c r="J154">
        <v>28.4</v>
      </c>
      <c r="K154">
        <v>80.400000000000006</v>
      </c>
      <c r="L154">
        <v>86.8</v>
      </c>
      <c r="M154">
        <v>84.9</v>
      </c>
      <c r="N154" s="54"/>
      <c r="AC154">
        <v>310</v>
      </c>
      <c r="AD154">
        <v>3534</v>
      </c>
      <c r="AE154">
        <v>3523</v>
      </c>
      <c r="AF154">
        <v>3534</v>
      </c>
      <c r="AG154">
        <v>3530</v>
      </c>
      <c r="AH154">
        <v>1.3100000000000001E-2</v>
      </c>
      <c r="AI154">
        <v>2.5899999999999999E-2</v>
      </c>
      <c r="AJ154">
        <v>3.7499999999999999E-2</v>
      </c>
      <c r="AK154">
        <v>83</v>
      </c>
      <c r="AL154">
        <v>30</v>
      </c>
      <c r="AM154">
        <v>74.099999999999994</v>
      </c>
      <c r="AN154">
        <v>29.3</v>
      </c>
      <c r="AO154">
        <v>79.3</v>
      </c>
      <c r="AP154">
        <v>77.8</v>
      </c>
      <c r="AQ154" s="54"/>
    </row>
    <row r="155" spans="1:43" x14ac:dyDescent="0.25">
      <c r="A155">
        <v>315</v>
      </c>
      <c r="B155">
        <v>4005</v>
      </c>
      <c r="C155">
        <v>4026</v>
      </c>
      <c r="D155">
        <v>4045</v>
      </c>
      <c r="E155">
        <v>4025</v>
      </c>
      <c r="F155">
        <v>1.34E-2</v>
      </c>
      <c r="G155">
        <v>2.5700000000000001E-2</v>
      </c>
      <c r="H155">
        <v>3.7400000000000003E-2</v>
      </c>
      <c r="I155">
        <v>92.1</v>
      </c>
      <c r="J155">
        <v>28.5</v>
      </c>
      <c r="K155">
        <v>81.099999999999994</v>
      </c>
      <c r="L155">
        <v>87.5</v>
      </c>
      <c r="M155">
        <v>85.6</v>
      </c>
      <c r="N155" s="54"/>
      <c r="AC155">
        <v>315</v>
      </c>
      <c r="AD155">
        <v>3542</v>
      </c>
      <c r="AE155">
        <v>3521</v>
      </c>
      <c r="AF155">
        <v>3532</v>
      </c>
      <c r="AG155">
        <v>3532</v>
      </c>
      <c r="AH155">
        <v>1.3100000000000001E-2</v>
      </c>
      <c r="AI155">
        <v>2.5899999999999999E-2</v>
      </c>
      <c r="AJ155">
        <v>3.7499999999999999E-2</v>
      </c>
      <c r="AK155">
        <v>83</v>
      </c>
      <c r="AL155">
        <v>29.5</v>
      </c>
      <c r="AM155">
        <v>74.2</v>
      </c>
      <c r="AN155">
        <v>29</v>
      </c>
      <c r="AO155">
        <v>79.3</v>
      </c>
      <c r="AP155">
        <v>77.900000000000006</v>
      </c>
      <c r="AQ155" s="54"/>
    </row>
    <row r="156" spans="1:43" x14ac:dyDescent="0.25">
      <c r="A156">
        <v>320</v>
      </c>
      <c r="B156">
        <v>4006</v>
      </c>
      <c r="C156">
        <v>4032</v>
      </c>
      <c r="D156">
        <v>4047</v>
      </c>
      <c r="E156">
        <v>4028</v>
      </c>
      <c r="F156">
        <v>1.34E-2</v>
      </c>
      <c r="G156">
        <v>2.5600000000000001E-2</v>
      </c>
      <c r="H156">
        <v>3.7400000000000003E-2</v>
      </c>
      <c r="I156">
        <v>92.8</v>
      </c>
      <c r="J156">
        <v>28.5</v>
      </c>
      <c r="K156">
        <v>81.7</v>
      </c>
      <c r="L156">
        <v>88.2</v>
      </c>
      <c r="M156">
        <v>86.4</v>
      </c>
      <c r="N156" s="54"/>
      <c r="AC156">
        <v>320</v>
      </c>
      <c r="AD156">
        <v>3545</v>
      </c>
      <c r="AE156">
        <v>3523</v>
      </c>
      <c r="AF156">
        <v>3538</v>
      </c>
      <c r="AG156">
        <v>3535</v>
      </c>
      <c r="AH156">
        <v>1.32E-2</v>
      </c>
      <c r="AI156">
        <v>2.5999999999999999E-2</v>
      </c>
      <c r="AJ156">
        <v>3.7600000000000001E-2</v>
      </c>
      <c r="AK156">
        <v>83</v>
      </c>
      <c r="AL156">
        <v>29.1</v>
      </c>
      <c r="AM156">
        <v>74.099999999999994</v>
      </c>
      <c r="AN156">
        <v>28.7</v>
      </c>
      <c r="AO156">
        <v>79.400000000000006</v>
      </c>
      <c r="AP156">
        <v>77.8</v>
      </c>
      <c r="AQ156" s="54"/>
    </row>
    <row r="157" spans="1:43" x14ac:dyDescent="0.25">
      <c r="A157">
        <v>325</v>
      </c>
      <c r="B157">
        <v>4002</v>
      </c>
      <c r="C157">
        <v>4024</v>
      </c>
      <c r="D157">
        <v>4034</v>
      </c>
      <c r="E157">
        <v>4020</v>
      </c>
      <c r="F157">
        <v>1.34E-2</v>
      </c>
      <c r="G157">
        <v>2.5600000000000001E-2</v>
      </c>
      <c r="H157">
        <v>3.7499999999999999E-2</v>
      </c>
      <c r="I157">
        <v>92.9</v>
      </c>
      <c r="J157">
        <v>28.2</v>
      </c>
      <c r="K157">
        <v>81.599999999999994</v>
      </c>
      <c r="L157">
        <v>88.4</v>
      </c>
      <c r="M157">
        <v>86.4</v>
      </c>
      <c r="N157" s="54"/>
      <c r="AC157" s="12">
        <v>325</v>
      </c>
      <c r="AD157" s="12">
        <v>3539</v>
      </c>
      <c r="AE157" s="12">
        <v>3525</v>
      </c>
      <c r="AF157" s="12">
        <v>3540</v>
      </c>
      <c r="AG157" s="12">
        <v>3534</v>
      </c>
      <c r="AH157" s="12">
        <v>1.2999999999999999E-2</v>
      </c>
      <c r="AI157" s="12">
        <v>2.58E-2</v>
      </c>
      <c r="AJ157" s="12">
        <v>3.7400000000000003E-2</v>
      </c>
      <c r="AK157" s="12">
        <v>82.9</v>
      </c>
      <c r="AL157" s="12">
        <v>28.9</v>
      </c>
      <c r="AM157" s="12">
        <v>73.900000000000006</v>
      </c>
      <c r="AN157" s="12">
        <v>28.6</v>
      </c>
      <c r="AO157" s="12">
        <v>79.2</v>
      </c>
      <c r="AP157" s="12">
        <v>77.599999999999994</v>
      </c>
      <c r="AQ157" s="54">
        <f>AK157-AL157</f>
        <v>54.000000000000007</v>
      </c>
    </row>
    <row r="158" spans="1:43" x14ac:dyDescent="0.25">
      <c r="A158">
        <v>330</v>
      </c>
      <c r="B158">
        <v>3997</v>
      </c>
      <c r="C158">
        <v>4028</v>
      </c>
      <c r="D158">
        <v>4038</v>
      </c>
      <c r="E158">
        <v>4021</v>
      </c>
      <c r="F158">
        <v>1.34E-2</v>
      </c>
      <c r="G158">
        <v>2.5600000000000001E-2</v>
      </c>
      <c r="H158">
        <v>3.7400000000000003E-2</v>
      </c>
      <c r="I158">
        <v>92.9</v>
      </c>
      <c r="J158">
        <v>28.2</v>
      </c>
      <c r="K158">
        <v>81.7</v>
      </c>
      <c r="L158">
        <v>88.4</v>
      </c>
      <c r="M158">
        <v>86.5</v>
      </c>
      <c r="N158" s="54"/>
      <c r="AC158">
        <v>330</v>
      </c>
      <c r="AD158">
        <v>4210</v>
      </c>
      <c r="AE158">
        <v>4204</v>
      </c>
      <c r="AF158">
        <v>4282</v>
      </c>
      <c r="AG158">
        <v>4232</v>
      </c>
      <c r="AH158">
        <v>1.32E-2</v>
      </c>
      <c r="AI158">
        <v>2.5600000000000001E-2</v>
      </c>
      <c r="AJ158">
        <v>3.7400000000000003E-2</v>
      </c>
      <c r="AK158">
        <v>84</v>
      </c>
      <c r="AL158">
        <v>29.3</v>
      </c>
      <c r="AM158">
        <v>74.3</v>
      </c>
      <c r="AN158">
        <v>28.8</v>
      </c>
      <c r="AO158">
        <v>79.8</v>
      </c>
      <c r="AP158">
        <v>78.2</v>
      </c>
      <c r="AQ158" s="54"/>
    </row>
    <row r="159" spans="1:43" x14ac:dyDescent="0.25">
      <c r="A159">
        <v>335</v>
      </c>
      <c r="B159">
        <v>3971</v>
      </c>
      <c r="C159">
        <v>4005</v>
      </c>
      <c r="D159">
        <v>4028</v>
      </c>
      <c r="E159">
        <v>4002</v>
      </c>
      <c r="F159">
        <v>1.34E-2</v>
      </c>
      <c r="G159">
        <v>2.5600000000000001E-2</v>
      </c>
      <c r="H159">
        <v>3.7400000000000003E-2</v>
      </c>
      <c r="I159">
        <v>93</v>
      </c>
      <c r="J159">
        <v>28.4</v>
      </c>
      <c r="K159">
        <v>82</v>
      </c>
      <c r="L159">
        <v>88.7</v>
      </c>
      <c r="M159">
        <v>86.7</v>
      </c>
      <c r="N159" s="54"/>
      <c r="AC159">
        <v>335</v>
      </c>
      <c r="AD159">
        <v>4234</v>
      </c>
      <c r="AE159">
        <v>4224</v>
      </c>
      <c r="AF159">
        <v>4278</v>
      </c>
      <c r="AG159">
        <v>4245</v>
      </c>
      <c r="AH159">
        <v>1.3299999999999999E-2</v>
      </c>
      <c r="AI159">
        <v>2.58E-2</v>
      </c>
      <c r="AJ159">
        <v>3.7400000000000003E-2</v>
      </c>
      <c r="AK159">
        <v>88</v>
      </c>
      <c r="AL159">
        <v>29.4</v>
      </c>
      <c r="AM159">
        <v>76.599999999999994</v>
      </c>
      <c r="AN159">
        <v>28.8</v>
      </c>
      <c r="AO159">
        <v>82.8</v>
      </c>
      <c r="AP159">
        <v>80.900000000000006</v>
      </c>
      <c r="AQ159" s="54"/>
    </row>
    <row r="160" spans="1:43" x14ac:dyDescent="0.25">
      <c r="A160">
        <v>340</v>
      </c>
      <c r="B160">
        <v>4011</v>
      </c>
      <c r="C160">
        <v>4025</v>
      </c>
      <c r="D160">
        <v>4026</v>
      </c>
      <c r="E160">
        <v>4021</v>
      </c>
      <c r="F160">
        <v>1.34E-2</v>
      </c>
      <c r="G160">
        <v>2.5600000000000001E-2</v>
      </c>
      <c r="H160">
        <v>3.7499999999999999E-2</v>
      </c>
      <c r="I160">
        <v>93.1</v>
      </c>
      <c r="J160">
        <v>28.5</v>
      </c>
      <c r="K160">
        <v>82.1</v>
      </c>
      <c r="L160">
        <v>88.7</v>
      </c>
      <c r="M160">
        <v>86.8</v>
      </c>
      <c r="N160" s="54"/>
      <c r="AC160">
        <v>340</v>
      </c>
      <c r="AD160">
        <v>4222</v>
      </c>
      <c r="AE160">
        <v>4201</v>
      </c>
      <c r="AF160">
        <v>4259</v>
      </c>
      <c r="AG160">
        <v>4228</v>
      </c>
      <c r="AH160">
        <v>1.3299999999999999E-2</v>
      </c>
      <c r="AI160">
        <v>2.58E-2</v>
      </c>
      <c r="AJ160">
        <v>3.7499999999999999E-2</v>
      </c>
      <c r="AK160">
        <v>90.8</v>
      </c>
      <c r="AL160">
        <v>29.6</v>
      </c>
      <c r="AM160">
        <v>79.099999999999994</v>
      </c>
      <c r="AN160">
        <v>28.9</v>
      </c>
      <c r="AO160">
        <v>85.6</v>
      </c>
      <c r="AP160">
        <v>83.8</v>
      </c>
      <c r="AQ160" s="54"/>
    </row>
    <row r="161" spans="1:43" x14ac:dyDescent="0.25">
      <c r="A161">
        <v>345</v>
      </c>
      <c r="B161">
        <v>4020</v>
      </c>
      <c r="C161">
        <v>4036</v>
      </c>
      <c r="D161">
        <v>4038</v>
      </c>
      <c r="E161">
        <v>4031</v>
      </c>
      <c r="F161">
        <v>1.35E-2</v>
      </c>
      <c r="G161">
        <v>2.58E-2</v>
      </c>
      <c r="H161">
        <v>3.7600000000000001E-2</v>
      </c>
      <c r="I161">
        <v>93.7</v>
      </c>
      <c r="J161">
        <v>28.5</v>
      </c>
      <c r="K161">
        <v>82.7</v>
      </c>
      <c r="L161">
        <v>89.2</v>
      </c>
      <c r="M161">
        <v>87.3</v>
      </c>
      <c r="N161" s="54"/>
      <c r="AC161">
        <v>345</v>
      </c>
      <c r="AD161">
        <v>4223</v>
      </c>
      <c r="AE161">
        <v>4199</v>
      </c>
      <c r="AF161">
        <v>4290</v>
      </c>
      <c r="AG161">
        <v>4237</v>
      </c>
      <c r="AH161">
        <v>1.34E-2</v>
      </c>
      <c r="AI161">
        <v>2.5700000000000001E-2</v>
      </c>
      <c r="AJ161">
        <v>3.7600000000000001E-2</v>
      </c>
      <c r="AK161">
        <v>93.1</v>
      </c>
      <c r="AL161">
        <v>29.5</v>
      </c>
      <c r="AM161">
        <v>80.900000000000006</v>
      </c>
      <c r="AN161">
        <v>28.8</v>
      </c>
      <c r="AO161">
        <v>87.8</v>
      </c>
      <c r="AP161">
        <v>85.9</v>
      </c>
      <c r="AQ161" s="54"/>
    </row>
    <row r="162" spans="1:43" x14ac:dyDescent="0.25">
      <c r="A162">
        <v>350</v>
      </c>
      <c r="B162">
        <v>4014</v>
      </c>
      <c r="C162">
        <v>4035</v>
      </c>
      <c r="D162">
        <v>4047</v>
      </c>
      <c r="E162">
        <v>4032</v>
      </c>
      <c r="F162">
        <v>1.34E-2</v>
      </c>
      <c r="G162">
        <v>2.5600000000000001E-2</v>
      </c>
      <c r="H162">
        <v>3.7400000000000003E-2</v>
      </c>
      <c r="I162">
        <v>94.3</v>
      </c>
      <c r="J162">
        <v>28.7</v>
      </c>
      <c r="K162">
        <v>83.2</v>
      </c>
      <c r="L162">
        <v>89.6</v>
      </c>
      <c r="M162">
        <v>87.9</v>
      </c>
      <c r="N162" s="54"/>
      <c r="AC162">
        <v>350</v>
      </c>
      <c r="AD162">
        <v>4193</v>
      </c>
      <c r="AE162">
        <v>4190</v>
      </c>
      <c r="AF162">
        <v>4260</v>
      </c>
      <c r="AG162">
        <v>4214</v>
      </c>
      <c r="AH162">
        <v>1.34E-2</v>
      </c>
      <c r="AI162">
        <v>2.5700000000000001E-2</v>
      </c>
      <c r="AJ162">
        <v>3.7499999999999999E-2</v>
      </c>
      <c r="AK162">
        <v>94.5</v>
      </c>
      <c r="AL162">
        <v>29.3</v>
      </c>
      <c r="AM162">
        <v>82.6</v>
      </c>
      <c r="AN162">
        <v>28.7</v>
      </c>
      <c r="AO162">
        <v>89.3</v>
      </c>
      <c r="AP162">
        <v>87.4</v>
      </c>
      <c r="AQ162" s="54"/>
    </row>
    <row r="163" spans="1:43" x14ac:dyDescent="0.25">
      <c r="A163">
        <v>355</v>
      </c>
      <c r="B163">
        <v>4028</v>
      </c>
      <c r="C163">
        <v>4049</v>
      </c>
      <c r="D163">
        <v>4059</v>
      </c>
      <c r="E163">
        <v>4045</v>
      </c>
      <c r="F163">
        <v>1.35E-2</v>
      </c>
      <c r="G163">
        <v>2.5700000000000001E-2</v>
      </c>
      <c r="H163">
        <v>3.7499999999999999E-2</v>
      </c>
      <c r="I163">
        <v>94.7</v>
      </c>
      <c r="J163">
        <v>28.8</v>
      </c>
      <c r="K163">
        <v>83.6</v>
      </c>
      <c r="L163">
        <v>90.1</v>
      </c>
      <c r="M163">
        <v>88.3</v>
      </c>
      <c r="N163" s="54"/>
      <c r="AC163">
        <v>355</v>
      </c>
      <c r="AD163">
        <v>4214</v>
      </c>
      <c r="AE163">
        <v>4199</v>
      </c>
      <c r="AF163">
        <v>4203</v>
      </c>
      <c r="AG163">
        <v>4205</v>
      </c>
      <c r="AH163">
        <v>1.35E-2</v>
      </c>
      <c r="AI163">
        <v>2.5899999999999999E-2</v>
      </c>
      <c r="AJ163">
        <v>3.7699999999999997E-2</v>
      </c>
      <c r="AK163">
        <v>95.7</v>
      </c>
      <c r="AL163">
        <v>29.1</v>
      </c>
      <c r="AM163">
        <v>83.8</v>
      </c>
      <c r="AN163">
        <v>28.6</v>
      </c>
      <c r="AO163">
        <v>90.6</v>
      </c>
      <c r="AP163">
        <v>88.7</v>
      </c>
      <c r="AQ163" s="54"/>
    </row>
    <row r="164" spans="1:43" x14ac:dyDescent="0.25">
      <c r="A164">
        <v>360</v>
      </c>
      <c r="B164">
        <v>4028</v>
      </c>
      <c r="C164">
        <v>4041</v>
      </c>
      <c r="D164">
        <v>4056</v>
      </c>
      <c r="E164">
        <v>4042</v>
      </c>
      <c r="F164">
        <v>1.35E-2</v>
      </c>
      <c r="G164">
        <v>2.5700000000000001E-2</v>
      </c>
      <c r="H164">
        <v>3.7600000000000001E-2</v>
      </c>
      <c r="I164">
        <v>95.2</v>
      </c>
      <c r="J164">
        <v>28.8</v>
      </c>
      <c r="K164">
        <v>84.1</v>
      </c>
      <c r="L164">
        <v>90.6</v>
      </c>
      <c r="M164">
        <v>88.8</v>
      </c>
      <c r="N164" s="54"/>
      <c r="AC164">
        <v>360</v>
      </c>
      <c r="AD164">
        <v>4223</v>
      </c>
      <c r="AE164">
        <v>4235</v>
      </c>
      <c r="AF164">
        <v>4262</v>
      </c>
      <c r="AG164">
        <v>4240</v>
      </c>
      <c r="AH164">
        <v>1.35E-2</v>
      </c>
      <c r="AI164">
        <v>2.5700000000000001E-2</v>
      </c>
      <c r="AJ164">
        <v>3.7600000000000001E-2</v>
      </c>
      <c r="AK164">
        <v>97.1</v>
      </c>
      <c r="AL164">
        <v>29.1</v>
      </c>
      <c r="AM164">
        <v>84.9</v>
      </c>
      <c r="AN164">
        <v>28.6</v>
      </c>
      <c r="AO164">
        <v>91.9</v>
      </c>
      <c r="AP164">
        <v>90</v>
      </c>
      <c r="AQ164" s="54"/>
    </row>
    <row r="165" spans="1:43" x14ac:dyDescent="0.25">
      <c r="A165">
        <v>365</v>
      </c>
      <c r="B165">
        <v>4011</v>
      </c>
      <c r="C165">
        <v>4023</v>
      </c>
      <c r="D165">
        <v>4038</v>
      </c>
      <c r="E165">
        <v>4024</v>
      </c>
      <c r="F165">
        <v>1.35E-2</v>
      </c>
      <c r="G165">
        <v>2.58E-2</v>
      </c>
      <c r="H165">
        <v>3.7699999999999997E-2</v>
      </c>
      <c r="I165">
        <v>95.5</v>
      </c>
      <c r="J165">
        <v>29</v>
      </c>
      <c r="K165">
        <v>84.5</v>
      </c>
      <c r="L165">
        <v>90.9</v>
      </c>
      <c r="M165">
        <v>89.2</v>
      </c>
      <c r="N165" s="54"/>
      <c r="AC165">
        <v>365</v>
      </c>
      <c r="AD165">
        <v>4229</v>
      </c>
      <c r="AE165">
        <v>4222</v>
      </c>
      <c r="AF165">
        <v>4260</v>
      </c>
      <c r="AG165">
        <v>4236</v>
      </c>
      <c r="AH165">
        <v>1.35E-2</v>
      </c>
      <c r="AI165">
        <v>2.5700000000000001E-2</v>
      </c>
      <c r="AJ165">
        <v>3.7600000000000001E-2</v>
      </c>
      <c r="AK165">
        <v>98.2</v>
      </c>
      <c r="AL165">
        <v>29.3</v>
      </c>
      <c r="AM165">
        <v>85.9</v>
      </c>
      <c r="AN165">
        <v>28.7</v>
      </c>
      <c r="AO165">
        <v>92.9</v>
      </c>
      <c r="AP165">
        <v>91.1</v>
      </c>
      <c r="AQ165" s="54"/>
    </row>
    <row r="166" spans="1:43" x14ac:dyDescent="0.25">
      <c r="A166">
        <v>370</v>
      </c>
      <c r="B166">
        <v>3971</v>
      </c>
      <c r="C166">
        <v>3987</v>
      </c>
      <c r="D166">
        <v>4016</v>
      </c>
      <c r="E166">
        <v>3992</v>
      </c>
      <c r="F166">
        <v>1.3599999999999999E-2</v>
      </c>
      <c r="G166">
        <v>2.5899999999999999E-2</v>
      </c>
      <c r="H166">
        <v>3.7600000000000001E-2</v>
      </c>
      <c r="I166">
        <v>95.6</v>
      </c>
      <c r="J166">
        <v>29.1</v>
      </c>
      <c r="K166">
        <v>84.8</v>
      </c>
      <c r="L166">
        <v>91.2</v>
      </c>
      <c r="M166">
        <v>89.4</v>
      </c>
      <c r="N166" s="54"/>
      <c r="AC166">
        <v>370</v>
      </c>
      <c r="AD166">
        <v>4225</v>
      </c>
      <c r="AE166">
        <v>4214</v>
      </c>
      <c r="AF166">
        <v>4211</v>
      </c>
      <c r="AG166">
        <v>4217</v>
      </c>
      <c r="AH166">
        <v>1.3599999999999999E-2</v>
      </c>
      <c r="AI166">
        <v>2.5899999999999999E-2</v>
      </c>
      <c r="AJ166">
        <v>3.78E-2</v>
      </c>
      <c r="AK166">
        <v>99.1</v>
      </c>
      <c r="AL166">
        <v>29.4</v>
      </c>
      <c r="AM166">
        <v>87</v>
      </c>
      <c r="AN166">
        <v>28.7</v>
      </c>
      <c r="AO166">
        <v>93.9</v>
      </c>
      <c r="AP166">
        <v>92.1</v>
      </c>
      <c r="AQ166" s="54"/>
    </row>
    <row r="167" spans="1:43" x14ac:dyDescent="0.25">
      <c r="A167">
        <v>375</v>
      </c>
      <c r="B167">
        <v>3977</v>
      </c>
      <c r="C167">
        <v>3997</v>
      </c>
      <c r="D167">
        <v>4007</v>
      </c>
      <c r="E167">
        <v>3993</v>
      </c>
      <c r="F167">
        <v>1.35E-2</v>
      </c>
      <c r="G167">
        <v>2.5700000000000001E-2</v>
      </c>
      <c r="H167">
        <v>3.7499999999999999E-2</v>
      </c>
      <c r="I167">
        <v>95.4</v>
      </c>
      <c r="J167">
        <v>28.7</v>
      </c>
      <c r="K167">
        <v>84.5</v>
      </c>
      <c r="L167">
        <v>91</v>
      </c>
      <c r="M167">
        <v>89.3</v>
      </c>
      <c r="N167" s="54"/>
      <c r="AC167">
        <v>375</v>
      </c>
      <c r="AD167">
        <v>4223</v>
      </c>
      <c r="AE167">
        <v>4229</v>
      </c>
      <c r="AF167">
        <v>4237</v>
      </c>
      <c r="AG167">
        <v>4230</v>
      </c>
      <c r="AH167">
        <v>1.35E-2</v>
      </c>
      <c r="AI167">
        <v>2.5700000000000001E-2</v>
      </c>
      <c r="AJ167">
        <v>3.7499999999999999E-2</v>
      </c>
      <c r="AK167">
        <v>100</v>
      </c>
      <c r="AL167">
        <v>29.5</v>
      </c>
      <c r="AM167">
        <v>87.8</v>
      </c>
      <c r="AN167">
        <v>28.8</v>
      </c>
      <c r="AO167">
        <v>94.8</v>
      </c>
      <c r="AP167">
        <v>93</v>
      </c>
      <c r="AQ167" s="54"/>
    </row>
    <row r="168" spans="1:43" x14ac:dyDescent="0.25">
      <c r="A168">
        <v>380</v>
      </c>
      <c r="B168">
        <v>3986</v>
      </c>
      <c r="C168">
        <v>4005</v>
      </c>
      <c r="D168">
        <v>4022</v>
      </c>
      <c r="E168">
        <v>4004</v>
      </c>
      <c r="F168">
        <v>1.35E-2</v>
      </c>
      <c r="G168">
        <v>2.5700000000000001E-2</v>
      </c>
      <c r="H168">
        <v>3.7499999999999999E-2</v>
      </c>
      <c r="I168">
        <v>95.6</v>
      </c>
      <c r="J168">
        <v>29</v>
      </c>
      <c r="K168">
        <v>84.8</v>
      </c>
      <c r="L168">
        <v>91.1</v>
      </c>
      <c r="M168">
        <v>89.5</v>
      </c>
      <c r="N168" s="54"/>
      <c r="AC168">
        <v>380</v>
      </c>
      <c r="AD168">
        <v>4224</v>
      </c>
      <c r="AE168">
        <v>4223</v>
      </c>
      <c r="AF168">
        <v>4232</v>
      </c>
      <c r="AG168">
        <v>4226</v>
      </c>
      <c r="AH168">
        <v>1.3599999999999999E-2</v>
      </c>
      <c r="AI168">
        <v>2.58E-2</v>
      </c>
      <c r="AJ168">
        <v>3.7699999999999997E-2</v>
      </c>
      <c r="AK168">
        <v>100.5</v>
      </c>
      <c r="AL168">
        <v>29.4</v>
      </c>
      <c r="AM168">
        <v>88</v>
      </c>
      <c r="AN168">
        <v>28.7</v>
      </c>
      <c r="AO168">
        <v>95.3</v>
      </c>
      <c r="AP168">
        <v>93.4</v>
      </c>
      <c r="AQ168" s="54"/>
    </row>
    <row r="169" spans="1:43" x14ac:dyDescent="0.25">
      <c r="A169">
        <v>385</v>
      </c>
      <c r="B169">
        <v>3996</v>
      </c>
      <c r="C169">
        <v>4010</v>
      </c>
      <c r="D169">
        <v>4024</v>
      </c>
      <c r="E169">
        <v>4010</v>
      </c>
      <c r="F169">
        <v>1.35E-2</v>
      </c>
      <c r="G169">
        <v>2.5700000000000001E-2</v>
      </c>
      <c r="H169">
        <v>3.7600000000000001E-2</v>
      </c>
      <c r="I169">
        <v>95.9</v>
      </c>
      <c r="J169">
        <v>29.1</v>
      </c>
      <c r="K169">
        <v>85</v>
      </c>
      <c r="L169">
        <v>91.4</v>
      </c>
      <c r="M169">
        <v>89.7</v>
      </c>
      <c r="N169" s="54"/>
      <c r="AC169">
        <v>385</v>
      </c>
      <c r="AD169">
        <v>4219</v>
      </c>
      <c r="AE169">
        <v>4205</v>
      </c>
      <c r="AF169">
        <v>4229</v>
      </c>
      <c r="AG169">
        <v>4218</v>
      </c>
      <c r="AH169">
        <v>1.37E-2</v>
      </c>
      <c r="AI169">
        <v>2.58E-2</v>
      </c>
      <c r="AJ169">
        <v>3.7699999999999997E-2</v>
      </c>
      <c r="AK169">
        <v>101</v>
      </c>
      <c r="AL169">
        <v>29.4</v>
      </c>
      <c r="AM169">
        <v>88.7</v>
      </c>
      <c r="AN169">
        <v>28.7</v>
      </c>
      <c r="AO169">
        <v>95.8</v>
      </c>
      <c r="AP169">
        <v>93.9</v>
      </c>
      <c r="AQ169" s="54"/>
    </row>
    <row r="170" spans="1:43" x14ac:dyDescent="0.25">
      <c r="A170">
        <v>390</v>
      </c>
      <c r="B170">
        <v>4007</v>
      </c>
      <c r="C170">
        <v>4026</v>
      </c>
      <c r="D170">
        <v>4047</v>
      </c>
      <c r="E170">
        <v>4027</v>
      </c>
      <c r="F170">
        <v>1.35E-2</v>
      </c>
      <c r="G170">
        <v>2.5700000000000001E-2</v>
      </c>
      <c r="H170">
        <v>3.7600000000000001E-2</v>
      </c>
      <c r="I170">
        <v>96.1</v>
      </c>
      <c r="J170">
        <v>29.2</v>
      </c>
      <c r="K170">
        <v>85.1</v>
      </c>
      <c r="L170">
        <v>91.6</v>
      </c>
      <c r="M170">
        <v>89.8</v>
      </c>
      <c r="N170" s="54"/>
      <c r="AC170">
        <v>390</v>
      </c>
      <c r="AD170">
        <v>4212</v>
      </c>
      <c r="AE170">
        <v>4219</v>
      </c>
      <c r="AF170">
        <v>4230</v>
      </c>
      <c r="AG170">
        <v>4220</v>
      </c>
      <c r="AH170">
        <v>1.37E-2</v>
      </c>
      <c r="AI170">
        <v>2.58E-2</v>
      </c>
      <c r="AJ170">
        <v>3.7999999999999999E-2</v>
      </c>
      <c r="AK170">
        <v>101.2</v>
      </c>
      <c r="AL170">
        <v>29.4</v>
      </c>
      <c r="AM170">
        <v>88.8</v>
      </c>
      <c r="AN170">
        <v>28.7</v>
      </c>
      <c r="AO170">
        <v>96</v>
      </c>
      <c r="AP170">
        <v>94.2</v>
      </c>
      <c r="AQ170" s="54"/>
    </row>
    <row r="171" spans="1:43" x14ac:dyDescent="0.25">
      <c r="A171">
        <v>395</v>
      </c>
      <c r="B171">
        <v>4024</v>
      </c>
      <c r="C171">
        <v>4049</v>
      </c>
      <c r="D171">
        <v>4053</v>
      </c>
      <c r="E171">
        <v>4043</v>
      </c>
      <c r="F171">
        <v>1.35E-2</v>
      </c>
      <c r="G171">
        <v>2.5600000000000001E-2</v>
      </c>
      <c r="H171">
        <v>3.7499999999999999E-2</v>
      </c>
      <c r="I171">
        <v>96.3</v>
      </c>
      <c r="J171">
        <v>29.2</v>
      </c>
      <c r="K171">
        <v>85.2</v>
      </c>
      <c r="L171">
        <v>91.8</v>
      </c>
      <c r="M171">
        <v>90</v>
      </c>
      <c r="N171" s="54"/>
      <c r="AC171">
        <v>395</v>
      </c>
      <c r="AD171">
        <v>4189</v>
      </c>
      <c r="AE171">
        <v>4201</v>
      </c>
      <c r="AF171">
        <v>4222</v>
      </c>
      <c r="AG171">
        <v>4204</v>
      </c>
      <c r="AH171">
        <v>1.3599999999999999E-2</v>
      </c>
      <c r="AI171">
        <v>2.5700000000000001E-2</v>
      </c>
      <c r="AJ171">
        <v>3.7600000000000001E-2</v>
      </c>
      <c r="AK171">
        <v>101.4</v>
      </c>
      <c r="AL171">
        <v>29.4</v>
      </c>
      <c r="AM171">
        <v>89</v>
      </c>
      <c r="AN171">
        <v>28.7</v>
      </c>
      <c r="AO171">
        <v>96.3</v>
      </c>
      <c r="AP171">
        <v>94.4</v>
      </c>
      <c r="AQ171" s="54"/>
    </row>
    <row r="172" spans="1:43" x14ac:dyDescent="0.25">
      <c r="A172">
        <v>400</v>
      </c>
      <c r="B172">
        <v>4002</v>
      </c>
      <c r="C172">
        <v>4020</v>
      </c>
      <c r="D172">
        <v>4040</v>
      </c>
      <c r="E172">
        <v>4020</v>
      </c>
      <c r="F172">
        <v>1.35E-2</v>
      </c>
      <c r="G172">
        <v>2.5700000000000001E-2</v>
      </c>
      <c r="H172">
        <v>3.7600000000000001E-2</v>
      </c>
      <c r="I172">
        <v>96.5</v>
      </c>
      <c r="J172">
        <v>29.2</v>
      </c>
      <c r="K172">
        <v>85.3</v>
      </c>
      <c r="L172">
        <v>91.9</v>
      </c>
      <c r="M172">
        <v>90.1</v>
      </c>
      <c r="N172" s="54"/>
      <c r="AC172">
        <v>400</v>
      </c>
      <c r="AD172">
        <v>4187</v>
      </c>
      <c r="AE172">
        <v>4201</v>
      </c>
      <c r="AF172">
        <v>4234</v>
      </c>
      <c r="AG172">
        <v>4207</v>
      </c>
      <c r="AH172">
        <v>1.37E-2</v>
      </c>
      <c r="AI172">
        <v>2.5600000000000001E-2</v>
      </c>
      <c r="AJ172">
        <v>3.7600000000000001E-2</v>
      </c>
      <c r="AK172">
        <v>101.7</v>
      </c>
      <c r="AL172">
        <v>29.4</v>
      </c>
      <c r="AM172">
        <v>89.5</v>
      </c>
      <c r="AN172">
        <v>28.7</v>
      </c>
      <c r="AO172">
        <v>96.6</v>
      </c>
      <c r="AP172">
        <v>94.8</v>
      </c>
      <c r="AQ172" s="54"/>
    </row>
    <row r="173" spans="1:43" x14ac:dyDescent="0.25">
      <c r="A173">
        <v>405</v>
      </c>
      <c r="B173">
        <v>3998</v>
      </c>
      <c r="C173">
        <v>4013</v>
      </c>
      <c r="D173">
        <v>4035</v>
      </c>
      <c r="E173">
        <v>4016</v>
      </c>
      <c r="F173">
        <v>1.35E-2</v>
      </c>
      <c r="G173">
        <v>2.5700000000000001E-2</v>
      </c>
      <c r="H173">
        <v>3.7600000000000001E-2</v>
      </c>
      <c r="I173">
        <v>96.5</v>
      </c>
      <c r="J173">
        <v>29.3</v>
      </c>
      <c r="K173">
        <v>85.4</v>
      </c>
      <c r="L173">
        <v>91.9</v>
      </c>
      <c r="M173">
        <v>90.1</v>
      </c>
      <c r="N173" s="54"/>
      <c r="AC173">
        <v>405</v>
      </c>
      <c r="AD173">
        <v>4201</v>
      </c>
      <c r="AE173">
        <v>4214</v>
      </c>
      <c r="AF173">
        <v>4242</v>
      </c>
      <c r="AG173">
        <v>4219</v>
      </c>
      <c r="AH173">
        <v>1.37E-2</v>
      </c>
      <c r="AI173">
        <v>2.5700000000000001E-2</v>
      </c>
      <c r="AJ173">
        <v>3.7699999999999997E-2</v>
      </c>
      <c r="AK173">
        <v>102.1</v>
      </c>
      <c r="AL173">
        <v>29.5</v>
      </c>
      <c r="AM173">
        <v>89.8</v>
      </c>
      <c r="AN173">
        <v>28.7</v>
      </c>
      <c r="AO173">
        <v>97</v>
      </c>
      <c r="AP173">
        <v>95.1</v>
      </c>
      <c r="AQ173" s="54"/>
    </row>
    <row r="174" spans="1:43" x14ac:dyDescent="0.25">
      <c r="A174">
        <v>410</v>
      </c>
      <c r="B174">
        <v>3982</v>
      </c>
      <c r="C174">
        <v>4004</v>
      </c>
      <c r="D174">
        <v>4020</v>
      </c>
      <c r="E174">
        <v>4002</v>
      </c>
      <c r="F174">
        <v>1.35E-2</v>
      </c>
      <c r="G174">
        <v>2.5700000000000001E-2</v>
      </c>
      <c r="H174">
        <v>3.7499999999999999E-2</v>
      </c>
      <c r="I174">
        <v>96.5</v>
      </c>
      <c r="J174">
        <v>29.3</v>
      </c>
      <c r="K174">
        <v>85.5</v>
      </c>
      <c r="L174">
        <v>92</v>
      </c>
      <c r="M174">
        <v>90.3</v>
      </c>
      <c r="N174" s="54"/>
      <c r="AC174">
        <v>410</v>
      </c>
      <c r="AD174">
        <v>4247</v>
      </c>
      <c r="AE174">
        <v>4229</v>
      </c>
      <c r="AF174">
        <v>4220</v>
      </c>
      <c r="AG174">
        <v>4232</v>
      </c>
      <c r="AH174">
        <v>1.38E-2</v>
      </c>
      <c r="AI174">
        <v>2.5999999999999999E-2</v>
      </c>
      <c r="AJ174">
        <v>3.7900000000000003E-2</v>
      </c>
      <c r="AK174">
        <v>102.2</v>
      </c>
      <c r="AL174">
        <v>29.6</v>
      </c>
      <c r="AM174">
        <v>90.1</v>
      </c>
      <c r="AN174">
        <v>28.7</v>
      </c>
      <c r="AO174">
        <v>97.1</v>
      </c>
      <c r="AP174">
        <v>95.3</v>
      </c>
      <c r="AQ174" s="54"/>
    </row>
    <row r="175" spans="1:43" x14ac:dyDescent="0.25">
      <c r="A175">
        <v>415</v>
      </c>
      <c r="B175">
        <v>4030</v>
      </c>
      <c r="C175">
        <v>4029</v>
      </c>
      <c r="D175">
        <v>4058</v>
      </c>
      <c r="E175">
        <v>4039</v>
      </c>
      <c r="F175">
        <v>1.3599999999999999E-2</v>
      </c>
      <c r="G175">
        <v>2.58E-2</v>
      </c>
      <c r="H175">
        <v>3.7699999999999997E-2</v>
      </c>
      <c r="I175">
        <v>96.8</v>
      </c>
      <c r="J175">
        <v>29.2</v>
      </c>
      <c r="K175">
        <v>85.6</v>
      </c>
      <c r="L175">
        <v>92.2</v>
      </c>
      <c r="M175">
        <v>90.4</v>
      </c>
      <c r="N175" s="54"/>
      <c r="AC175">
        <v>415</v>
      </c>
      <c r="AD175">
        <v>4269</v>
      </c>
      <c r="AE175">
        <v>4236</v>
      </c>
      <c r="AF175">
        <v>4239</v>
      </c>
      <c r="AG175">
        <v>4248</v>
      </c>
      <c r="AH175">
        <v>1.38E-2</v>
      </c>
      <c r="AI175">
        <v>2.5899999999999999E-2</v>
      </c>
      <c r="AJ175">
        <v>3.7999999999999999E-2</v>
      </c>
      <c r="AK175">
        <v>102.8</v>
      </c>
      <c r="AL175">
        <v>29.4</v>
      </c>
      <c r="AM175">
        <v>90.5</v>
      </c>
      <c r="AN175">
        <v>28.7</v>
      </c>
      <c r="AO175">
        <v>97.7</v>
      </c>
      <c r="AP175">
        <v>95.8</v>
      </c>
      <c r="AQ175" s="54"/>
    </row>
    <row r="176" spans="1:43" x14ac:dyDescent="0.25">
      <c r="A176" s="12">
        <v>420</v>
      </c>
      <c r="B176" s="12">
        <v>4024</v>
      </c>
      <c r="C176" s="12">
        <v>4031</v>
      </c>
      <c r="D176" s="12">
        <v>4054</v>
      </c>
      <c r="E176" s="12">
        <v>4036</v>
      </c>
      <c r="F176" s="12">
        <v>1.3599999999999999E-2</v>
      </c>
      <c r="G176" s="12">
        <v>2.58E-2</v>
      </c>
      <c r="H176" s="12">
        <v>3.7600000000000001E-2</v>
      </c>
      <c r="I176" s="12">
        <v>96.9</v>
      </c>
      <c r="J176" s="12">
        <v>29.3</v>
      </c>
      <c r="K176" s="12">
        <v>85.8</v>
      </c>
      <c r="L176" s="12">
        <v>92.3</v>
      </c>
      <c r="M176" s="12">
        <v>90.6</v>
      </c>
      <c r="N176" s="54">
        <f>I176-J176</f>
        <v>67.600000000000009</v>
      </c>
      <c r="AC176">
        <v>420</v>
      </c>
      <c r="AD176">
        <v>4224</v>
      </c>
      <c r="AE176">
        <v>4195</v>
      </c>
      <c r="AF176">
        <v>4197</v>
      </c>
      <c r="AG176">
        <v>4205</v>
      </c>
      <c r="AH176">
        <v>1.38E-2</v>
      </c>
      <c r="AI176">
        <v>2.5999999999999999E-2</v>
      </c>
      <c r="AJ176">
        <v>3.7900000000000003E-2</v>
      </c>
      <c r="AK176">
        <v>103</v>
      </c>
      <c r="AL176">
        <v>29.4</v>
      </c>
      <c r="AM176">
        <v>90.8</v>
      </c>
      <c r="AN176">
        <v>28.7</v>
      </c>
      <c r="AO176">
        <v>97.9</v>
      </c>
      <c r="AP176">
        <v>96.1</v>
      </c>
      <c r="AQ176" s="54"/>
    </row>
    <row r="177" spans="29:43" x14ac:dyDescent="0.25">
      <c r="AC177">
        <v>425</v>
      </c>
      <c r="AD177">
        <v>4273</v>
      </c>
      <c r="AE177">
        <v>4247</v>
      </c>
      <c r="AF177">
        <v>4264</v>
      </c>
      <c r="AG177">
        <v>4261</v>
      </c>
      <c r="AH177">
        <v>1.38E-2</v>
      </c>
      <c r="AI177">
        <v>2.5899999999999999E-2</v>
      </c>
      <c r="AJ177">
        <v>3.7900000000000003E-2</v>
      </c>
      <c r="AK177">
        <v>103.3</v>
      </c>
      <c r="AL177">
        <v>29.5</v>
      </c>
      <c r="AM177">
        <v>91</v>
      </c>
      <c r="AN177">
        <v>28.7</v>
      </c>
      <c r="AO177">
        <v>98.1</v>
      </c>
      <c r="AP177">
        <v>96.3</v>
      </c>
      <c r="AQ177" s="54"/>
    </row>
    <row r="178" spans="29:43" x14ac:dyDescent="0.25">
      <c r="AC178">
        <v>430</v>
      </c>
      <c r="AD178">
        <v>4201</v>
      </c>
      <c r="AE178">
        <v>4189</v>
      </c>
      <c r="AF178">
        <v>4211</v>
      </c>
      <c r="AG178">
        <v>4200</v>
      </c>
      <c r="AH178">
        <v>1.38E-2</v>
      </c>
      <c r="AI178">
        <v>2.58E-2</v>
      </c>
      <c r="AJ178">
        <v>3.78E-2</v>
      </c>
      <c r="AK178">
        <v>103.6</v>
      </c>
      <c r="AL178">
        <v>29.5</v>
      </c>
      <c r="AM178">
        <v>91.3</v>
      </c>
      <c r="AN178">
        <v>28.8</v>
      </c>
      <c r="AO178">
        <v>98.5</v>
      </c>
      <c r="AP178">
        <v>96.6</v>
      </c>
      <c r="AQ178" s="54"/>
    </row>
    <row r="179" spans="29:43" x14ac:dyDescent="0.25">
      <c r="AC179">
        <v>435</v>
      </c>
      <c r="AD179">
        <v>4194</v>
      </c>
      <c r="AE179">
        <v>4188</v>
      </c>
      <c r="AF179">
        <v>4214</v>
      </c>
      <c r="AG179">
        <v>4201</v>
      </c>
      <c r="AH179">
        <v>1.38E-2</v>
      </c>
      <c r="AI179">
        <v>2.58E-2</v>
      </c>
      <c r="AJ179">
        <v>3.78E-2</v>
      </c>
      <c r="AK179">
        <v>103.4</v>
      </c>
      <c r="AL179">
        <v>29.4</v>
      </c>
      <c r="AM179">
        <v>91</v>
      </c>
      <c r="AN179">
        <v>28.7</v>
      </c>
      <c r="AO179">
        <v>98.4</v>
      </c>
      <c r="AP179">
        <v>96.5</v>
      </c>
      <c r="AQ179" s="54"/>
    </row>
    <row r="180" spans="29:43" x14ac:dyDescent="0.25">
      <c r="AC180">
        <v>440</v>
      </c>
      <c r="AD180">
        <v>4223</v>
      </c>
      <c r="AE180">
        <v>4222</v>
      </c>
      <c r="AF180">
        <v>4236</v>
      </c>
      <c r="AG180">
        <v>4227</v>
      </c>
      <c r="AH180">
        <v>1.38E-2</v>
      </c>
      <c r="AI180">
        <v>2.58E-2</v>
      </c>
      <c r="AJ180">
        <v>3.78E-2</v>
      </c>
      <c r="AK180">
        <v>103.3</v>
      </c>
      <c r="AL180">
        <v>29.7</v>
      </c>
      <c r="AM180">
        <v>91.1</v>
      </c>
      <c r="AN180">
        <v>28.7</v>
      </c>
      <c r="AO180">
        <v>98.3</v>
      </c>
      <c r="AP180">
        <v>96.5</v>
      </c>
      <c r="AQ180" s="54"/>
    </row>
    <row r="181" spans="29:43" x14ac:dyDescent="0.25">
      <c r="AC181">
        <v>445</v>
      </c>
      <c r="AD181">
        <v>4208</v>
      </c>
      <c r="AE181">
        <v>4191</v>
      </c>
      <c r="AF181">
        <v>4207</v>
      </c>
      <c r="AG181">
        <v>4202</v>
      </c>
      <c r="AH181">
        <v>1.38E-2</v>
      </c>
      <c r="AI181">
        <v>2.5899999999999999E-2</v>
      </c>
      <c r="AJ181">
        <v>3.7900000000000003E-2</v>
      </c>
      <c r="AK181">
        <v>103.4</v>
      </c>
      <c r="AL181">
        <v>29.6</v>
      </c>
      <c r="AM181">
        <v>91.3</v>
      </c>
      <c r="AN181">
        <v>28.7</v>
      </c>
      <c r="AO181">
        <v>98.5</v>
      </c>
      <c r="AP181">
        <v>96.5</v>
      </c>
      <c r="AQ181" s="54"/>
    </row>
    <row r="182" spans="29:43" x14ac:dyDescent="0.25">
      <c r="AC182">
        <v>450</v>
      </c>
      <c r="AD182">
        <v>4210</v>
      </c>
      <c r="AE182">
        <v>4191</v>
      </c>
      <c r="AF182">
        <v>4202</v>
      </c>
      <c r="AG182">
        <v>4201</v>
      </c>
      <c r="AH182">
        <v>1.38E-2</v>
      </c>
      <c r="AI182">
        <v>2.5899999999999999E-2</v>
      </c>
      <c r="AJ182">
        <v>3.7900000000000003E-2</v>
      </c>
      <c r="AK182">
        <v>103.4</v>
      </c>
      <c r="AL182">
        <v>29.5</v>
      </c>
      <c r="AM182">
        <v>91.1</v>
      </c>
      <c r="AN182">
        <v>28.7</v>
      </c>
      <c r="AO182">
        <v>98.4</v>
      </c>
      <c r="AP182">
        <v>96.5</v>
      </c>
      <c r="AQ182" s="54"/>
    </row>
    <row r="183" spans="29:43" x14ac:dyDescent="0.25">
      <c r="AC183">
        <v>455</v>
      </c>
      <c r="AD183">
        <v>4204</v>
      </c>
      <c r="AE183">
        <v>4183</v>
      </c>
      <c r="AF183">
        <v>4195</v>
      </c>
      <c r="AG183">
        <v>4194</v>
      </c>
      <c r="AH183">
        <v>1.38E-2</v>
      </c>
      <c r="AI183">
        <v>2.5899999999999999E-2</v>
      </c>
      <c r="AJ183">
        <v>3.7900000000000003E-2</v>
      </c>
      <c r="AK183">
        <v>103.4</v>
      </c>
      <c r="AL183">
        <v>29.3</v>
      </c>
      <c r="AM183">
        <v>91.1</v>
      </c>
      <c r="AN183">
        <v>28.7</v>
      </c>
      <c r="AO183">
        <v>98.4</v>
      </c>
      <c r="AP183">
        <v>96.5</v>
      </c>
      <c r="AQ183" s="54"/>
    </row>
    <row r="184" spans="29:43" x14ac:dyDescent="0.25">
      <c r="AC184">
        <v>460</v>
      </c>
      <c r="AD184">
        <v>4209</v>
      </c>
      <c r="AE184">
        <v>4206</v>
      </c>
      <c r="AF184">
        <v>4230</v>
      </c>
      <c r="AG184">
        <v>4215</v>
      </c>
      <c r="AH184">
        <v>1.38E-2</v>
      </c>
      <c r="AI184">
        <v>2.5700000000000001E-2</v>
      </c>
      <c r="AJ184">
        <v>3.78E-2</v>
      </c>
      <c r="AK184">
        <v>103.3</v>
      </c>
      <c r="AL184">
        <v>29.5</v>
      </c>
      <c r="AM184">
        <v>91.3</v>
      </c>
      <c r="AN184">
        <v>28.7</v>
      </c>
      <c r="AO184">
        <v>98.3</v>
      </c>
      <c r="AP184">
        <v>96.5</v>
      </c>
      <c r="AQ184" s="54"/>
    </row>
    <row r="185" spans="29:43" x14ac:dyDescent="0.25">
      <c r="AC185">
        <v>465</v>
      </c>
      <c r="AD185">
        <v>4206</v>
      </c>
      <c r="AE185">
        <v>4204</v>
      </c>
      <c r="AF185">
        <v>4227</v>
      </c>
      <c r="AG185">
        <v>4212</v>
      </c>
      <c r="AH185">
        <v>1.37E-2</v>
      </c>
      <c r="AI185">
        <v>2.5700000000000001E-2</v>
      </c>
      <c r="AJ185">
        <v>3.78E-2</v>
      </c>
      <c r="AK185">
        <v>103.5</v>
      </c>
      <c r="AL185">
        <v>29.6</v>
      </c>
      <c r="AM185">
        <v>91.3</v>
      </c>
      <c r="AN185">
        <v>28.7</v>
      </c>
      <c r="AO185">
        <v>98.5</v>
      </c>
      <c r="AP185">
        <v>96.7</v>
      </c>
      <c r="AQ185" s="54"/>
    </row>
    <row r="186" spans="29:43" x14ac:dyDescent="0.25">
      <c r="AC186">
        <v>470</v>
      </c>
      <c r="AD186">
        <v>4218</v>
      </c>
      <c r="AE186">
        <v>4220</v>
      </c>
      <c r="AF186">
        <v>4245</v>
      </c>
      <c r="AG186">
        <v>4228</v>
      </c>
      <c r="AH186">
        <v>1.38E-2</v>
      </c>
      <c r="AI186">
        <v>2.58E-2</v>
      </c>
      <c r="AJ186">
        <v>3.78E-2</v>
      </c>
      <c r="AK186">
        <v>103.6</v>
      </c>
      <c r="AL186">
        <v>29.7</v>
      </c>
      <c r="AM186">
        <v>91.4</v>
      </c>
      <c r="AN186">
        <v>28.7</v>
      </c>
      <c r="AO186">
        <v>98.6</v>
      </c>
      <c r="AP186">
        <v>96.8</v>
      </c>
      <c r="AQ186" s="54"/>
    </row>
    <row r="187" spans="29:43" x14ac:dyDescent="0.25">
      <c r="AC187" s="12">
        <v>475</v>
      </c>
      <c r="AD187" s="12">
        <v>4209</v>
      </c>
      <c r="AE187" s="12">
        <v>4183</v>
      </c>
      <c r="AF187" s="12">
        <v>4211</v>
      </c>
      <c r="AG187" s="12">
        <v>4204</v>
      </c>
      <c r="AH187" s="12">
        <v>1.38E-2</v>
      </c>
      <c r="AI187" s="12">
        <v>2.58E-2</v>
      </c>
      <c r="AJ187" s="12">
        <v>3.7900000000000003E-2</v>
      </c>
      <c r="AK187" s="12">
        <v>103.6</v>
      </c>
      <c r="AL187" s="12">
        <v>29.6</v>
      </c>
      <c r="AM187" s="12">
        <v>91.4</v>
      </c>
      <c r="AN187" s="12">
        <v>28.7</v>
      </c>
      <c r="AO187" s="12">
        <v>98.5</v>
      </c>
      <c r="AP187" s="12">
        <v>96.7</v>
      </c>
      <c r="AQ187" s="54">
        <f>AK187-AL187</f>
        <v>74</v>
      </c>
    </row>
  </sheetData>
  <mergeCells count="3">
    <mergeCell ref="T3:Y3"/>
    <mergeCell ref="A1:AL1"/>
    <mergeCell ref="A91:AQ9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2"/>
  <sheetViews>
    <sheetView workbookViewId="0">
      <selection sqref="A1:P1"/>
    </sheetView>
  </sheetViews>
  <sheetFormatPr defaultRowHeight="15" x14ac:dyDescent="0.25"/>
  <cols>
    <col min="17" max="17" width="9.140625" customWidth="1"/>
  </cols>
  <sheetData>
    <row r="1" spans="1:47" x14ac:dyDescent="0.25">
      <c r="A1" s="179" t="s">
        <v>62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AE1" s="179" t="s">
        <v>67</v>
      </c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</row>
    <row r="2" spans="1:47" ht="60" x14ac:dyDescent="0.25">
      <c r="A2" t="s">
        <v>27</v>
      </c>
      <c r="B2" s="30" t="s">
        <v>56</v>
      </c>
      <c r="C2" t="s">
        <v>57</v>
      </c>
      <c r="D2" s="30" t="s">
        <v>58</v>
      </c>
      <c r="E2" t="s">
        <v>28</v>
      </c>
      <c r="F2" t="s">
        <v>44</v>
      </c>
      <c r="G2" t="s">
        <v>45</v>
      </c>
      <c r="H2" t="s">
        <v>46</v>
      </c>
      <c r="I2" s="30" t="s">
        <v>59</v>
      </c>
      <c r="J2" s="30" t="s">
        <v>60</v>
      </c>
      <c r="K2" t="s">
        <v>48</v>
      </c>
      <c r="L2" t="s">
        <v>32</v>
      </c>
      <c r="M2" s="30" t="s">
        <v>61</v>
      </c>
      <c r="N2" s="46" t="s">
        <v>63</v>
      </c>
      <c r="O2" s="49" t="s">
        <v>64</v>
      </c>
      <c r="AE2" s="44" t="s">
        <v>27</v>
      </c>
      <c r="AF2" t="s">
        <v>65</v>
      </c>
      <c r="AG2" t="s">
        <v>57</v>
      </c>
      <c r="AH2" t="s">
        <v>66</v>
      </c>
      <c r="AI2" t="s">
        <v>28</v>
      </c>
      <c r="AJ2" t="s">
        <v>44</v>
      </c>
      <c r="AK2" t="s">
        <v>45</v>
      </c>
      <c r="AL2" t="s">
        <v>46</v>
      </c>
      <c r="AM2" s="30" t="s">
        <v>59</v>
      </c>
      <c r="AN2" s="30" t="s">
        <v>60</v>
      </c>
      <c r="AO2" t="s">
        <v>48</v>
      </c>
      <c r="AP2" t="s">
        <v>35</v>
      </c>
      <c r="AQ2" t="s">
        <v>32</v>
      </c>
      <c r="AR2" s="30" t="s">
        <v>61</v>
      </c>
      <c r="AS2" s="46" t="s">
        <v>63</v>
      </c>
      <c r="AT2" s="49" t="s">
        <v>64</v>
      </c>
    </row>
    <row r="3" spans="1:47" x14ac:dyDescent="0.25">
      <c r="A3" s="44">
        <v>5</v>
      </c>
      <c r="B3">
        <v>1</v>
      </c>
      <c r="C3">
        <v>1</v>
      </c>
      <c r="D3">
        <v>1</v>
      </c>
      <c r="E3">
        <v>1</v>
      </c>
      <c r="I3">
        <v>27.1</v>
      </c>
      <c r="J3">
        <v>26</v>
      </c>
      <c r="K3">
        <v>0</v>
      </c>
      <c r="L3">
        <v>0</v>
      </c>
      <c r="M3">
        <v>28.1</v>
      </c>
      <c r="N3" s="47"/>
      <c r="O3" s="48"/>
      <c r="Q3" s="185" t="s">
        <v>76</v>
      </c>
      <c r="R3" s="185"/>
      <c r="S3" s="185"/>
      <c r="T3" s="185"/>
      <c r="U3" s="185"/>
      <c r="AE3" s="44">
        <v>5</v>
      </c>
      <c r="AM3">
        <v>21.7</v>
      </c>
      <c r="AN3">
        <v>23.2</v>
      </c>
      <c r="AO3">
        <v>22.1</v>
      </c>
      <c r="AP3">
        <v>0</v>
      </c>
      <c r="AQ3">
        <v>22.5</v>
      </c>
      <c r="AR3">
        <v>22.2</v>
      </c>
      <c r="AS3" s="47"/>
      <c r="AT3" s="48"/>
    </row>
    <row r="4" spans="1:47" x14ac:dyDescent="0.25">
      <c r="A4" s="44">
        <v>10</v>
      </c>
      <c r="B4">
        <v>2041</v>
      </c>
      <c r="C4">
        <v>2033</v>
      </c>
      <c r="D4">
        <v>2029</v>
      </c>
      <c r="E4">
        <v>2035</v>
      </c>
      <c r="F4">
        <v>2.3400000000000001E-2</v>
      </c>
      <c r="G4">
        <v>5.9400000000000001E-2</v>
      </c>
      <c r="H4">
        <v>7.0000000000000007E-2</v>
      </c>
      <c r="I4">
        <v>30.9</v>
      </c>
      <c r="J4">
        <v>26</v>
      </c>
      <c r="K4">
        <v>0</v>
      </c>
      <c r="L4">
        <v>30.7</v>
      </c>
      <c r="M4">
        <v>32.4</v>
      </c>
      <c r="N4" s="47"/>
      <c r="O4" s="48"/>
      <c r="Q4">
        <v>28</v>
      </c>
      <c r="R4">
        <v>29.8</v>
      </c>
      <c r="S4">
        <v>43.1</v>
      </c>
      <c r="T4">
        <v>62.7</v>
      </c>
      <c r="U4">
        <v>76.5</v>
      </c>
      <c r="AE4" s="44">
        <v>10</v>
      </c>
      <c r="AM4">
        <v>23</v>
      </c>
      <c r="AN4">
        <v>27.1</v>
      </c>
      <c r="AO4">
        <v>23.5</v>
      </c>
      <c r="AP4">
        <v>0</v>
      </c>
      <c r="AQ4">
        <v>24.1</v>
      </c>
      <c r="AR4">
        <v>24.1</v>
      </c>
      <c r="AS4" s="47"/>
      <c r="AT4" s="48"/>
    </row>
    <row r="5" spans="1:47" x14ac:dyDescent="0.25">
      <c r="A5" s="44">
        <v>15</v>
      </c>
      <c r="B5">
        <v>2041</v>
      </c>
      <c r="C5">
        <v>2036</v>
      </c>
      <c r="D5">
        <v>2035</v>
      </c>
      <c r="E5">
        <v>2037</v>
      </c>
      <c r="F5">
        <v>2.3900000000000001E-2</v>
      </c>
      <c r="G5">
        <v>5.96E-2</v>
      </c>
      <c r="H5">
        <v>7.0300000000000001E-2</v>
      </c>
      <c r="I5">
        <v>37.9</v>
      </c>
      <c r="J5">
        <v>25.8</v>
      </c>
      <c r="K5">
        <v>0</v>
      </c>
      <c r="L5">
        <v>35.200000000000003</v>
      </c>
      <c r="M5">
        <v>38</v>
      </c>
      <c r="N5" s="47"/>
      <c r="O5" s="48"/>
      <c r="Q5">
        <v>2016</v>
      </c>
      <c r="R5">
        <v>2032</v>
      </c>
      <c r="S5">
        <v>2523</v>
      </c>
      <c r="T5">
        <v>3123</v>
      </c>
      <c r="U5">
        <v>3420</v>
      </c>
      <c r="AE5" s="44">
        <v>15</v>
      </c>
      <c r="AM5">
        <v>24.2</v>
      </c>
      <c r="AN5">
        <v>28.8</v>
      </c>
      <c r="AO5">
        <v>24.7</v>
      </c>
      <c r="AP5">
        <v>0</v>
      </c>
      <c r="AQ5">
        <v>25.1</v>
      </c>
      <c r="AR5">
        <v>25.3</v>
      </c>
      <c r="AS5" s="47"/>
      <c r="AT5" s="48"/>
    </row>
    <row r="6" spans="1:47" x14ac:dyDescent="0.25">
      <c r="A6" s="44">
        <v>20</v>
      </c>
      <c r="B6">
        <v>2049</v>
      </c>
      <c r="C6">
        <v>2037</v>
      </c>
      <c r="D6">
        <v>2026</v>
      </c>
      <c r="E6">
        <v>2037</v>
      </c>
      <c r="F6">
        <v>2.4199999999999999E-2</v>
      </c>
      <c r="G6">
        <v>5.96E-2</v>
      </c>
      <c r="H6">
        <v>7.0499999999999993E-2</v>
      </c>
      <c r="I6">
        <v>43.1</v>
      </c>
      <c r="J6">
        <v>25.9</v>
      </c>
      <c r="K6">
        <v>0</v>
      </c>
      <c r="L6">
        <v>38.4</v>
      </c>
      <c r="M6">
        <v>41.6</v>
      </c>
      <c r="N6" s="47"/>
      <c r="O6" s="48"/>
      <c r="AE6" s="44">
        <v>20</v>
      </c>
      <c r="AM6">
        <v>26.2</v>
      </c>
      <c r="AN6">
        <v>33.299999999999997</v>
      </c>
      <c r="AO6">
        <v>26.9</v>
      </c>
      <c r="AP6">
        <v>0</v>
      </c>
      <c r="AQ6">
        <v>27.2</v>
      </c>
      <c r="AR6">
        <v>27.4</v>
      </c>
      <c r="AS6" s="47"/>
      <c r="AT6" s="48"/>
    </row>
    <row r="7" spans="1:47" x14ac:dyDescent="0.25">
      <c r="A7" s="44">
        <v>25</v>
      </c>
      <c r="B7">
        <v>2050</v>
      </c>
      <c r="C7">
        <v>2037</v>
      </c>
      <c r="D7">
        <v>2031</v>
      </c>
      <c r="E7">
        <v>2040</v>
      </c>
      <c r="F7">
        <v>2.4400000000000002E-2</v>
      </c>
      <c r="G7">
        <v>5.9700000000000003E-2</v>
      </c>
      <c r="H7">
        <v>7.0599999999999996E-2</v>
      </c>
      <c r="I7">
        <v>47.1</v>
      </c>
      <c r="J7">
        <v>25.8</v>
      </c>
      <c r="K7">
        <v>0</v>
      </c>
      <c r="L7">
        <v>40.5</v>
      </c>
      <c r="M7">
        <v>43.8</v>
      </c>
      <c r="N7" s="47"/>
      <c r="O7" s="48"/>
      <c r="Q7" s="43" t="s">
        <v>71</v>
      </c>
      <c r="AE7" s="44">
        <v>25</v>
      </c>
      <c r="AF7">
        <v>2047</v>
      </c>
      <c r="AG7">
        <v>2066</v>
      </c>
      <c r="AH7">
        <v>2027</v>
      </c>
      <c r="AI7">
        <v>2047</v>
      </c>
      <c r="AJ7">
        <v>2.3400000000000001E-2</v>
      </c>
      <c r="AK7">
        <v>5.91E-2</v>
      </c>
      <c r="AL7">
        <v>6.9800000000000001E-2</v>
      </c>
      <c r="AM7">
        <v>32.200000000000003</v>
      </c>
      <c r="AN7">
        <v>35</v>
      </c>
      <c r="AO7">
        <v>32</v>
      </c>
      <c r="AP7">
        <v>0</v>
      </c>
      <c r="AQ7">
        <v>31.7</v>
      </c>
      <c r="AR7">
        <v>33.6</v>
      </c>
      <c r="AS7" s="47"/>
      <c r="AT7" s="48"/>
    </row>
    <row r="8" spans="1:47" x14ac:dyDescent="0.25">
      <c r="A8" s="44">
        <v>30</v>
      </c>
      <c r="B8">
        <v>2041</v>
      </c>
      <c r="C8">
        <v>2038</v>
      </c>
      <c r="D8">
        <v>2046</v>
      </c>
      <c r="E8">
        <v>2042</v>
      </c>
      <c r="F8">
        <v>2.46E-2</v>
      </c>
      <c r="G8">
        <v>5.9700000000000003E-2</v>
      </c>
      <c r="H8">
        <v>7.0699999999999999E-2</v>
      </c>
      <c r="I8">
        <v>49.8</v>
      </c>
      <c r="J8">
        <v>25.7</v>
      </c>
      <c r="K8">
        <v>0</v>
      </c>
      <c r="L8">
        <v>42.2</v>
      </c>
      <c r="M8">
        <v>45.6</v>
      </c>
      <c r="N8" s="47"/>
      <c r="O8" s="48"/>
      <c r="AE8" s="44">
        <v>30</v>
      </c>
      <c r="AF8">
        <v>2045</v>
      </c>
      <c r="AG8">
        <v>2063</v>
      </c>
      <c r="AH8">
        <v>2028</v>
      </c>
      <c r="AI8">
        <v>2050</v>
      </c>
      <c r="AJ8">
        <v>2.4E-2</v>
      </c>
      <c r="AK8">
        <v>5.9299999999999999E-2</v>
      </c>
      <c r="AL8">
        <v>7.0099999999999996E-2</v>
      </c>
      <c r="AM8">
        <v>41.4</v>
      </c>
      <c r="AN8">
        <v>36</v>
      </c>
      <c r="AO8">
        <v>40</v>
      </c>
      <c r="AP8">
        <v>0</v>
      </c>
      <c r="AQ8">
        <v>38</v>
      </c>
      <c r="AR8">
        <v>40.700000000000003</v>
      </c>
      <c r="AS8" s="47"/>
      <c r="AT8" s="48"/>
    </row>
    <row r="9" spans="1:47" x14ac:dyDescent="0.25">
      <c r="A9" s="44">
        <v>35</v>
      </c>
      <c r="B9">
        <v>2038</v>
      </c>
      <c r="C9">
        <v>2025</v>
      </c>
      <c r="D9">
        <v>2034</v>
      </c>
      <c r="E9">
        <v>2035</v>
      </c>
      <c r="F9">
        <v>2.4799999999999999E-2</v>
      </c>
      <c r="G9">
        <v>5.9700000000000003E-2</v>
      </c>
      <c r="H9">
        <v>7.0900000000000005E-2</v>
      </c>
      <c r="I9">
        <v>51.9</v>
      </c>
      <c r="J9">
        <v>25.6</v>
      </c>
      <c r="K9">
        <v>0</v>
      </c>
      <c r="L9">
        <v>43.7</v>
      </c>
      <c r="M9">
        <v>47.1</v>
      </c>
      <c r="N9" s="47"/>
      <c r="O9" s="48"/>
      <c r="Q9" s="185" t="s">
        <v>68</v>
      </c>
      <c r="R9" s="185"/>
      <c r="S9" s="185"/>
      <c r="T9" s="185"/>
      <c r="U9" s="185"/>
      <c r="AE9" s="44">
        <v>35</v>
      </c>
      <c r="AF9">
        <v>2034</v>
      </c>
      <c r="AG9">
        <v>2057</v>
      </c>
      <c r="AH9">
        <v>2029</v>
      </c>
      <c r="AI9">
        <v>2041</v>
      </c>
      <c r="AJ9">
        <v>2.4400000000000002E-2</v>
      </c>
      <c r="AK9">
        <v>5.9299999999999999E-2</v>
      </c>
      <c r="AL9">
        <v>7.0300000000000001E-2</v>
      </c>
      <c r="AM9">
        <v>48.4</v>
      </c>
      <c r="AN9">
        <v>36.799999999999997</v>
      </c>
      <c r="AO9">
        <v>46.4</v>
      </c>
      <c r="AP9">
        <v>0</v>
      </c>
      <c r="AQ9">
        <v>42.7</v>
      </c>
      <c r="AR9">
        <v>45.4</v>
      </c>
      <c r="AS9" s="47"/>
      <c r="AT9" s="48"/>
    </row>
    <row r="10" spans="1:47" x14ac:dyDescent="0.25">
      <c r="A10" s="44">
        <v>40</v>
      </c>
      <c r="B10">
        <v>2045</v>
      </c>
      <c r="C10">
        <v>2036</v>
      </c>
      <c r="D10">
        <v>2041</v>
      </c>
      <c r="E10">
        <v>2041</v>
      </c>
      <c r="F10">
        <v>2.4899999999999999E-2</v>
      </c>
      <c r="G10">
        <v>5.9700000000000003E-2</v>
      </c>
      <c r="H10">
        <v>7.0800000000000002E-2</v>
      </c>
      <c r="I10">
        <v>53.3</v>
      </c>
      <c r="J10">
        <v>25.5</v>
      </c>
      <c r="K10">
        <v>0</v>
      </c>
      <c r="L10">
        <v>44.6</v>
      </c>
      <c r="M10">
        <v>48.4</v>
      </c>
      <c r="N10" s="47"/>
      <c r="O10" s="48"/>
      <c r="Q10" s="8">
        <v>30</v>
      </c>
      <c r="R10">
        <v>40</v>
      </c>
      <c r="S10" s="8">
        <v>50</v>
      </c>
      <c r="T10">
        <v>60</v>
      </c>
      <c r="U10" s="8">
        <v>70</v>
      </c>
      <c r="V10">
        <v>95</v>
      </c>
      <c r="AE10" s="44">
        <v>40</v>
      </c>
      <c r="AF10">
        <v>2032</v>
      </c>
      <c r="AG10">
        <v>2054</v>
      </c>
      <c r="AH10">
        <v>2029</v>
      </c>
      <c r="AI10">
        <v>2039</v>
      </c>
      <c r="AJ10">
        <v>2.47E-2</v>
      </c>
      <c r="AK10">
        <v>5.9400000000000001E-2</v>
      </c>
      <c r="AL10">
        <v>7.0499999999999993E-2</v>
      </c>
      <c r="AM10">
        <v>53.7</v>
      </c>
      <c r="AN10">
        <v>37.5</v>
      </c>
      <c r="AO10">
        <v>51.5</v>
      </c>
      <c r="AP10">
        <v>0</v>
      </c>
      <c r="AQ10">
        <v>46.5</v>
      </c>
      <c r="AR10">
        <v>49</v>
      </c>
      <c r="AS10" s="47"/>
      <c r="AT10" s="48"/>
    </row>
    <row r="11" spans="1:47" x14ac:dyDescent="0.25">
      <c r="A11" s="44">
        <v>45</v>
      </c>
      <c r="B11">
        <v>2043</v>
      </c>
      <c r="C11">
        <v>2034</v>
      </c>
      <c r="D11">
        <v>2043</v>
      </c>
      <c r="E11">
        <v>2040</v>
      </c>
      <c r="F11">
        <v>2.5000000000000001E-2</v>
      </c>
      <c r="G11">
        <v>5.9700000000000003E-2</v>
      </c>
      <c r="H11">
        <v>7.0999999999999994E-2</v>
      </c>
      <c r="I11">
        <v>54.6</v>
      </c>
      <c r="J11">
        <v>25.5</v>
      </c>
      <c r="K11">
        <v>0</v>
      </c>
      <c r="L11">
        <v>45.6</v>
      </c>
      <c r="M11">
        <v>49.4</v>
      </c>
      <c r="N11" s="47"/>
      <c r="O11" s="48"/>
      <c r="Q11" s="8">
        <f>308.34*Q10^0.5571</f>
        <v>2050.8510484242552</v>
      </c>
      <c r="R11" s="8">
        <f t="shared" ref="R11:V11" si="0">308.34*R10^0.5571</f>
        <v>2407.3403168965519</v>
      </c>
      <c r="S11" s="8">
        <f t="shared" si="0"/>
        <v>2726.0012929413856</v>
      </c>
      <c r="T11" s="8">
        <f t="shared" si="0"/>
        <v>3017.4350425977946</v>
      </c>
      <c r="U11" s="8">
        <f t="shared" si="0"/>
        <v>3288.0164841065084</v>
      </c>
      <c r="V11" s="8">
        <f t="shared" si="0"/>
        <v>3897.8012323088842</v>
      </c>
      <c r="AE11" s="44">
        <v>45</v>
      </c>
      <c r="AF11">
        <v>2027</v>
      </c>
      <c r="AG11">
        <v>2052</v>
      </c>
      <c r="AH11">
        <v>2027</v>
      </c>
      <c r="AI11">
        <v>2035</v>
      </c>
      <c r="AJ11">
        <v>2.5000000000000001E-2</v>
      </c>
      <c r="AK11">
        <v>5.9299999999999999E-2</v>
      </c>
      <c r="AL11">
        <v>7.0599999999999996E-2</v>
      </c>
      <c r="AM11">
        <v>57.7</v>
      </c>
      <c r="AN11">
        <v>38.1</v>
      </c>
      <c r="AO11">
        <v>55.3</v>
      </c>
      <c r="AP11">
        <v>0</v>
      </c>
      <c r="AQ11">
        <v>49.5</v>
      </c>
      <c r="AR11">
        <v>51.8</v>
      </c>
      <c r="AS11" s="47"/>
      <c r="AT11" s="48"/>
    </row>
    <row r="12" spans="1:47" x14ac:dyDescent="0.25">
      <c r="A12" s="44">
        <v>50</v>
      </c>
      <c r="B12">
        <v>2038</v>
      </c>
      <c r="C12">
        <v>2027</v>
      </c>
      <c r="D12">
        <v>2033</v>
      </c>
      <c r="E12">
        <v>2033</v>
      </c>
      <c r="F12">
        <v>2.5100000000000001E-2</v>
      </c>
      <c r="G12">
        <v>5.9900000000000002E-2</v>
      </c>
      <c r="H12">
        <v>7.0999999999999994E-2</v>
      </c>
      <c r="I12">
        <v>55.4</v>
      </c>
      <c r="J12">
        <v>25.3</v>
      </c>
      <c r="K12">
        <v>0</v>
      </c>
      <c r="L12">
        <v>46.4</v>
      </c>
      <c r="M12">
        <v>50.1</v>
      </c>
      <c r="N12" s="47"/>
      <c r="O12" s="48"/>
      <c r="AE12" s="44">
        <v>50</v>
      </c>
      <c r="AF12">
        <v>2221</v>
      </c>
      <c r="AG12">
        <v>2226</v>
      </c>
      <c r="AH12">
        <v>2222</v>
      </c>
      <c r="AI12">
        <v>2223</v>
      </c>
      <c r="AJ12">
        <v>2.5399999999999999E-2</v>
      </c>
      <c r="AK12">
        <v>5.9799999999999999E-2</v>
      </c>
      <c r="AL12">
        <v>7.1099999999999997E-2</v>
      </c>
      <c r="AM12">
        <v>61.9</v>
      </c>
      <c r="AN12">
        <v>38.299999999999997</v>
      </c>
      <c r="AO12">
        <v>59.4</v>
      </c>
      <c r="AP12">
        <v>0</v>
      </c>
      <c r="AQ12">
        <v>52.8</v>
      </c>
      <c r="AR12">
        <v>55.5</v>
      </c>
      <c r="AS12" s="47"/>
      <c r="AT12" s="48"/>
    </row>
    <row r="13" spans="1:47" x14ac:dyDescent="0.25">
      <c r="A13" s="44">
        <v>55</v>
      </c>
      <c r="B13">
        <v>2037</v>
      </c>
      <c r="C13">
        <v>2030</v>
      </c>
      <c r="D13">
        <v>2040</v>
      </c>
      <c r="E13">
        <v>2035</v>
      </c>
      <c r="F13">
        <v>2.5100000000000001E-2</v>
      </c>
      <c r="G13">
        <v>5.9799999999999999E-2</v>
      </c>
      <c r="H13">
        <v>7.0999999999999994E-2</v>
      </c>
      <c r="I13">
        <v>56.1</v>
      </c>
      <c r="J13">
        <v>25.3</v>
      </c>
      <c r="K13">
        <v>0</v>
      </c>
      <c r="L13">
        <v>46.9</v>
      </c>
      <c r="M13">
        <v>50.8</v>
      </c>
      <c r="N13" s="47"/>
      <c r="O13" s="48"/>
      <c r="AE13" s="44">
        <v>55</v>
      </c>
      <c r="AF13">
        <v>2223</v>
      </c>
      <c r="AG13">
        <v>2227</v>
      </c>
      <c r="AH13">
        <v>2224</v>
      </c>
      <c r="AI13">
        <v>2224</v>
      </c>
      <c r="AJ13">
        <v>2.5700000000000001E-2</v>
      </c>
      <c r="AK13">
        <v>5.9900000000000002E-2</v>
      </c>
      <c r="AL13">
        <v>7.1400000000000005E-2</v>
      </c>
      <c r="AM13">
        <v>65.900000000000006</v>
      </c>
      <c r="AN13">
        <v>38.9</v>
      </c>
      <c r="AO13">
        <v>63.1</v>
      </c>
      <c r="AP13">
        <v>0</v>
      </c>
      <c r="AQ13">
        <v>55.9</v>
      </c>
      <c r="AR13">
        <v>58.7</v>
      </c>
      <c r="AS13" s="47"/>
      <c r="AT13" s="48"/>
    </row>
    <row r="14" spans="1:47" x14ac:dyDescent="0.25">
      <c r="A14" s="44">
        <v>60</v>
      </c>
      <c r="B14">
        <v>2029</v>
      </c>
      <c r="C14">
        <v>2021</v>
      </c>
      <c r="D14">
        <v>2028</v>
      </c>
      <c r="E14">
        <v>2026</v>
      </c>
      <c r="F14">
        <v>2.52E-2</v>
      </c>
      <c r="G14">
        <v>5.9799999999999999E-2</v>
      </c>
      <c r="H14">
        <v>7.1099999999999997E-2</v>
      </c>
      <c r="I14">
        <v>56.6</v>
      </c>
      <c r="J14">
        <v>25.4</v>
      </c>
      <c r="K14">
        <v>0</v>
      </c>
      <c r="L14">
        <v>47.5</v>
      </c>
      <c r="M14">
        <v>51.3</v>
      </c>
      <c r="N14" s="47"/>
      <c r="O14" s="48"/>
      <c r="AE14" s="44">
        <v>60</v>
      </c>
      <c r="AF14">
        <v>2217</v>
      </c>
      <c r="AG14">
        <v>2224</v>
      </c>
      <c r="AH14">
        <v>2221</v>
      </c>
      <c r="AI14">
        <v>2220</v>
      </c>
      <c r="AJ14">
        <v>2.5899999999999999E-2</v>
      </c>
      <c r="AK14">
        <v>5.9900000000000002E-2</v>
      </c>
      <c r="AL14">
        <v>7.1300000000000002E-2</v>
      </c>
      <c r="AM14">
        <v>68.900000000000006</v>
      </c>
      <c r="AN14">
        <v>38.9</v>
      </c>
      <c r="AO14">
        <v>66</v>
      </c>
      <c r="AP14">
        <v>0</v>
      </c>
      <c r="AQ14">
        <v>58.3</v>
      </c>
      <c r="AR14">
        <v>61.1</v>
      </c>
      <c r="AS14" s="47"/>
      <c r="AT14" s="48"/>
    </row>
    <row r="15" spans="1:47" x14ac:dyDescent="0.25">
      <c r="A15" s="44">
        <v>65</v>
      </c>
      <c r="B15">
        <v>2027</v>
      </c>
      <c r="C15">
        <v>2012</v>
      </c>
      <c r="D15">
        <v>2018</v>
      </c>
      <c r="E15">
        <v>2019</v>
      </c>
      <c r="F15">
        <v>2.52E-2</v>
      </c>
      <c r="G15">
        <v>5.9799999999999999E-2</v>
      </c>
      <c r="H15">
        <v>7.0999999999999994E-2</v>
      </c>
      <c r="I15">
        <v>57</v>
      </c>
      <c r="J15">
        <v>25.3</v>
      </c>
      <c r="K15">
        <v>0</v>
      </c>
      <c r="L15">
        <v>47.8</v>
      </c>
      <c r="M15">
        <v>51.9</v>
      </c>
      <c r="N15" s="47"/>
      <c r="O15" s="48"/>
      <c r="AE15" s="44">
        <v>65</v>
      </c>
      <c r="AF15">
        <v>2045</v>
      </c>
      <c r="AG15">
        <v>2145</v>
      </c>
      <c r="AH15">
        <v>2086</v>
      </c>
      <c r="AI15">
        <v>2092</v>
      </c>
      <c r="AJ15">
        <v>2.5700000000000001E-2</v>
      </c>
      <c r="AK15">
        <v>5.8599999999999999E-2</v>
      </c>
      <c r="AL15">
        <v>7.0199999999999999E-2</v>
      </c>
      <c r="AM15">
        <v>70.900000000000006</v>
      </c>
      <c r="AN15">
        <v>39.200000000000003</v>
      </c>
      <c r="AO15">
        <v>68</v>
      </c>
      <c r="AP15">
        <v>0</v>
      </c>
      <c r="AQ15">
        <v>60</v>
      </c>
      <c r="AR15">
        <v>62.6</v>
      </c>
      <c r="AS15" s="47"/>
      <c r="AT15" s="48"/>
    </row>
    <row r="16" spans="1:47" x14ac:dyDescent="0.25">
      <c r="A16" s="44">
        <v>70</v>
      </c>
      <c r="B16">
        <v>2028</v>
      </c>
      <c r="C16">
        <v>2022</v>
      </c>
      <c r="D16">
        <v>2029</v>
      </c>
      <c r="E16">
        <v>2023</v>
      </c>
      <c r="F16">
        <v>2.53E-2</v>
      </c>
      <c r="G16">
        <v>5.9799999999999999E-2</v>
      </c>
      <c r="H16">
        <v>7.1099999999999997E-2</v>
      </c>
      <c r="I16">
        <v>57.3</v>
      </c>
      <c r="J16">
        <v>25.4</v>
      </c>
      <c r="K16">
        <v>0</v>
      </c>
      <c r="L16">
        <v>48.2</v>
      </c>
      <c r="M16">
        <v>52.4</v>
      </c>
      <c r="N16" s="47"/>
      <c r="O16" s="48"/>
      <c r="Q16" s="173" t="s">
        <v>72</v>
      </c>
      <c r="R16" s="173"/>
      <c r="S16" s="173"/>
      <c r="T16" s="173"/>
      <c r="U16" s="173"/>
      <c r="AE16" s="44">
        <v>70</v>
      </c>
      <c r="AF16">
        <v>2046</v>
      </c>
      <c r="AG16">
        <v>2143</v>
      </c>
      <c r="AH16">
        <v>2085</v>
      </c>
      <c r="AI16">
        <v>2094</v>
      </c>
      <c r="AJ16">
        <v>2.5899999999999999E-2</v>
      </c>
      <c r="AK16">
        <v>5.8599999999999999E-2</v>
      </c>
      <c r="AL16">
        <v>7.0300000000000001E-2</v>
      </c>
      <c r="AM16">
        <v>71.2</v>
      </c>
      <c r="AN16">
        <v>39.299999999999997</v>
      </c>
      <c r="AO16">
        <v>68.5</v>
      </c>
      <c r="AP16">
        <v>0</v>
      </c>
      <c r="AQ16">
        <v>60.9</v>
      </c>
      <c r="AR16">
        <v>63.3</v>
      </c>
      <c r="AS16" s="47"/>
      <c r="AT16" s="48"/>
    </row>
    <row r="17" spans="1:46" x14ac:dyDescent="0.25">
      <c r="A17" s="44">
        <v>75</v>
      </c>
      <c r="B17">
        <v>2032</v>
      </c>
      <c r="C17">
        <v>2026</v>
      </c>
      <c r="D17">
        <v>2027</v>
      </c>
      <c r="E17">
        <v>2028</v>
      </c>
      <c r="F17">
        <v>2.53E-2</v>
      </c>
      <c r="G17">
        <v>5.9799999999999999E-2</v>
      </c>
      <c r="H17">
        <v>7.1099999999999997E-2</v>
      </c>
      <c r="I17">
        <v>58</v>
      </c>
      <c r="J17">
        <v>26</v>
      </c>
      <c r="K17">
        <v>0</v>
      </c>
      <c r="L17">
        <v>49.3</v>
      </c>
      <c r="M17">
        <v>53.6</v>
      </c>
      <c r="N17" s="47"/>
      <c r="O17" s="48"/>
      <c r="P17" t="s">
        <v>73</v>
      </c>
      <c r="Q17" s="8">
        <f>Q11-Q29</f>
        <v>148.67066973569285</v>
      </c>
      <c r="R17" s="8">
        <f t="shared" ref="R17:U17" si="1">R11-R29</f>
        <v>201.51986471468172</v>
      </c>
      <c r="S17" s="8">
        <f t="shared" si="1"/>
        <v>251.66096317789015</v>
      </c>
      <c r="T17" s="8">
        <f t="shared" si="1"/>
        <v>299.60722577602064</v>
      </c>
      <c r="U17" s="8">
        <f t="shared" si="1"/>
        <v>345.72193897997522</v>
      </c>
      <c r="AE17" s="44">
        <v>75</v>
      </c>
      <c r="AF17">
        <v>2038</v>
      </c>
      <c r="AG17">
        <v>2145</v>
      </c>
      <c r="AH17">
        <v>2088</v>
      </c>
      <c r="AI17">
        <v>2090</v>
      </c>
      <c r="AJ17">
        <v>2.5899999999999999E-2</v>
      </c>
      <c r="AK17">
        <v>5.8500000000000003E-2</v>
      </c>
      <c r="AL17">
        <v>7.0199999999999999E-2</v>
      </c>
      <c r="AM17">
        <v>71.599999999999994</v>
      </c>
      <c r="AN17">
        <v>39.5</v>
      </c>
      <c r="AO17">
        <v>69.099999999999994</v>
      </c>
      <c r="AP17">
        <v>0</v>
      </c>
      <c r="AQ17">
        <v>61.8</v>
      </c>
      <c r="AR17">
        <v>64.099999999999994</v>
      </c>
      <c r="AS17" s="47"/>
      <c r="AT17" s="48"/>
    </row>
    <row r="18" spans="1:46" x14ac:dyDescent="0.25">
      <c r="A18" s="44">
        <v>80</v>
      </c>
      <c r="B18">
        <v>2033</v>
      </c>
      <c r="C18">
        <v>2022</v>
      </c>
      <c r="D18">
        <v>2027</v>
      </c>
      <c r="E18">
        <v>2027</v>
      </c>
      <c r="F18">
        <v>2.5399999999999999E-2</v>
      </c>
      <c r="G18">
        <v>5.9900000000000002E-2</v>
      </c>
      <c r="H18">
        <v>7.1199999999999999E-2</v>
      </c>
      <c r="I18">
        <v>58.4</v>
      </c>
      <c r="J18">
        <v>25.7</v>
      </c>
      <c r="K18">
        <v>0</v>
      </c>
      <c r="L18">
        <v>49.5</v>
      </c>
      <c r="M18">
        <v>53.6</v>
      </c>
      <c r="N18" s="47"/>
      <c r="O18" s="48"/>
      <c r="P18" t="s">
        <v>74</v>
      </c>
      <c r="Q18" s="8">
        <f>Q29/Q11*100</f>
        <v>92.750781688903146</v>
      </c>
      <c r="R18" s="8">
        <f t="shared" ref="R18:U18" si="2">R29/R11*100</f>
        <v>91.628941562592487</v>
      </c>
      <c r="S18" s="8">
        <f t="shared" si="2"/>
        <v>90.768127519618844</v>
      </c>
      <c r="T18" s="8">
        <f t="shared" si="2"/>
        <v>90.070797828407251</v>
      </c>
      <c r="U18" s="8">
        <f t="shared" si="2"/>
        <v>89.485395202514553</v>
      </c>
      <c r="AE18" s="44">
        <v>80</v>
      </c>
      <c r="AF18">
        <v>2035</v>
      </c>
      <c r="AG18">
        <v>2144</v>
      </c>
      <c r="AH18">
        <v>2088</v>
      </c>
      <c r="AI18">
        <v>2089</v>
      </c>
      <c r="AJ18">
        <v>2.5999999999999999E-2</v>
      </c>
      <c r="AK18">
        <v>5.8500000000000003E-2</v>
      </c>
      <c r="AL18">
        <v>7.0199999999999999E-2</v>
      </c>
      <c r="AM18">
        <v>72.2</v>
      </c>
      <c r="AN18">
        <v>39.700000000000003</v>
      </c>
      <c r="AO18">
        <v>69.599999999999994</v>
      </c>
      <c r="AP18">
        <v>0</v>
      </c>
      <c r="AQ18">
        <v>62.7</v>
      </c>
      <c r="AR18">
        <v>65.099999999999994</v>
      </c>
      <c r="AS18" s="47"/>
      <c r="AT18" s="48"/>
    </row>
    <row r="19" spans="1:46" x14ac:dyDescent="0.25">
      <c r="A19" s="44">
        <v>85</v>
      </c>
      <c r="B19">
        <v>2039</v>
      </c>
      <c r="C19">
        <v>2027</v>
      </c>
      <c r="D19">
        <v>2037</v>
      </c>
      <c r="E19">
        <v>2034</v>
      </c>
      <c r="F19">
        <v>2.5399999999999999E-2</v>
      </c>
      <c r="G19">
        <v>5.9799999999999999E-2</v>
      </c>
      <c r="H19">
        <v>7.1099999999999997E-2</v>
      </c>
      <c r="I19">
        <v>58.5</v>
      </c>
      <c r="J19">
        <v>25.4</v>
      </c>
      <c r="K19">
        <v>0</v>
      </c>
      <c r="L19">
        <v>49.3</v>
      </c>
      <c r="M19">
        <v>53.6</v>
      </c>
      <c r="N19" s="47"/>
      <c r="O19" s="48"/>
      <c r="AE19" s="44">
        <v>85</v>
      </c>
      <c r="AF19">
        <v>2039</v>
      </c>
      <c r="AG19">
        <v>2150</v>
      </c>
      <c r="AH19">
        <v>2098</v>
      </c>
      <c r="AI19">
        <v>2096</v>
      </c>
      <c r="AJ19">
        <v>2.6100000000000002E-2</v>
      </c>
      <c r="AK19">
        <v>5.8500000000000003E-2</v>
      </c>
      <c r="AL19">
        <v>7.0300000000000001E-2</v>
      </c>
      <c r="AM19">
        <v>72.599999999999994</v>
      </c>
      <c r="AN19">
        <v>39.9</v>
      </c>
      <c r="AO19">
        <v>70.099999999999994</v>
      </c>
      <c r="AP19">
        <v>0</v>
      </c>
      <c r="AQ19">
        <v>63.4</v>
      </c>
      <c r="AR19">
        <v>65.8</v>
      </c>
      <c r="AS19" s="47"/>
      <c r="AT19" s="48"/>
    </row>
    <row r="20" spans="1:46" x14ac:dyDescent="0.25">
      <c r="A20" s="44">
        <v>90</v>
      </c>
      <c r="B20">
        <v>2034</v>
      </c>
      <c r="C20">
        <v>2028</v>
      </c>
      <c r="D20">
        <v>2034</v>
      </c>
      <c r="E20">
        <v>2032</v>
      </c>
      <c r="F20">
        <v>2.5399999999999999E-2</v>
      </c>
      <c r="G20">
        <v>5.9799999999999999E-2</v>
      </c>
      <c r="H20">
        <v>7.1099999999999997E-2</v>
      </c>
      <c r="I20">
        <v>58.6</v>
      </c>
      <c r="J20">
        <v>25.3</v>
      </c>
      <c r="K20">
        <v>0</v>
      </c>
      <c r="L20">
        <v>49.2</v>
      </c>
      <c r="M20">
        <v>53.5</v>
      </c>
      <c r="N20" s="47"/>
      <c r="O20" s="48"/>
      <c r="AE20" s="44">
        <v>90</v>
      </c>
      <c r="AF20">
        <v>2039</v>
      </c>
      <c r="AG20">
        <v>2151</v>
      </c>
      <c r="AH20">
        <v>2099</v>
      </c>
      <c r="AI20">
        <v>2096</v>
      </c>
      <c r="AJ20">
        <v>2.6100000000000002E-2</v>
      </c>
      <c r="AK20">
        <v>5.8500000000000003E-2</v>
      </c>
      <c r="AL20">
        <v>7.0300000000000001E-2</v>
      </c>
      <c r="AM20">
        <v>73</v>
      </c>
      <c r="AN20">
        <v>40.200000000000003</v>
      </c>
      <c r="AO20">
        <v>70.599999999999994</v>
      </c>
      <c r="AP20">
        <v>0</v>
      </c>
      <c r="AQ20">
        <v>64.2</v>
      </c>
      <c r="AR20">
        <v>66.5</v>
      </c>
      <c r="AS20" s="47"/>
      <c r="AT20" s="48"/>
    </row>
    <row r="21" spans="1:46" x14ac:dyDescent="0.25">
      <c r="A21" s="44">
        <v>95</v>
      </c>
      <c r="B21">
        <v>2033</v>
      </c>
      <c r="C21">
        <v>2030</v>
      </c>
      <c r="D21">
        <v>2031</v>
      </c>
      <c r="E21">
        <v>2031</v>
      </c>
      <c r="F21">
        <v>2.5399999999999999E-2</v>
      </c>
      <c r="G21">
        <v>5.9700000000000003E-2</v>
      </c>
      <c r="H21">
        <v>7.1099999999999997E-2</v>
      </c>
      <c r="I21">
        <v>58.4</v>
      </c>
      <c r="J21">
        <v>25</v>
      </c>
      <c r="K21">
        <v>0</v>
      </c>
      <c r="L21">
        <v>48.9</v>
      </c>
      <c r="M21">
        <v>53.1</v>
      </c>
      <c r="N21" s="47"/>
      <c r="O21" s="48"/>
      <c r="Q21" s="182" t="s">
        <v>77</v>
      </c>
      <c r="R21" s="182"/>
      <c r="S21" s="182"/>
      <c r="T21" s="182"/>
      <c r="U21" s="182"/>
      <c r="AE21" s="44">
        <v>95</v>
      </c>
      <c r="AF21">
        <v>2040</v>
      </c>
      <c r="AG21">
        <v>2149</v>
      </c>
      <c r="AH21">
        <v>2090</v>
      </c>
      <c r="AI21">
        <v>2093</v>
      </c>
      <c r="AJ21">
        <v>2.6100000000000002E-2</v>
      </c>
      <c r="AK21">
        <v>5.8500000000000003E-2</v>
      </c>
      <c r="AL21">
        <v>7.0300000000000001E-2</v>
      </c>
      <c r="AM21">
        <v>73.599999999999994</v>
      </c>
      <c r="AN21">
        <v>40.299999999999997</v>
      </c>
      <c r="AO21">
        <v>71.2</v>
      </c>
      <c r="AP21">
        <v>0</v>
      </c>
      <c r="AQ21">
        <v>65.099999999999994</v>
      </c>
      <c r="AR21">
        <v>67.3</v>
      </c>
      <c r="AS21" s="47"/>
      <c r="AT21" s="48"/>
    </row>
    <row r="22" spans="1:46" x14ac:dyDescent="0.25">
      <c r="A22" s="44">
        <v>100</v>
      </c>
      <c r="B22">
        <v>2032</v>
      </c>
      <c r="C22">
        <v>2027</v>
      </c>
      <c r="D22">
        <v>2028</v>
      </c>
      <c r="E22">
        <v>2029</v>
      </c>
      <c r="F22">
        <v>2.5399999999999999E-2</v>
      </c>
      <c r="G22">
        <v>5.9700000000000003E-2</v>
      </c>
      <c r="H22">
        <v>7.1099999999999997E-2</v>
      </c>
      <c r="I22">
        <v>58.3</v>
      </c>
      <c r="J22">
        <v>25.3</v>
      </c>
      <c r="K22">
        <v>56.5</v>
      </c>
      <c r="L22">
        <v>49.5</v>
      </c>
      <c r="M22">
        <v>53.6</v>
      </c>
      <c r="N22" s="47"/>
      <c r="O22" s="48"/>
      <c r="Q22">
        <v>33.700000000000003</v>
      </c>
      <c r="R22">
        <v>34.700000000000003</v>
      </c>
      <c r="S22">
        <v>48.8</v>
      </c>
      <c r="T22">
        <v>78.099999999999994</v>
      </c>
      <c r="U22">
        <v>95.1</v>
      </c>
      <c r="AE22" s="44">
        <v>100</v>
      </c>
      <c r="AF22">
        <v>2031</v>
      </c>
      <c r="AG22">
        <v>2138</v>
      </c>
      <c r="AH22">
        <v>2077</v>
      </c>
      <c r="AI22">
        <v>2082</v>
      </c>
      <c r="AJ22">
        <v>2.63E-2</v>
      </c>
      <c r="AK22">
        <v>5.8599999999999999E-2</v>
      </c>
      <c r="AL22">
        <v>7.0499999999999993E-2</v>
      </c>
      <c r="AM22">
        <v>74.099999999999994</v>
      </c>
      <c r="AN22">
        <v>40.6</v>
      </c>
      <c r="AO22">
        <v>71.7</v>
      </c>
      <c r="AP22">
        <v>0</v>
      </c>
      <c r="AQ22">
        <v>65.599999999999994</v>
      </c>
      <c r="AR22">
        <v>67.900000000000006</v>
      </c>
      <c r="AS22" s="47"/>
      <c r="AT22" s="48"/>
    </row>
    <row r="23" spans="1:46" x14ac:dyDescent="0.25">
      <c r="A23" s="44">
        <v>105</v>
      </c>
      <c r="B23">
        <v>2037</v>
      </c>
      <c r="C23">
        <v>2029</v>
      </c>
      <c r="D23">
        <v>2035</v>
      </c>
      <c r="E23">
        <v>2034</v>
      </c>
      <c r="F23">
        <v>2.5499999999999998E-2</v>
      </c>
      <c r="G23">
        <v>5.9700000000000003E-2</v>
      </c>
      <c r="H23">
        <v>7.1199999999999999E-2</v>
      </c>
      <c r="I23">
        <v>58.7</v>
      </c>
      <c r="J23">
        <v>25.6</v>
      </c>
      <c r="K23">
        <v>57.1</v>
      </c>
      <c r="L23">
        <v>50</v>
      </c>
      <c r="M23">
        <v>54.7</v>
      </c>
      <c r="N23" s="47"/>
      <c r="O23" s="48"/>
      <c r="Q23">
        <v>2032</v>
      </c>
      <c r="R23">
        <v>2010</v>
      </c>
      <c r="S23">
        <v>2492</v>
      </c>
      <c r="T23">
        <v>3115</v>
      </c>
      <c r="U23">
        <v>3420</v>
      </c>
      <c r="AE23" s="44">
        <v>105</v>
      </c>
      <c r="AF23">
        <v>2031</v>
      </c>
      <c r="AG23">
        <v>2145</v>
      </c>
      <c r="AH23">
        <v>2083</v>
      </c>
      <c r="AI23">
        <v>2086</v>
      </c>
      <c r="AJ23">
        <v>2.63E-2</v>
      </c>
      <c r="AK23">
        <v>5.8599999999999999E-2</v>
      </c>
      <c r="AL23">
        <v>7.0499999999999993E-2</v>
      </c>
      <c r="AM23">
        <v>74.599999999999994</v>
      </c>
      <c r="AN23">
        <v>40.6</v>
      </c>
      <c r="AO23">
        <v>72.099999999999994</v>
      </c>
      <c r="AP23">
        <v>0</v>
      </c>
      <c r="AQ23">
        <v>66.099999999999994</v>
      </c>
      <c r="AR23">
        <v>68.3</v>
      </c>
      <c r="AS23" s="47"/>
      <c r="AT23" s="48"/>
    </row>
    <row r="24" spans="1:46" x14ac:dyDescent="0.25">
      <c r="A24" s="44">
        <v>110</v>
      </c>
      <c r="B24">
        <v>2038</v>
      </c>
      <c r="C24">
        <v>2033</v>
      </c>
      <c r="D24">
        <v>2037</v>
      </c>
      <c r="E24">
        <v>2036</v>
      </c>
      <c r="F24">
        <v>2.5499999999999998E-2</v>
      </c>
      <c r="G24">
        <v>5.9900000000000002E-2</v>
      </c>
      <c r="H24">
        <v>7.1199999999999999E-2</v>
      </c>
      <c r="I24">
        <v>58.9</v>
      </c>
      <c r="J24">
        <v>25.5</v>
      </c>
      <c r="K24">
        <v>57.2</v>
      </c>
      <c r="L24">
        <v>52.5</v>
      </c>
      <c r="M24">
        <v>54.6</v>
      </c>
      <c r="N24" s="47"/>
      <c r="O24" s="48"/>
      <c r="AE24" s="44">
        <v>110</v>
      </c>
      <c r="AF24">
        <v>2035</v>
      </c>
      <c r="AG24">
        <v>2145</v>
      </c>
      <c r="AH24">
        <v>2084</v>
      </c>
      <c r="AI24">
        <v>2088</v>
      </c>
      <c r="AJ24">
        <v>2.64E-2</v>
      </c>
      <c r="AK24">
        <v>5.8500000000000003E-2</v>
      </c>
      <c r="AL24">
        <v>7.0400000000000004E-2</v>
      </c>
      <c r="AM24">
        <v>74.900000000000006</v>
      </c>
      <c r="AN24">
        <v>40.799999999999997</v>
      </c>
      <c r="AO24">
        <v>72.5</v>
      </c>
      <c r="AP24">
        <v>0</v>
      </c>
      <c r="AQ24">
        <v>66.5</v>
      </c>
      <c r="AR24">
        <v>68.8</v>
      </c>
      <c r="AS24" s="47"/>
      <c r="AT24" s="48"/>
    </row>
    <row r="25" spans="1:46" x14ac:dyDescent="0.25">
      <c r="A25" s="44">
        <v>115</v>
      </c>
      <c r="B25">
        <v>2037</v>
      </c>
      <c r="C25">
        <v>2026</v>
      </c>
      <c r="D25">
        <v>2035</v>
      </c>
      <c r="E25">
        <v>2033</v>
      </c>
      <c r="F25">
        <v>2.5600000000000001E-2</v>
      </c>
      <c r="G25">
        <v>5.9900000000000002E-2</v>
      </c>
      <c r="H25">
        <v>7.1300000000000002E-2</v>
      </c>
      <c r="I25">
        <v>58.9</v>
      </c>
      <c r="J25">
        <v>25.5</v>
      </c>
      <c r="K25">
        <v>57.4</v>
      </c>
      <c r="L25">
        <v>52.5</v>
      </c>
      <c r="M25">
        <v>54.8</v>
      </c>
      <c r="N25" s="47"/>
      <c r="O25" s="48"/>
      <c r="Q25" s="43" t="s">
        <v>70</v>
      </c>
      <c r="AE25" s="44">
        <v>115</v>
      </c>
      <c r="AF25">
        <v>2008</v>
      </c>
      <c r="AG25">
        <v>2031</v>
      </c>
      <c r="AH25">
        <v>2012</v>
      </c>
      <c r="AI25">
        <v>2017</v>
      </c>
      <c r="AJ25">
        <v>2.6599999999999999E-2</v>
      </c>
      <c r="AK25">
        <v>5.9700000000000003E-2</v>
      </c>
      <c r="AL25">
        <v>7.1499999999999994E-2</v>
      </c>
      <c r="AM25">
        <v>75.2</v>
      </c>
      <c r="AN25">
        <v>41</v>
      </c>
      <c r="AO25">
        <v>72.900000000000006</v>
      </c>
      <c r="AP25">
        <v>0</v>
      </c>
      <c r="AQ25">
        <v>66.7</v>
      </c>
      <c r="AR25">
        <v>68.8</v>
      </c>
      <c r="AS25" s="47"/>
      <c r="AT25" s="48"/>
    </row>
    <row r="26" spans="1:46" x14ac:dyDescent="0.25">
      <c r="A26" s="44">
        <v>120</v>
      </c>
      <c r="B26">
        <v>2047</v>
      </c>
      <c r="C26">
        <v>2037</v>
      </c>
      <c r="D26">
        <v>2045</v>
      </c>
      <c r="E26">
        <v>2043</v>
      </c>
      <c r="F26">
        <v>2.5600000000000001E-2</v>
      </c>
      <c r="G26">
        <v>5.9900000000000002E-2</v>
      </c>
      <c r="H26">
        <v>7.1300000000000002E-2</v>
      </c>
      <c r="I26">
        <v>59.1</v>
      </c>
      <c r="J26">
        <v>25.5</v>
      </c>
      <c r="K26">
        <v>57.5</v>
      </c>
      <c r="L26">
        <v>52.7</v>
      </c>
      <c r="M26">
        <v>55</v>
      </c>
      <c r="N26" s="47"/>
      <c r="O26" s="48"/>
      <c r="AE26" s="44">
        <v>120</v>
      </c>
      <c r="AF26">
        <v>1997</v>
      </c>
      <c r="AG26">
        <v>2019</v>
      </c>
      <c r="AH26">
        <v>2002</v>
      </c>
      <c r="AI26">
        <v>2006</v>
      </c>
      <c r="AJ26">
        <v>2.6800000000000001E-2</v>
      </c>
      <c r="AK26">
        <v>5.9900000000000002E-2</v>
      </c>
      <c r="AL26">
        <v>7.1800000000000003E-2</v>
      </c>
      <c r="AM26">
        <v>75.2</v>
      </c>
      <c r="AN26">
        <v>40.700000000000003</v>
      </c>
      <c r="AO26">
        <v>73</v>
      </c>
      <c r="AP26">
        <v>0</v>
      </c>
      <c r="AQ26">
        <v>66.599999999999994</v>
      </c>
      <c r="AR26">
        <v>68.599999999999994</v>
      </c>
      <c r="AS26" s="47"/>
      <c r="AT26" s="48"/>
    </row>
    <row r="27" spans="1:46" x14ac:dyDescent="0.25">
      <c r="A27" s="44">
        <v>125</v>
      </c>
      <c r="B27">
        <v>2032</v>
      </c>
      <c r="C27">
        <v>2021</v>
      </c>
      <c r="D27">
        <v>2028</v>
      </c>
      <c r="E27">
        <v>2027</v>
      </c>
      <c r="F27">
        <v>2.5499999999999998E-2</v>
      </c>
      <c r="G27">
        <v>5.9900000000000002E-2</v>
      </c>
      <c r="H27">
        <v>7.1300000000000002E-2</v>
      </c>
      <c r="I27">
        <v>59.1</v>
      </c>
      <c r="J27">
        <v>25.4</v>
      </c>
      <c r="K27">
        <v>57.6</v>
      </c>
      <c r="L27">
        <v>52.6</v>
      </c>
      <c r="M27">
        <v>55</v>
      </c>
      <c r="N27" s="47"/>
      <c r="O27" s="48"/>
      <c r="Q27" s="182" t="s">
        <v>69</v>
      </c>
      <c r="R27" s="182"/>
      <c r="S27" s="182"/>
      <c r="T27" s="182"/>
      <c r="U27" s="182"/>
      <c r="AE27" s="44">
        <v>125</v>
      </c>
      <c r="AF27">
        <v>2011</v>
      </c>
      <c r="AG27">
        <v>2032</v>
      </c>
      <c r="AH27">
        <v>2017</v>
      </c>
      <c r="AI27">
        <v>2019</v>
      </c>
      <c r="AJ27">
        <v>2.6599999999999999E-2</v>
      </c>
      <c r="AK27">
        <v>5.9700000000000003E-2</v>
      </c>
      <c r="AL27">
        <v>7.1599999999999997E-2</v>
      </c>
      <c r="AM27">
        <v>75.3</v>
      </c>
      <c r="AN27">
        <v>40.799999999999997</v>
      </c>
      <c r="AO27">
        <v>73</v>
      </c>
      <c r="AP27">
        <v>0</v>
      </c>
      <c r="AQ27">
        <v>66.599999999999994</v>
      </c>
      <c r="AR27">
        <v>68.599999999999994</v>
      </c>
      <c r="AS27" s="47"/>
      <c r="AT27" s="48"/>
    </row>
    <row r="28" spans="1:46" x14ac:dyDescent="0.25">
      <c r="A28" s="44">
        <v>130</v>
      </c>
      <c r="B28">
        <v>2024</v>
      </c>
      <c r="C28">
        <v>2013</v>
      </c>
      <c r="D28">
        <v>2023</v>
      </c>
      <c r="E28">
        <v>2020</v>
      </c>
      <c r="F28">
        <v>2.5600000000000001E-2</v>
      </c>
      <c r="G28">
        <v>6.0100000000000001E-2</v>
      </c>
      <c r="H28">
        <v>7.1400000000000005E-2</v>
      </c>
      <c r="I28">
        <v>59</v>
      </c>
      <c r="J28">
        <v>25.4</v>
      </c>
      <c r="K28">
        <v>57.5</v>
      </c>
      <c r="L28">
        <v>52.6</v>
      </c>
      <c r="M28">
        <v>54.8</v>
      </c>
      <c r="N28" s="47"/>
      <c r="O28" s="48"/>
      <c r="Q28" s="8">
        <v>30</v>
      </c>
      <c r="R28" s="8">
        <v>40</v>
      </c>
      <c r="S28" s="8">
        <v>50</v>
      </c>
      <c r="T28" s="8">
        <v>60</v>
      </c>
      <c r="U28" s="8">
        <v>70</v>
      </c>
      <c r="V28" s="8">
        <v>95</v>
      </c>
      <c r="AE28" s="44">
        <v>130</v>
      </c>
      <c r="AF28">
        <v>2004</v>
      </c>
      <c r="AG28">
        <v>2022</v>
      </c>
      <c r="AH28">
        <v>2010</v>
      </c>
      <c r="AI28">
        <v>2012</v>
      </c>
      <c r="AJ28">
        <v>2.6599999999999999E-2</v>
      </c>
      <c r="AK28">
        <v>5.96E-2</v>
      </c>
      <c r="AL28">
        <v>7.1599999999999997E-2</v>
      </c>
      <c r="AM28">
        <v>75.5</v>
      </c>
      <c r="AN28">
        <v>40.799999999999997</v>
      </c>
      <c r="AO28">
        <v>73.2</v>
      </c>
      <c r="AP28">
        <v>0</v>
      </c>
      <c r="AQ28">
        <v>66.7</v>
      </c>
      <c r="AR28">
        <v>68.7</v>
      </c>
      <c r="AS28" s="47"/>
      <c r="AT28" s="48"/>
    </row>
    <row r="29" spans="1:46" x14ac:dyDescent="0.25">
      <c r="A29" s="44">
        <v>135</v>
      </c>
      <c r="B29">
        <v>2040</v>
      </c>
      <c r="C29">
        <v>2028</v>
      </c>
      <c r="D29">
        <v>2041</v>
      </c>
      <c r="E29">
        <v>2036</v>
      </c>
      <c r="F29">
        <v>2.5499999999999998E-2</v>
      </c>
      <c r="G29">
        <v>5.9900000000000002E-2</v>
      </c>
      <c r="H29">
        <v>7.1300000000000002E-2</v>
      </c>
      <c r="I29">
        <v>59</v>
      </c>
      <c r="J29">
        <v>25.3</v>
      </c>
      <c r="K29">
        <v>57.5</v>
      </c>
      <c r="L29">
        <v>52.5</v>
      </c>
      <c r="M29">
        <v>55.1</v>
      </c>
      <c r="N29" s="47"/>
      <c r="O29" s="48"/>
      <c r="Q29" s="8">
        <f>330.24*Q28^0.5148</f>
        <v>1902.1803786885623</v>
      </c>
      <c r="R29" s="8">
        <f t="shared" ref="R29:V29" si="3">330.24*R28^0.5148</f>
        <v>2205.8204521818702</v>
      </c>
      <c r="S29" s="8">
        <f t="shared" si="3"/>
        <v>2474.3403297634954</v>
      </c>
      <c r="T29" s="8">
        <f t="shared" si="3"/>
        <v>2717.8278168217739</v>
      </c>
      <c r="U29" s="8">
        <f t="shared" si="3"/>
        <v>2942.2945451265332</v>
      </c>
      <c r="V29" s="8">
        <f t="shared" si="3"/>
        <v>3443.196336856156</v>
      </c>
      <c r="AE29" s="44">
        <v>135</v>
      </c>
      <c r="AF29">
        <v>2010</v>
      </c>
      <c r="AG29">
        <v>2025</v>
      </c>
      <c r="AH29">
        <v>2016</v>
      </c>
      <c r="AI29">
        <v>2017</v>
      </c>
      <c r="AJ29">
        <v>2.6599999999999999E-2</v>
      </c>
      <c r="AK29">
        <v>5.9799999999999999E-2</v>
      </c>
      <c r="AL29">
        <v>7.1599999999999997E-2</v>
      </c>
      <c r="AM29">
        <v>75.599999999999994</v>
      </c>
      <c r="AN29">
        <v>41</v>
      </c>
      <c r="AO29">
        <v>73.3</v>
      </c>
      <c r="AP29">
        <v>0</v>
      </c>
      <c r="AQ29">
        <v>66.7</v>
      </c>
      <c r="AR29">
        <v>68.900000000000006</v>
      </c>
      <c r="AS29" s="47"/>
      <c r="AT29" s="48"/>
    </row>
    <row r="30" spans="1:46" x14ac:dyDescent="0.25">
      <c r="A30" s="44">
        <v>140</v>
      </c>
      <c r="B30">
        <v>2032</v>
      </c>
      <c r="C30">
        <v>2021</v>
      </c>
      <c r="D30">
        <v>2033</v>
      </c>
      <c r="E30">
        <v>2029</v>
      </c>
      <c r="F30">
        <v>2.5499999999999998E-2</v>
      </c>
      <c r="G30">
        <v>5.9900000000000002E-2</v>
      </c>
      <c r="H30">
        <v>7.1300000000000002E-2</v>
      </c>
      <c r="I30">
        <v>58.9</v>
      </c>
      <c r="J30">
        <v>25.3</v>
      </c>
      <c r="K30">
        <v>57.5</v>
      </c>
      <c r="L30">
        <v>52.5</v>
      </c>
      <c r="M30">
        <v>54.9</v>
      </c>
      <c r="N30" s="47"/>
      <c r="O30" s="48"/>
      <c r="AE30" s="44">
        <v>140</v>
      </c>
      <c r="AF30">
        <v>2016</v>
      </c>
      <c r="AG30">
        <v>2032</v>
      </c>
      <c r="AH30">
        <v>2018</v>
      </c>
      <c r="AI30">
        <v>2022</v>
      </c>
      <c r="AJ30">
        <v>2.6700000000000002E-2</v>
      </c>
      <c r="AK30">
        <v>5.9700000000000003E-2</v>
      </c>
      <c r="AL30">
        <v>7.17E-2</v>
      </c>
      <c r="AM30">
        <v>75.7</v>
      </c>
      <c r="AN30">
        <v>41.2</v>
      </c>
      <c r="AO30">
        <v>73.5</v>
      </c>
      <c r="AP30">
        <v>0</v>
      </c>
      <c r="AQ30">
        <v>66.900000000000006</v>
      </c>
      <c r="AR30">
        <v>69.099999999999994</v>
      </c>
      <c r="AS30" s="47"/>
      <c r="AT30" s="48"/>
    </row>
    <row r="31" spans="1:46" x14ac:dyDescent="0.25">
      <c r="A31" s="44">
        <v>145</v>
      </c>
      <c r="B31">
        <v>2035</v>
      </c>
      <c r="C31">
        <v>2022</v>
      </c>
      <c r="D31">
        <v>2035</v>
      </c>
      <c r="E31">
        <v>2031</v>
      </c>
      <c r="F31">
        <v>2.5600000000000001E-2</v>
      </c>
      <c r="G31">
        <v>5.9900000000000002E-2</v>
      </c>
      <c r="H31">
        <v>7.1300000000000002E-2</v>
      </c>
      <c r="I31">
        <v>59</v>
      </c>
      <c r="J31">
        <v>25.2</v>
      </c>
      <c r="K31">
        <v>57.5</v>
      </c>
      <c r="L31">
        <v>52.6</v>
      </c>
      <c r="M31">
        <v>55</v>
      </c>
      <c r="N31" s="47"/>
      <c r="O31" s="48"/>
      <c r="Q31" s="8"/>
      <c r="R31" s="8"/>
      <c r="S31" s="8"/>
      <c r="AE31" s="44">
        <v>145</v>
      </c>
      <c r="AF31">
        <v>2004</v>
      </c>
      <c r="AG31">
        <v>2026</v>
      </c>
      <c r="AH31">
        <v>2021</v>
      </c>
      <c r="AI31">
        <v>2017</v>
      </c>
      <c r="AJ31">
        <v>2.6599999999999999E-2</v>
      </c>
      <c r="AK31">
        <v>5.96E-2</v>
      </c>
      <c r="AL31">
        <v>7.17E-2</v>
      </c>
      <c r="AM31">
        <v>76</v>
      </c>
      <c r="AN31">
        <v>41.4</v>
      </c>
      <c r="AO31">
        <v>73.599999999999994</v>
      </c>
      <c r="AP31">
        <v>0</v>
      </c>
      <c r="AQ31">
        <v>67.2</v>
      </c>
      <c r="AR31">
        <v>69.400000000000006</v>
      </c>
      <c r="AS31" s="47"/>
      <c r="AT31" s="48"/>
    </row>
    <row r="32" spans="1:46" x14ac:dyDescent="0.25">
      <c r="A32" s="44">
        <v>150</v>
      </c>
      <c r="B32">
        <v>2031</v>
      </c>
      <c r="C32">
        <v>2025</v>
      </c>
      <c r="D32">
        <v>2033</v>
      </c>
      <c r="E32">
        <v>2030</v>
      </c>
      <c r="F32">
        <v>2.5600000000000001E-2</v>
      </c>
      <c r="G32">
        <v>5.9799999999999999E-2</v>
      </c>
      <c r="H32">
        <v>7.1300000000000002E-2</v>
      </c>
      <c r="I32">
        <v>59.1</v>
      </c>
      <c r="J32">
        <v>25.5</v>
      </c>
      <c r="K32">
        <v>57.5</v>
      </c>
      <c r="L32">
        <v>52.9</v>
      </c>
      <c r="M32">
        <v>55.2</v>
      </c>
      <c r="N32" s="47"/>
      <c r="O32" s="48"/>
      <c r="Q32" s="183" t="s">
        <v>75</v>
      </c>
      <c r="R32" s="183"/>
      <c r="S32" s="183"/>
      <c r="T32" s="183"/>
      <c r="AE32" s="44">
        <v>150</v>
      </c>
      <c r="AF32">
        <v>2015</v>
      </c>
      <c r="AG32">
        <v>2028</v>
      </c>
      <c r="AH32">
        <v>2021</v>
      </c>
      <c r="AI32">
        <v>2021</v>
      </c>
      <c r="AJ32">
        <v>2.6700000000000002E-2</v>
      </c>
      <c r="AK32">
        <v>5.9700000000000003E-2</v>
      </c>
      <c r="AL32">
        <v>7.17E-2</v>
      </c>
      <c r="AM32">
        <v>76.2</v>
      </c>
      <c r="AN32">
        <v>41.6</v>
      </c>
      <c r="AO32">
        <v>73.900000000000006</v>
      </c>
      <c r="AP32">
        <v>0</v>
      </c>
      <c r="AQ32">
        <v>67.5</v>
      </c>
      <c r="AR32">
        <v>69.5</v>
      </c>
      <c r="AS32" s="47"/>
      <c r="AT32" s="48"/>
    </row>
    <row r="33" spans="1:46" x14ac:dyDescent="0.25">
      <c r="A33" s="45">
        <v>155</v>
      </c>
      <c r="B33" s="12">
        <v>2032</v>
      </c>
      <c r="C33" s="12">
        <v>2024</v>
      </c>
      <c r="D33" s="12">
        <v>2032</v>
      </c>
      <c r="E33" s="12">
        <v>2030</v>
      </c>
      <c r="F33" s="12">
        <v>2.5600000000000001E-2</v>
      </c>
      <c r="G33" s="12">
        <v>5.9799999999999999E-2</v>
      </c>
      <c r="H33" s="12">
        <v>7.1199999999999999E-2</v>
      </c>
      <c r="I33" s="12">
        <v>59.2</v>
      </c>
      <c r="J33" s="12">
        <v>25.5</v>
      </c>
      <c r="K33" s="12">
        <v>57.6</v>
      </c>
      <c r="L33" s="12">
        <v>53</v>
      </c>
      <c r="M33" s="12">
        <v>55.3</v>
      </c>
      <c r="N33" s="47">
        <f>I33-J33</f>
        <v>33.700000000000003</v>
      </c>
      <c r="O33" s="48">
        <f>M33-J33</f>
        <v>29.799999999999997</v>
      </c>
      <c r="Q33" s="184"/>
      <c r="R33" s="184"/>
      <c r="S33" s="184"/>
      <c r="T33" s="184"/>
      <c r="AE33" s="45">
        <v>155</v>
      </c>
      <c r="AF33" s="12">
        <v>2010</v>
      </c>
      <c r="AG33" s="12">
        <v>2023</v>
      </c>
      <c r="AH33" s="12">
        <v>2016</v>
      </c>
      <c r="AI33" s="12">
        <v>2017</v>
      </c>
      <c r="AJ33" s="12">
        <v>2.6700000000000002E-2</v>
      </c>
      <c r="AK33" s="12">
        <v>5.9799999999999999E-2</v>
      </c>
      <c r="AL33" s="12">
        <v>7.17E-2</v>
      </c>
      <c r="AM33" s="12">
        <v>76.400000000000006</v>
      </c>
      <c r="AN33" s="12">
        <v>41.7</v>
      </c>
      <c r="AO33" s="12">
        <v>74</v>
      </c>
      <c r="AP33" s="12">
        <v>0</v>
      </c>
      <c r="AQ33" s="12">
        <v>67.599999999999994</v>
      </c>
      <c r="AR33" s="12">
        <v>69.7</v>
      </c>
      <c r="AS33" s="47">
        <f>AM33-AN33</f>
        <v>34.700000000000003</v>
      </c>
      <c r="AT33" s="48">
        <f>AR33-AN33</f>
        <v>28</v>
      </c>
    </row>
    <row r="34" spans="1:46" x14ac:dyDescent="0.25">
      <c r="A34" s="44">
        <v>160</v>
      </c>
      <c r="B34">
        <v>2515</v>
      </c>
      <c r="C34">
        <v>2529</v>
      </c>
      <c r="D34">
        <v>2530</v>
      </c>
      <c r="E34">
        <v>2525</v>
      </c>
      <c r="F34">
        <v>2.58E-2</v>
      </c>
      <c r="G34">
        <v>5.96E-2</v>
      </c>
      <c r="H34">
        <v>7.0900000000000005E-2</v>
      </c>
      <c r="I34">
        <v>62.6</v>
      </c>
      <c r="J34">
        <v>25.8</v>
      </c>
      <c r="K34">
        <v>60.6</v>
      </c>
      <c r="L34">
        <v>55.8</v>
      </c>
      <c r="M34">
        <v>59.3</v>
      </c>
      <c r="N34" s="47"/>
      <c r="O34" s="48"/>
      <c r="Q34" s="184"/>
      <c r="R34" s="184"/>
      <c r="S34" s="184"/>
      <c r="T34" s="184"/>
      <c r="AE34" s="44">
        <v>160</v>
      </c>
      <c r="AF34">
        <v>3162</v>
      </c>
      <c r="AG34">
        <v>3157</v>
      </c>
      <c r="AH34">
        <v>3136</v>
      </c>
      <c r="AI34">
        <v>3152</v>
      </c>
      <c r="AJ34">
        <v>2.7699999999999999E-2</v>
      </c>
      <c r="AK34">
        <v>6.0400000000000002E-2</v>
      </c>
      <c r="AL34">
        <v>7.2300000000000003E-2</v>
      </c>
      <c r="AM34">
        <v>85.7</v>
      </c>
      <c r="AN34">
        <v>41.8</v>
      </c>
      <c r="AO34">
        <v>82.1</v>
      </c>
      <c r="AP34">
        <v>0</v>
      </c>
      <c r="AQ34">
        <v>74.3</v>
      </c>
      <c r="AR34">
        <v>79</v>
      </c>
      <c r="AS34" s="47"/>
      <c r="AT34" s="48"/>
    </row>
    <row r="35" spans="1:46" x14ac:dyDescent="0.25">
      <c r="A35" s="44">
        <v>165</v>
      </c>
      <c r="B35">
        <v>2506</v>
      </c>
      <c r="C35">
        <v>2528</v>
      </c>
      <c r="D35">
        <v>2532</v>
      </c>
      <c r="E35">
        <v>2522</v>
      </c>
      <c r="F35">
        <v>2.5999999999999999E-2</v>
      </c>
      <c r="G35">
        <v>5.96E-2</v>
      </c>
      <c r="H35">
        <v>7.1099999999999997E-2</v>
      </c>
      <c r="I35">
        <v>66.2</v>
      </c>
      <c r="J35">
        <v>25.7</v>
      </c>
      <c r="K35">
        <v>64</v>
      </c>
      <c r="L35">
        <v>58.2</v>
      </c>
      <c r="M35">
        <v>61.7</v>
      </c>
      <c r="N35" s="47"/>
      <c r="O35" s="48"/>
      <c r="AE35" s="44">
        <v>165</v>
      </c>
      <c r="AF35">
        <v>3151</v>
      </c>
      <c r="AG35">
        <v>3157</v>
      </c>
      <c r="AH35">
        <v>3126</v>
      </c>
      <c r="AI35">
        <v>3145</v>
      </c>
      <c r="AJ35">
        <v>2.81E-2</v>
      </c>
      <c r="AK35">
        <v>6.0299999999999999E-2</v>
      </c>
      <c r="AL35">
        <v>7.2400000000000006E-2</v>
      </c>
      <c r="AM35">
        <v>96.3</v>
      </c>
      <c r="AN35">
        <v>41.8</v>
      </c>
      <c r="AO35">
        <v>91.9</v>
      </c>
      <c r="AP35">
        <v>0</v>
      </c>
      <c r="AQ35">
        <v>80.599999999999994</v>
      </c>
      <c r="AR35">
        <v>86.3</v>
      </c>
      <c r="AS35" s="47"/>
      <c r="AT35" s="48"/>
    </row>
    <row r="36" spans="1:46" x14ac:dyDescent="0.25">
      <c r="A36" s="44">
        <v>170</v>
      </c>
      <c r="B36">
        <v>2511</v>
      </c>
      <c r="C36">
        <v>2532</v>
      </c>
      <c r="D36">
        <v>2534</v>
      </c>
      <c r="E36">
        <v>2526</v>
      </c>
      <c r="F36">
        <v>2.6200000000000001E-2</v>
      </c>
      <c r="G36">
        <v>5.9799999999999999E-2</v>
      </c>
      <c r="H36">
        <v>7.1300000000000002E-2</v>
      </c>
      <c r="I36">
        <v>68.599999999999994</v>
      </c>
      <c r="J36">
        <v>25.6</v>
      </c>
      <c r="K36">
        <v>66.2</v>
      </c>
      <c r="L36">
        <v>59.6</v>
      </c>
      <c r="M36">
        <v>63.5</v>
      </c>
      <c r="N36" s="47"/>
      <c r="O36" s="48"/>
      <c r="AE36" s="44">
        <v>170</v>
      </c>
      <c r="AF36">
        <v>3148</v>
      </c>
      <c r="AG36">
        <v>3154</v>
      </c>
      <c r="AH36">
        <v>3127</v>
      </c>
      <c r="AI36">
        <v>3143</v>
      </c>
      <c r="AJ36">
        <v>2.8500000000000001E-2</v>
      </c>
      <c r="AK36">
        <v>6.0199999999999997E-2</v>
      </c>
      <c r="AL36">
        <v>7.2599999999999998E-2</v>
      </c>
      <c r="AM36">
        <v>103.5</v>
      </c>
      <c r="AN36">
        <v>41.9</v>
      </c>
      <c r="AO36">
        <v>98.9</v>
      </c>
      <c r="AP36">
        <v>0</v>
      </c>
      <c r="AQ36">
        <v>84.8</v>
      </c>
      <c r="AR36">
        <v>90.6</v>
      </c>
      <c r="AS36" s="47"/>
      <c r="AT36" s="48"/>
    </row>
    <row r="37" spans="1:46" x14ac:dyDescent="0.25">
      <c r="A37" s="44">
        <v>175</v>
      </c>
      <c r="B37">
        <v>2504</v>
      </c>
      <c r="C37">
        <v>2523</v>
      </c>
      <c r="D37">
        <v>2531</v>
      </c>
      <c r="E37">
        <v>2519</v>
      </c>
      <c r="F37">
        <v>2.63E-2</v>
      </c>
      <c r="G37">
        <v>5.9900000000000002E-2</v>
      </c>
      <c r="H37">
        <v>7.1400000000000005E-2</v>
      </c>
      <c r="I37">
        <v>70.099999999999994</v>
      </c>
      <c r="J37">
        <v>25.5</v>
      </c>
      <c r="K37">
        <v>67.5</v>
      </c>
      <c r="L37">
        <v>60.7</v>
      </c>
      <c r="M37">
        <v>64.599999999999994</v>
      </c>
      <c r="N37" s="47"/>
      <c r="O37" s="48"/>
      <c r="AE37" s="44">
        <v>175</v>
      </c>
      <c r="AF37">
        <v>3141</v>
      </c>
      <c r="AG37">
        <v>3146</v>
      </c>
      <c r="AH37">
        <v>3121</v>
      </c>
      <c r="AI37">
        <v>3136</v>
      </c>
      <c r="AJ37">
        <v>2.8899999999999999E-2</v>
      </c>
      <c r="AK37">
        <v>6.0400000000000002E-2</v>
      </c>
      <c r="AL37">
        <v>7.2900000000000006E-2</v>
      </c>
      <c r="AM37">
        <v>108.3</v>
      </c>
      <c r="AN37">
        <v>42.3</v>
      </c>
      <c r="AO37">
        <v>103.6</v>
      </c>
      <c r="AP37">
        <v>0</v>
      </c>
      <c r="AQ37">
        <v>88</v>
      </c>
      <c r="AR37">
        <v>93.7</v>
      </c>
      <c r="AS37" s="47"/>
      <c r="AT37" s="48"/>
    </row>
    <row r="38" spans="1:46" x14ac:dyDescent="0.25">
      <c r="A38" s="44">
        <v>180</v>
      </c>
      <c r="B38">
        <v>2509</v>
      </c>
      <c r="C38">
        <v>2519</v>
      </c>
      <c r="D38">
        <v>2532</v>
      </c>
      <c r="E38">
        <v>2520</v>
      </c>
      <c r="F38">
        <v>2.64E-2</v>
      </c>
      <c r="G38">
        <v>0.06</v>
      </c>
      <c r="H38">
        <v>7.1400000000000005E-2</v>
      </c>
      <c r="I38">
        <v>71.2</v>
      </c>
      <c r="J38">
        <v>25.5</v>
      </c>
      <c r="K38">
        <v>68.7</v>
      </c>
      <c r="L38">
        <v>61.4</v>
      </c>
      <c r="M38">
        <v>65.3</v>
      </c>
      <c r="N38" s="47"/>
      <c r="O38" s="48"/>
      <c r="AE38" s="44">
        <v>180</v>
      </c>
      <c r="AF38">
        <v>3131</v>
      </c>
      <c r="AG38">
        <v>3134</v>
      </c>
      <c r="AH38">
        <v>3115</v>
      </c>
      <c r="AI38">
        <v>3127</v>
      </c>
      <c r="AJ38">
        <v>2.9100000000000001E-2</v>
      </c>
      <c r="AK38">
        <v>6.0400000000000002E-2</v>
      </c>
      <c r="AL38">
        <v>7.2999999999999995E-2</v>
      </c>
      <c r="AM38">
        <v>111.4</v>
      </c>
      <c r="AN38">
        <v>42.4</v>
      </c>
      <c r="AO38">
        <v>106.8</v>
      </c>
      <c r="AP38">
        <v>0</v>
      </c>
      <c r="AQ38">
        <v>90.3</v>
      </c>
      <c r="AR38">
        <v>95.8</v>
      </c>
      <c r="AS38" s="47"/>
      <c r="AT38" s="48"/>
    </row>
    <row r="39" spans="1:46" x14ac:dyDescent="0.25">
      <c r="A39" s="44">
        <v>185</v>
      </c>
      <c r="B39">
        <v>2503</v>
      </c>
      <c r="C39">
        <v>2520</v>
      </c>
      <c r="D39">
        <v>2533</v>
      </c>
      <c r="E39">
        <v>2519</v>
      </c>
      <c r="F39">
        <v>2.64E-2</v>
      </c>
      <c r="G39">
        <v>5.9799999999999999E-2</v>
      </c>
      <c r="H39">
        <v>7.1499999999999994E-2</v>
      </c>
      <c r="I39">
        <v>72</v>
      </c>
      <c r="J39">
        <v>25.3</v>
      </c>
      <c r="K39">
        <v>69.7</v>
      </c>
      <c r="L39">
        <v>62.2</v>
      </c>
      <c r="M39">
        <v>65.900000000000006</v>
      </c>
      <c r="N39" s="47"/>
      <c r="O39" s="48"/>
      <c r="AE39" s="44">
        <v>185</v>
      </c>
      <c r="AF39">
        <v>3130</v>
      </c>
      <c r="AG39">
        <v>3125</v>
      </c>
      <c r="AH39">
        <v>3101</v>
      </c>
      <c r="AI39">
        <v>3119</v>
      </c>
      <c r="AJ39">
        <v>2.93E-2</v>
      </c>
      <c r="AK39">
        <v>6.0499999999999998E-2</v>
      </c>
      <c r="AL39">
        <v>7.3200000000000001E-2</v>
      </c>
      <c r="AM39">
        <v>114</v>
      </c>
      <c r="AN39">
        <v>42.8</v>
      </c>
      <c r="AO39">
        <v>109.3</v>
      </c>
      <c r="AP39">
        <v>0</v>
      </c>
      <c r="AQ39">
        <v>92.2</v>
      </c>
      <c r="AR39">
        <v>97.8</v>
      </c>
      <c r="AS39" s="47"/>
      <c r="AT39" s="48"/>
    </row>
    <row r="40" spans="1:46" x14ac:dyDescent="0.25">
      <c r="A40" s="44">
        <v>190</v>
      </c>
      <c r="B40">
        <v>2502</v>
      </c>
      <c r="C40">
        <v>2525</v>
      </c>
      <c r="D40">
        <v>2531</v>
      </c>
      <c r="E40">
        <v>2518</v>
      </c>
      <c r="F40">
        <v>2.6499999999999999E-2</v>
      </c>
      <c r="G40">
        <v>5.9799999999999999E-2</v>
      </c>
      <c r="H40">
        <v>7.1499999999999994E-2</v>
      </c>
      <c r="I40">
        <v>72.5</v>
      </c>
      <c r="J40">
        <v>25.3</v>
      </c>
      <c r="K40">
        <v>70.099999999999994</v>
      </c>
      <c r="L40">
        <v>62.7</v>
      </c>
      <c r="M40">
        <v>66.3</v>
      </c>
      <c r="N40" s="47"/>
      <c r="O40" s="48"/>
      <c r="AE40" s="44">
        <v>190</v>
      </c>
      <c r="AF40">
        <v>3123</v>
      </c>
      <c r="AG40">
        <v>3118</v>
      </c>
      <c r="AH40">
        <v>3099</v>
      </c>
      <c r="AI40">
        <v>3113</v>
      </c>
      <c r="AJ40">
        <v>2.9399999999999999E-2</v>
      </c>
      <c r="AK40">
        <v>6.0499999999999998E-2</v>
      </c>
      <c r="AL40">
        <v>7.3300000000000004E-2</v>
      </c>
      <c r="AM40">
        <v>115.3</v>
      </c>
      <c r="AN40">
        <v>40.6</v>
      </c>
      <c r="AO40">
        <v>110.9</v>
      </c>
      <c r="AP40">
        <v>0</v>
      </c>
      <c r="AQ40">
        <v>93.6</v>
      </c>
      <c r="AR40">
        <v>98.3</v>
      </c>
      <c r="AS40" s="47"/>
      <c r="AT40" s="48"/>
    </row>
    <row r="41" spans="1:46" x14ac:dyDescent="0.25">
      <c r="A41" s="44">
        <v>195</v>
      </c>
      <c r="B41">
        <v>2490</v>
      </c>
      <c r="C41">
        <v>2514</v>
      </c>
      <c r="D41">
        <v>2522</v>
      </c>
      <c r="E41">
        <v>2509</v>
      </c>
      <c r="F41">
        <v>2.6499999999999999E-2</v>
      </c>
      <c r="G41">
        <v>5.9900000000000002E-2</v>
      </c>
      <c r="H41">
        <v>7.1499999999999994E-2</v>
      </c>
      <c r="I41">
        <v>72.8</v>
      </c>
      <c r="J41">
        <v>25.2</v>
      </c>
      <c r="K41">
        <v>70.5</v>
      </c>
      <c r="L41">
        <v>63</v>
      </c>
      <c r="M41">
        <v>66.8</v>
      </c>
      <c r="N41" s="47"/>
      <c r="O41" s="48"/>
      <c r="AE41" s="44">
        <v>195</v>
      </c>
      <c r="AF41">
        <v>3133</v>
      </c>
      <c r="AG41">
        <v>3130</v>
      </c>
      <c r="AH41">
        <v>3102</v>
      </c>
      <c r="AI41">
        <v>3122</v>
      </c>
      <c r="AJ41">
        <v>2.9499999999999998E-2</v>
      </c>
      <c r="AK41">
        <v>6.0600000000000001E-2</v>
      </c>
      <c r="AL41">
        <v>7.3400000000000007E-2</v>
      </c>
      <c r="AM41">
        <v>115.8</v>
      </c>
      <c r="AN41">
        <v>39.9</v>
      </c>
      <c r="AO41">
        <v>111.3</v>
      </c>
      <c r="AP41">
        <v>0</v>
      </c>
      <c r="AQ41">
        <v>94.2</v>
      </c>
      <c r="AR41">
        <v>98.6</v>
      </c>
      <c r="AS41" s="47"/>
      <c r="AT41" s="48"/>
    </row>
    <row r="42" spans="1:46" x14ac:dyDescent="0.25">
      <c r="A42" s="44">
        <v>200</v>
      </c>
      <c r="B42">
        <v>2506</v>
      </c>
      <c r="C42">
        <v>2524</v>
      </c>
      <c r="D42">
        <v>2539</v>
      </c>
      <c r="E42">
        <v>2523</v>
      </c>
      <c r="F42">
        <v>2.6499999999999999E-2</v>
      </c>
      <c r="G42">
        <v>5.9799999999999999E-2</v>
      </c>
      <c r="H42">
        <v>7.1499999999999994E-2</v>
      </c>
      <c r="I42">
        <v>73.099999999999994</v>
      </c>
      <c r="J42">
        <v>25</v>
      </c>
      <c r="K42">
        <v>70.7</v>
      </c>
      <c r="L42">
        <v>63.2</v>
      </c>
      <c r="M42">
        <v>67.099999999999994</v>
      </c>
      <c r="N42" s="47"/>
      <c r="O42" s="48"/>
      <c r="AE42" s="44">
        <v>200</v>
      </c>
      <c r="AF42">
        <v>3126</v>
      </c>
      <c r="AG42">
        <v>3125</v>
      </c>
      <c r="AH42">
        <v>3094</v>
      </c>
      <c r="AI42">
        <v>3115</v>
      </c>
      <c r="AJ42">
        <v>2.9600000000000001E-2</v>
      </c>
      <c r="AK42">
        <v>6.0499999999999998E-2</v>
      </c>
      <c r="AL42">
        <v>7.3300000000000004E-2</v>
      </c>
      <c r="AM42">
        <v>116</v>
      </c>
      <c r="AN42">
        <v>39.4</v>
      </c>
      <c r="AO42">
        <v>111.6</v>
      </c>
      <c r="AP42">
        <v>0</v>
      </c>
      <c r="AQ42">
        <v>94.7</v>
      </c>
      <c r="AR42">
        <v>98.8</v>
      </c>
      <c r="AS42" s="47"/>
      <c r="AT42" s="48"/>
    </row>
    <row r="43" spans="1:46" x14ac:dyDescent="0.25">
      <c r="A43" s="44">
        <v>205</v>
      </c>
      <c r="B43">
        <v>2494</v>
      </c>
      <c r="C43">
        <v>2514</v>
      </c>
      <c r="D43">
        <v>2530</v>
      </c>
      <c r="E43">
        <v>2512</v>
      </c>
      <c r="F43">
        <v>2.6599999999999999E-2</v>
      </c>
      <c r="G43">
        <v>5.9799999999999999E-2</v>
      </c>
      <c r="H43">
        <v>7.1400000000000005E-2</v>
      </c>
      <c r="I43">
        <v>73.2</v>
      </c>
      <c r="J43">
        <v>25</v>
      </c>
      <c r="K43">
        <v>70.8</v>
      </c>
      <c r="L43">
        <v>63.4</v>
      </c>
      <c r="M43">
        <v>67.2</v>
      </c>
      <c r="N43" s="47"/>
      <c r="O43" s="48"/>
      <c r="AE43" s="44">
        <v>205</v>
      </c>
      <c r="AF43">
        <v>3128</v>
      </c>
      <c r="AG43">
        <v>3125</v>
      </c>
      <c r="AH43">
        <v>3105</v>
      </c>
      <c r="AI43">
        <v>3119</v>
      </c>
      <c r="AJ43">
        <v>2.9600000000000001E-2</v>
      </c>
      <c r="AK43">
        <v>6.0699999999999997E-2</v>
      </c>
      <c r="AL43">
        <v>7.3499999999999996E-2</v>
      </c>
      <c r="AM43">
        <v>116.4</v>
      </c>
      <c r="AN43">
        <v>39.700000000000003</v>
      </c>
      <c r="AO43">
        <v>111.8</v>
      </c>
      <c r="AP43">
        <v>0</v>
      </c>
      <c r="AQ43">
        <v>94.8</v>
      </c>
      <c r="AR43">
        <v>99.3</v>
      </c>
      <c r="AS43" s="47"/>
      <c r="AT43" s="48"/>
    </row>
    <row r="44" spans="1:46" x14ac:dyDescent="0.25">
      <c r="A44" s="44">
        <v>210</v>
      </c>
      <c r="B44">
        <v>2505</v>
      </c>
      <c r="C44">
        <v>2523</v>
      </c>
      <c r="D44">
        <v>2542</v>
      </c>
      <c r="E44">
        <v>2523</v>
      </c>
      <c r="F44">
        <v>2.6599999999999999E-2</v>
      </c>
      <c r="G44">
        <v>5.9799999999999999E-2</v>
      </c>
      <c r="H44">
        <v>7.1499999999999994E-2</v>
      </c>
      <c r="I44">
        <v>73.3</v>
      </c>
      <c r="J44">
        <v>25</v>
      </c>
      <c r="K44">
        <v>71</v>
      </c>
      <c r="L44">
        <v>63.6</v>
      </c>
      <c r="M44">
        <v>67.599999999999994</v>
      </c>
      <c r="N44" s="47"/>
      <c r="O44" s="48"/>
      <c r="AE44" s="44">
        <v>210</v>
      </c>
      <c r="AF44">
        <v>3123</v>
      </c>
      <c r="AG44">
        <v>3125</v>
      </c>
      <c r="AH44">
        <v>3101</v>
      </c>
      <c r="AI44">
        <v>3117</v>
      </c>
      <c r="AJ44">
        <v>2.9600000000000001E-2</v>
      </c>
      <c r="AK44">
        <v>6.0600000000000001E-2</v>
      </c>
      <c r="AL44">
        <v>7.3400000000000007E-2</v>
      </c>
      <c r="AM44">
        <v>116.7</v>
      </c>
      <c r="AN44">
        <v>39.6</v>
      </c>
      <c r="AO44">
        <v>112.3</v>
      </c>
      <c r="AP44">
        <v>0</v>
      </c>
      <c r="AQ44">
        <v>95.6</v>
      </c>
      <c r="AR44">
        <v>99.8</v>
      </c>
      <c r="AS44" s="47"/>
      <c r="AT44" s="48"/>
    </row>
    <row r="45" spans="1:46" x14ac:dyDescent="0.25">
      <c r="A45" s="44">
        <v>215</v>
      </c>
      <c r="B45">
        <v>2501</v>
      </c>
      <c r="C45">
        <v>2521</v>
      </c>
      <c r="D45">
        <v>2532</v>
      </c>
      <c r="E45">
        <v>2518</v>
      </c>
      <c r="F45">
        <v>2.6599999999999999E-2</v>
      </c>
      <c r="G45">
        <v>5.9900000000000002E-2</v>
      </c>
      <c r="H45">
        <v>7.1499999999999994E-2</v>
      </c>
      <c r="I45">
        <v>73.5</v>
      </c>
      <c r="J45">
        <v>24.9</v>
      </c>
      <c r="K45">
        <v>71.2</v>
      </c>
      <c r="L45">
        <v>63.7</v>
      </c>
      <c r="M45">
        <v>67.7</v>
      </c>
      <c r="N45" s="47"/>
      <c r="O45" s="48"/>
      <c r="AE45" s="44">
        <v>215</v>
      </c>
      <c r="AF45">
        <v>3117</v>
      </c>
      <c r="AG45">
        <v>3121</v>
      </c>
      <c r="AH45">
        <v>3088</v>
      </c>
      <c r="AI45">
        <v>3109</v>
      </c>
      <c r="AJ45">
        <v>2.9700000000000001E-2</v>
      </c>
      <c r="AK45">
        <v>6.0499999999999998E-2</v>
      </c>
      <c r="AL45">
        <v>7.3400000000000007E-2</v>
      </c>
      <c r="AM45">
        <v>117</v>
      </c>
      <c r="AN45">
        <v>39.700000000000003</v>
      </c>
      <c r="AO45">
        <v>112.6</v>
      </c>
      <c r="AP45">
        <v>0</v>
      </c>
      <c r="AQ45">
        <v>95.6</v>
      </c>
      <c r="AR45">
        <v>100</v>
      </c>
      <c r="AS45" s="47"/>
      <c r="AT45" s="48"/>
    </row>
    <row r="46" spans="1:46" x14ac:dyDescent="0.25">
      <c r="A46" s="44">
        <v>220</v>
      </c>
      <c r="B46">
        <v>2493</v>
      </c>
      <c r="C46">
        <v>2515</v>
      </c>
      <c r="D46">
        <v>2525</v>
      </c>
      <c r="E46">
        <v>2511</v>
      </c>
      <c r="F46">
        <v>2.6599999999999999E-2</v>
      </c>
      <c r="G46">
        <v>5.9799999999999999E-2</v>
      </c>
      <c r="H46">
        <v>7.1499999999999994E-2</v>
      </c>
      <c r="I46">
        <v>73.5</v>
      </c>
      <c r="J46">
        <v>24.7</v>
      </c>
      <c r="K46">
        <v>71.099999999999994</v>
      </c>
      <c r="L46">
        <v>63.7</v>
      </c>
      <c r="M46">
        <v>67.3</v>
      </c>
      <c r="N46" s="47"/>
      <c r="O46" s="48"/>
      <c r="AE46" s="44">
        <v>220</v>
      </c>
      <c r="AF46">
        <v>3133</v>
      </c>
      <c r="AG46">
        <v>3128</v>
      </c>
      <c r="AH46">
        <v>3101</v>
      </c>
      <c r="AI46">
        <v>3121</v>
      </c>
      <c r="AJ46">
        <v>2.9700000000000001E-2</v>
      </c>
      <c r="AK46">
        <v>6.08E-2</v>
      </c>
      <c r="AL46">
        <v>7.3700000000000002E-2</v>
      </c>
      <c r="AM46">
        <v>117.4</v>
      </c>
      <c r="AN46">
        <v>39.700000000000003</v>
      </c>
      <c r="AO46">
        <v>112.9</v>
      </c>
      <c r="AP46">
        <v>0</v>
      </c>
      <c r="AQ46">
        <v>96.3</v>
      </c>
      <c r="AR46">
        <v>100.4</v>
      </c>
      <c r="AS46" s="47"/>
      <c r="AT46" s="48"/>
    </row>
    <row r="47" spans="1:46" x14ac:dyDescent="0.25">
      <c r="A47" s="44">
        <v>225</v>
      </c>
      <c r="B47">
        <v>2497</v>
      </c>
      <c r="C47">
        <v>2518</v>
      </c>
      <c r="D47">
        <v>2527</v>
      </c>
      <c r="E47">
        <v>2513</v>
      </c>
      <c r="F47">
        <v>2.6599999999999999E-2</v>
      </c>
      <c r="G47">
        <v>5.9799999999999999E-2</v>
      </c>
      <c r="H47">
        <v>7.1499999999999994E-2</v>
      </c>
      <c r="I47">
        <v>73.3</v>
      </c>
      <c r="J47">
        <v>24.7</v>
      </c>
      <c r="K47">
        <v>71.099999999999994</v>
      </c>
      <c r="L47">
        <v>63.7</v>
      </c>
      <c r="M47">
        <v>67.5</v>
      </c>
      <c r="N47" s="47"/>
      <c r="O47" s="48"/>
      <c r="AE47" s="44">
        <v>225</v>
      </c>
      <c r="AF47">
        <v>3142</v>
      </c>
      <c r="AG47">
        <v>3139</v>
      </c>
      <c r="AH47">
        <v>3119</v>
      </c>
      <c r="AI47">
        <v>3133</v>
      </c>
      <c r="AJ47">
        <v>2.98E-2</v>
      </c>
      <c r="AK47">
        <v>6.0499999999999998E-2</v>
      </c>
      <c r="AL47">
        <v>7.3499999999999996E-2</v>
      </c>
      <c r="AM47">
        <v>117.7</v>
      </c>
      <c r="AN47">
        <v>39.700000000000003</v>
      </c>
      <c r="AO47">
        <v>113.3</v>
      </c>
      <c r="AP47">
        <v>0</v>
      </c>
      <c r="AQ47">
        <v>96.8</v>
      </c>
      <c r="AR47">
        <v>101</v>
      </c>
      <c r="AS47" s="47"/>
      <c r="AT47" s="48"/>
    </row>
    <row r="48" spans="1:46" x14ac:dyDescent="0.25">
      <c r="A48" s="44">
        <v>230</v>
      </c>
      <c r="B48">
        <v>2514</v>
      </c>
      <c r="C48">
        <v>2521</v>
      </c>
      <c r="D48">
        <v>2530</v>
      </c>
      <c r="E48">
        <v>2522</v>
      </c>
      <c r="I48">
        <v>73.400000000000006</v>
      </c>
      <c r="J48">
        <v>24.6</v>
      </c>
      <c r="K48">
        <v>71.3</v>
      </c>
      <c r="L48">
        <v>64</v>
      </c>
      <c r="M48">
        <v>67.8</v>
      </c>
      <c r="N48" s="47"/>
      <c r="O48" s="48"/>
      <c r="AE48" s="44">
        <v>230</v>
      </c>
      <c r="AF48">
        <v>3126</v>
      </c>
      <c r="AG48">
        <v>3126</v>
      </c>
      <c r="AH48">
        <v>3113</v>
      </c>
      <c r="AI48">
        <v>3122</v>
      </c>
      <c r="AJ48">
        <v>2.98E-2</v>
      </c>
      <c r="AK48">
        <v>6.0699999999999997E-2</v>
      </c>
      <c r="AL48">
        <v>7.3499999999999996E-2</v>
      </c>
      <c r="AM48">
        <v>117.9</v>
      </c>
      <c r="AN48">
        <v>39.6</v>
      </c>
      <c r="AO48">
        <v>113.4</v>
      </c>
      <c r="AP48">
        <v>0</v>
      </c>
      <c r="AQ48">
        <v>97.2</v>
      </c>
      <c r="AR48">
        <v>101.4</v>
      </c>
      <c r="AS48" s="47"/>
      <c r="AT48" s="48"/>
    </row>
    <row r="49" spans="1:46" x14ac:dyDescent="0.25">
      <c r="A49" s="44">
        <v>235</v>
      </c>
      <c r="B49">
        <v>2514</v>
      </c>
      <c r="C49">
        <v>2521</v>
      </c>
      <c r="D49">
        <v>2530</v>
      </c>
      <c r="E49">
        <v>2522</v>
      </c>
      <c r="F49">
        <v>2.6700000000000002E-2</v>
      </c>
      <c r="G49">
        <v>0.06</v>
      </c>
      <c r="H49">
        <v>7.1599999999999997E-2</v>
      </c>
      <c r="I49">
        <v>73.400000000000006</v>
      </c>
      <c r="J49">
        <v>24.6</v>
      </c>
      <c r="K49">
        <v>71.3</v>
      </c>
      <c r="L49">
        <v>64</v>
      </c>
      <c r="M49">
        <v>67.8</v>
      </c>
      <c r="N49" s="47"/>
      <c r="O49" s="48"/>
      <c r="AE49" s="44">
        <v>235</v>
      </c>
      <c r="AF49">
        <v>3115</v>
      </c>
      <c r="AG49">
        <v>3117</v>
      </c>
      <c r="AH49">
        <v>3110</v>
      </c>
      <c r="AI49">
        <v>3114</v>
      </c>
      <c r="AJ49">
        <v>2.98E-2</v>
      </c>
      <c r="AK49">
        <v>6.0600000000000001E-2</v>
      </c>
      <c r="AL49">
        <v>7.3499999999999996E-2</v>
      </c>
      <c r="AM49">
        <v>117.9</v>
      </c>
      <c r="AN49">
        <v>39.5</v>
      </c>
      <c r="AO49">
        <v>113.6</v>
      </c>
      <c r="AP49">
        <v>0</v>
      </c>
      <c r="AQ49">
        <v>97.4</v>
      </c>
      <c r="AR49">
        <v>101.4</v>
      </c>
      <c r="AS49" s="47"/>
      <c r="AT49" s="48"/>
    </row>
    <row r="50" spans="1:46" x14ac:dyDescent="0.25">
      <c r="A50" s="44">
        <v>240</v>
      </c>
      <c r="B50">
        <v>2514</v>
      </c>
      <c r="C50">
        <v>2521</v>
      </c>
      <c r="D50">
        <v>2530</v>
      </c>
      <c r="E50">
        <v>2522</v>
      </c>
      <c r="F50">
        <v>2.6700000000000002E-2</v>
      </c>
      <c r="G50">
        <v>0.06</v>
      </c>
      <c r="H50">
        <v>7.1599999999999997E-2</v>
      </c>
      <c r="I50">
        <v>73.400000000000006</v>
      </c>
      <c r="J50">
        <v>24.6</v>
      </c>
      <c r="K50">
        <v>71.3</v>
      </c>
      <c r="L50">
        <v>64</v>
      </c>
      <c r="M50">
        <v>67.8</v>
      </c>
      <c r="N50" s="47"/>
      <c r="O50" s="48"/>
      <c r="AE50" s="44">
        <v>240</v>
      </c>
      <c r="AF50">
        <v>3119</v>
      </c>
      <c r="AG50">
        <v>3120</v>
      </c>
      <c r="AH50">
        <v>3117</v>
      </c>
      <c r="AI50">
        <v>3119</v>
      </c>
      <c r="AJ50">
        <v>2.98E-2</v>
      </c>
      <c r="AK50">
        <v>6.0600000000000001E-2</v>
      </c>
      <c r="AL50">
        <v>7.3499999999999996E-2</v>
      </c>
      <c r="AM50">
        <v>117.9</v>
      </c>
      <c r="AN50">
        <v>39.4</v>
      </c>
      <c r="AO50">
        <v>113.4</v>
      </c>
      <c r="AP50">
        <v>0</v>
      </c>
      <c r="AQ50">
        <v>97.6</v>
      </c>
      <c r="AR50">
        <v>101.6</v>
      </c>
      <c r="AS50" s="47"/>
      <c r="AT50" s="48"/>
    </row>
    <row r="51" spans="1:46" x14ac:dyDescent="0.25">
      <c r="A51" s="44">
        <v>245</v>
      </c>
      <c r="B51">
        <v>2514</v>
      </c>
      <c r="C51">
        <v>2521</v>
      </c>
      <c r="D51">
        <v>2530</v>
      </c>
      <c r="E51">
        <v>2522</v>
      </c>
      <c r="F51">
        <v>2.6700000000000002E-2</v>
      </c>
      <c r="G51">
        <v>0.06</v>
      </c>
      <c r="H51">
        <v>7.1599999999999997E-2</v>
      </c>
      <c r="I51">
        <v>73.400000000000006</v>
      </c>
      <c r="J51">
        <v>24.6</v>
      </c>
      <c r="K51">
        <v>71.3</v>
      </c>
      <c r="L51">
        <v>64</v>
      </c>
      <c r="M51">
        <v>67.8</v>
      </c>
      <c r="N51" s="47"/>
      <c r="O51" s="48"/>
      <c r="AE51" s="44">
        <v>245</v>
      </c>
      <c r="AF51">
        <v>3114</v>
      </c>
      <c r="AG51">
        <v>3115</v>
      </c>
      <c r="AH51">
        <v>3124</v>
      </c>
      <c r="AI51">
        <v>3118</v>
      </c>
      <c r="AJ51">
        <v>2.98E-2</v>
      </c>
      <c r="AK51">
        <v>6.0600000000000001E-2</v>
      </c>
      <c r="AL51">
        <v>7.3499999999999996E-2</v>
      </c>
      <c r="AM51">
        <v>117.7</v>
      </c>
      <c r="AN51">
        <v>39.200000000000003</v>
      </c>
      <c r="AO51">
        <v>113.2</v>
      </c>
      <c r="AP51">
        <v>0</v>
      </c>
      <c r="AQ51">
        <v>97.4</v>
      </c>
      <c r="AR51">
        <v>101.5</v>
      </c>
      <c r="AS51" s="47"/>
      <c r="AT51" s="48"/>
    </row>
    <row r="52" spans="1:46" x14ac:dyDescent="0.25">
      <c r="A52" s="44">
        <v>250</v>
      </c>
      <c r="B52">
        <v>2515</v>
      </c>
      <c r="C52">
        <v>2523</v>
      </c>
      <c r="D52">
        <v>2531</v>
      </c>
      <c r="E52">
        <v>2523</v>
      </c>
      <c r="F52">
        <v>2.6700000000000002E-2</v>
      </c>
      <c r="G52">
        <v>0.06</v>
      </c>
      <c r="H52">
        <v>7.17E-2</v>
      </c>
      <c r="I52">
        <v>73.599999999999994</v>
      </c>
      <c r="J52">
        <v>24.6</v>
      </c>
      <c r="K52">
        <v>71.3</v>
      </c>
      <c r="L52">
        <v>64</v>
      </c>
      <c r="M52">
        <v>67.8</v>
      </c>
      <c r="N52" s="47"/>
      <c r="O52" s="48"/>
      <c r="AE52" s="44">
        <v>250</v>
      </c>
      <c r="AF52">
        <v>3109</v>
      </c>
      <c r="AG52">
        <v>3116</v>
      </c>
      <c r="AH52">
        <v>3122</v>
      </c>
      <c r="AI52">
        <v>3116</v>
      </c>
      <c r="AJ52">
        <v>2.98E-2</v>
      </c>
      <c r="AK52">
        <v>6.0499999999999998E-2</v>
      </c>
      <c r="AL52">
        <v>7.3499999999999996E-2</v>
      </c>
      <c r="AM52">
        <v>117.7</v>
      </c>
      <c r="AN52">
        <v>39.4</v>
      </c>
      <c r="AO52">
        <v>113.2</v>
      </c>
      <c r="AP52">
        <v>0</v>
      </c>
      <c r="AQ52">
        <v>97.5</v>
      </c>
      <c r="AR52">
        <v>101.6</v>
      </c>
      <c r="AS52" s="47"/>
      <c r="AT52" s="48"/>
    </row>
    <row r="53" spans="1:46" x14ac:dyDescent="0.25">
      <c r="A53" s="44">
        <v>255</v>
      </c>
      <c r="B53">
        <v>2496</v>
      </c>
      <c r="C53">
        <v>2511</v>
      </c>
      <c r="D53">
        <v>2524</v>
      </c>
      <c r="E53">
        <v>2510</v>
      </c>
      <c r="F53">
        <v>2.6700000000000002E-2</v>
      </c>
      <c r="G53">
        <v>5.9900000000000002E-2</v>
      </c>
      <c r="H53">
        <v>7.1599999999999997E-2</v>
      </c>
      <c r="I53">
        <v>73.7</v>
      </c>
      <c r="J53">
        <v>24.6</v>
      </c>
      <c r="K53">
        <v>71.400000000000006</v>
      </c>
      <c r="L53">
        <v>64.099999999999994</v>
      </c>
      <c r="M53">
        <v>67.8</v>
      </c>
      <c r="N53" s="47"/>
      <c r="O53" s="48"/>
      <c r="AE53" s="44">
        <v>255</v>
      </c>
      <c r="AF53">
        <v>3084</v>
      </c>
      <c r="AG53">
        <v>3091</v>
      </c>
      <c r="AH53">
        <v>3094</v>
      </c>
      <c r="AI53">
        <v>3090</v>
      </c>
      <c r="AJ53">
        <v>2.98E-2</v>
      </c>
      <c r="AK53">
        <v>6.0600000000000001E-2</v>
      </c>
      <c r="AL53">
        <v>7.3499999999999996E-2</v>
      </c>
      <c r="AM53">
        <v>117.4</v>
      </c>
      <c r="AN53">
        <v>39.299999999999997</v>
      </c>
      <c r="AO53">
        <v>113.1</v>
      </c>
      <c r="AP53">
        <v>0</v>
      </c>
      <c r="AQ53">
        <v>97.7</v>
      </c>
      <c r="AR53">
        <v>101.6</v>
      </c>
      <c r="AS53" s="47"/>
      <c r="AT53" s="48"/>
    </row>
    <row r="54" spans="1:46" x14ac:dyDescent="0.25">
      <c r="A54" s="44">
        <v>260</v>
      </c>
      <c r="B54">
        <v>2489</v>
      </c>
      <c r="C54">
        <v>2503</v>
      </c>
      <c r="D54">
        <v>2522</v>
      </c>
      <c r="E54">
        <v>2505</v>
      </c>
      <c r="F54">
        <v>2.6700000000000002E-2</v>
      </c>
      <c r="G54">
        <v>5.9900000000000002E-2</v>
      </c>
      <c r="H54">
        <v>7.17E-2</v>
      </c>
      <c r="I54">
        <v>73.599999999999994</v>
      </c>
      <c r="J54">
        <v>24.6</v>
      </c>
      <c r="K54">
        <v>71.400000000000006</v>
      </c>
      <c r="L54">
        <v>64</v>
      </c>
      <c r="M54">
        <v>68</v>
      </c>
      <c r="N54" s="47"/>
      <c r="O54" s="48"/>
      <c r="AE54" s="44">
        <v>260</v>
      </c>
      <c r="AF54">
        <v>3087</v>
      </c>
      <c r="AG54">
        <v>3093</v>
      </c>
      <c r="AH54">
        <v>3097</v>
      </c>
      <c r="AI54">
        <v>3093</v>
      </c>
      <c r="AJ54">
        <v>2.98E-2</v>
      </c>
      <c r="AK54">
        <v>6.0600000000000001E-2</v>
      </c>
      <c r="AL54">
        <v>7.3499999999999996E-2</v>
      </c>
      <c r="AM54">
        <v>117.2</v>
      </c>
      <c r="AN54">
        <v>39.4</v>
      </c>
      <c r="AO54">
        <v>112.8</v>
      </c>
      <c r="AP54">
        <v>0</v>
      </c>
      <c r="AQ54">
        <v>97.4</v>
      </c>
      <c r="AR54">
        <v>101.6</v>
      </c>
      <c r="AS54" s="47"/>
      <c r="AT54" s="48"/>
    </row>
    <row r="55" spans="1:46" x14ac:dyDescent="0.25">
      <c r="A55" s="44">
        <v>265</v>
      </c>
      <c r="B55">
        <v>2500</v>
      </c>
      <c r="C55">
        <v>2520</v>
      </c>
      <c r="D55">
        <v>2533</v>
      </c>
      <c r="E55">
        <v>2517</v>
      </c>
      <c r="F55">
        <v>2.6599999999999999E-2</v>
      </c>
      <c r="G55">
        <v>5.9799999999999999E-2</v>
      </c>
      <c r="H55">
        <v>7.1400000000000005E-2</v>
      </c>
      <c r="I55">
        <v>73.400000000000006</v>
      </c>
      <c r="J55">
        <v>24.5</v>
      </c>
      <c r="K55">
        <v>71.2</v>
      </c>
      <c r="L55">
        <v>63.9</v>
      </c>
      <c r="M55">
        <v>67.8</v>
      </c>
      <c r="N55" s="47"/>
      <c r="O55" s="48"/>
      <c r="AE55" s="44">
        <v>265</v>
      </c>
      <c r="AF55">
        <v>3125</v>
      </c>
      <c r="AG55">
        <v>3138</v>
      </c>
      <c r="AH55">
        <v>3138</v>
      </c>
      <c r="AI55">
        <v>3134</v>
      </c>
      <c r="AJ55">
        <v>2.98E-2</v>
      </c>
      <c r="AK55">
        <v>6.0499999999999998E-2</v>
      </c>
      <c r="AL55">
        <v>7.3499999999999996E-2</v>
      </c>
      <c r="AM55">
        <v>117.2</v>
      </c>
      <c r="AN55">
        <v>39.4</v>
      </c>
      <c r="AO55">
        <v>112.8</v>
      </c>
      <c r="AP55">
        <v>0</v>
      </c>
      <c r="AQ55">
        <v>97.8</v>
      </c>
      <c r="AR55">
        <v>101.6</v>
      </c>
      <c r="AS55" s="47"/>
      <c r="AT55" s="48"/>
    </row>
    <row r="56" spans="1:46" x14ac:dyDescent="0.25">
      <c r="A56" s="44">
        <v>270</v>
      </c>
      <c r="B56">
        <v>2503</v>
      </c>
      <c r="C56">
        <v>2526</v>
      </c>
      <c r="D56">
        <v>2534</v>
      </c>
      <c r="E56">
        <v>2521</v>
      </c>
      <c r="F56">
        <v>2.6599999999999999E-2</v>
      </c>
      <c r="G56">
        <v>5.9700000000000003E-2</v>
      </c>
      <c r="H56">
        <v>7.1300000000000002E-2</v>
      </c>
      <c r="I56">
        <v>73.3</v>
      </c>
      <c r="J56">
        <v>24.3</v>
      </c>
      <c r="K56">
        <v>71.099999999999994</v>
      </c>
      <c r="L56">
        <v>63.8</v>
      </c>
      <c r="M56">
        <v>67.7</v>
      </c>
      <c r="N56" s="47"/>
      <c r="O56" s="48"/>
      <c r="AE56" s="45">
        <v>270</v>
      </c>
      <c r="AF56" s="12">
        <v>3115</v>
      </c>
      <c r="AG56" s="12">
        <v>3129</v>
      </c>
      <c r="AH56" s="12">
        <v>3123</v>
      </c>
      <c r="AI56" s="12">
        <v>3122</v>
      </c>
      <c r="AJ56" s="12">
        <v>2.98E-2</v>
      </c>
      <c r="AK56" s="12">
        <v>6.0499999999999998E-2</v>
      </c>
      <c r="AL56" s="12">
        <v>7.3400000000000007E-2</v>
      </c>
      <c r="AM56" s="12">
        <v>117.4</v>
      </c>
      <c r="AN56" s="12">
        <v>39.299999999999997</v>
      </c>
      <c r="AO56" s="12">
        <v>113.2</v>
      </c>
      <c r="AP56" s="12">
        <v>0</v>
      </c>
      <c r="AQ56" s="12">
        <v>98.1</v>
      </c>
      <c r="AR56" s="12">
        <v>102</v>
      </c>
      <c r="AS56" s="47">
        <f>AM56-AN56</f>
        <v>78.100000000000009</v>
      </c>
      <c r="AT56" s="48">
        <f>AR56-AN56</f>
        <v>62.7</v>
      </c>
    </row>
    <row r="57" spans="1:46" x14ac:dyDescent="0.25">
      <c r="A57" s="44">
        <v>275</v>
      </c>
      <c r="B57">
        <v>2495</v>
      </c>
      <c r="C57">
        <v>2525</v>
      </c>
      <c r="D57">
        <v>2528</v>
      </c>
      <c r="E57">
        <v>2516</v>
      </c>
      <c r="F57">
        <v>2.6599999999999999E-2</v>
      </c>
      <c r="G57">
        <v>5.9700000000000003E-2</v>
      </c>
      <c r="H57">
        <v>7.1400000000000005E-2</v>
      </c>
      <c r="I57">
        <v>73.5</v>
      </c>
      <c r="J57">
        <v>24.4</v>
      </c>
      <c r="K57">
        <v>71.099999999999994</v>
      </c>
      <c r="L57">
        <v>64</v>
      </c>
      <c r="M57">
        <v>67.7</v>
      </c>
      <c r="N57" s="47"/>
      <c r="O57" s="48"/>
      <c r="AE57" s="44">
        <v>275</v>
      </c>
      <c r="AF57">
        <v>3874</v>
      </c>
      <c r="AG57">
        <v>3855</v>
      </c>
      <c r="AH57">
        <v>3854</v>
      </c>
      <c r="AI57">
        <v>3861</v>
      </c>
      <c r="AJ57">
        <v>3.0700000000000002E-2</v>
      </c>
      <c r="AK57">
        <v>6.13E-2</v>
      </c>
      <c r="AL57">
        <v>7.4499999999999997E-2</v>
      </c>
      <c r="AM57">
        <v>126.2</v>
      </c>
      <c r="AN57">
        <v>39.299999999999997</v>
      </c>
      <c r="AO57">
        <v>121</v>
      </c>
      <c r="AP57">
        <v>0</v>
      </c>
      <c r="AQ57">
        <v>104.1</v>
      </c>
      <c r="AR57">
        <v>109.7</v>
      </c>
      <c r="AS57" s="47"/>
      <c r="AT57" s="48"/>
    </row>
    <row r="58" spans="1:46" x14ac:dyDescent="0.25">
      <c r="A58" s="44">
        <v>280</v>
      </c>
      <c r="B58">
        <v>2495</v>
      </c>
      <c r="C58">
        <v>2521</v>
      </c>
      <c r="D58">
        <v>2526</v>
      </c>
      <c r="E58">
        <v>2514</v>
      </c>
      <c r="F58">
        <v>2.6599999999999999E-2</v>
      </c>
      <c r="G58">
        <v>5.96E-2</v>
      </c>
      <c r="H58">
        <v>7.1400000000000005E-2</v>
      </c>
      <c r="I58">
        <v>73.3</v>
      </c>
      <c r="J58">
        <v>24.2</v>
      </c>
      <c r="K58">
        <v>71</v>
      </c>
      <c r="L58">
        <v>63.9</v>
      </c>
      <c r="M58">
        <v>67.5</v>
      </c>
      <c r="N58" s="47"/>
      <c r="O58" s="48"/>
      <c r="AE58" s="44">
        <v>280</v>
      </c>
      <c r="AF58">
        <v>3843</v>
      </c>
      <c r="AG58">
        <v>3823</v>
      </c>
      <c r="AH58">
        <v>3832</v>
      </c>
      <c r="AI58">
        <v>3833</v>
      </c>
      <c r="AJ58">
        <v>3.1199999999999999E-2</v>
      </c>
      <c r="AK58">
        <v>6.1100000000000002E-2</v>
      </c>
      <c r="AL58">
        <v>7.46E-2</v>
      </c>
      <c r="AM58">
        <v>136.6</v>
      </c>
      <c r="AN58">
        <v>39.299999999999997</v>
      </c>
      <c r="AO58">
        <v>130.80000000000001</v>
      </c>
      <c r="AP58">
        <v>0</v>
      </c>
      <c r="AQ58">
        <v>110.6</v>
      </c>
      <c r="AR58">
        <v>116.6</v>
      </c>
      <c r="AS58" s="47"/>
      <c r="AT58" s="48"/>
    </row>
    <row r="59" spans="1:46" x14ac:dyDescent="0.25">
      <c r="A59" s="44">
        <v>285</v>
      </c>
      <c r="B59">
        <v>2486</v>
      </c>
      <c r="C59">
        <v>2510</v>
      </c>
      <c r="D59">
        <v>2520</v>
      </c>
      <c r="E59">
        <v>2506</v>
      </c>
      <c r="F59">
        <v>2.6599999999999999E-2</v>
      </c>
      <c r="G59">
        <v>5.9700000000000003E-2</v>
      </c>
      <c r="H59">
        <v>7.1400000000000005E-2</v>
      </c>
      <c r="I59">
        <v>73.2</v>
      </c>
      <c r="J59">
        <v>24.3</v>
      </c>
      <c r="K59">
        <v>71</v>
      </c>
      <c r="L59">
        <v>63.8</v>
      </c>
      <c r="M59">
        <v>67.599999999999994</v>
      </c>
      <c r="N59" s="47"/>
      <c r="O59" s="48"/>
      <c r="AE59" s="44">
        <v>285</v>
      </c>
      <c r="AF59">
        <v>3827</v>
      </c>
      <c r="AG59">
        <v>3810</v>
      </c>
      <c r="AH59">
        <v>3835</v>
      </c>
      <c r="AI59">
        <v>3824</v>
      </c>
      <c r="AJ59">
        <v>3.15E-2</v>
      </c>
      <c r="AK59">
        <v>6.13E-2</v>
      </c>
      <c r="AL59">
        <v>7.4700000000000003E-2</v>
      </c>
      <c r="AM59">
        <v>143.1</v>
      </c>
      <c r="AN59">
        <v>39.6</v>
      </c>
      <c r="AO59">
        <v>137.6</v>
      </c>
      <c r="AP59">
        <v>0</v>
      </c>
      <c r="AQ59">
        <v>115.3</v>
      </c>
      <c r="AR59">
        <v>120.7</v>
      </c>
      <c r="AS59" s="47"/>
      <c r="AT59" s="48"/>
    </row>
    <row r="60" spans="1:46" x14ac:dyDescent="0.25">
      <c r="A60" s="45">
        <v>290</v>
      </c>
      <c r="B60" s="12">
        <v>2492</v>
      </c>
      <c r="C60" s="12">
        <v>2515</v>
      </c>
      <c r="D60" s="12">
        <v>2523</v>
      </c>
      <c r="E60" s="12">
        <v>2510</v>
      </c>
      <c r="F60" s="12">
        <v>2.6700000000000002E-2</v>
      </c>
      <c r="G60" s="12">
        <v>0.06</v>
      </c>
      <c r="H60" s="12">
        <v>7.1499999999999994E-2</v>
      </c>
      <c r="I60" s="12">
        <v>73.099999999999994</v>
      </c>
      <c r="J60" s="12">
        <v>24.3</v>
      </c>
      <c r="K60" s="12">
        <v>70.900000000000006</v>
      </c>
      <c r="L60" s="12">
        <v>63.8</v>
      </c>
      <c r="M60" s="12">
        <v>67.400000000000006</v>
      </c>
      <c r="N60" s="47">
        <f>I60-J60</f>
        <v>48.8</v>
      </c>
      <c r="O60" s="48">
        <f>M60-J60</f>
        <v>43.100000000000009</v>
      </c>
      <c r="AE60" s="44">
        <v>290</v>
      </c>
      <c r="AF60">
        <v>3863</v>
      </c>
      <c r="AG60">
        <v>3826</v>
      </c>
      <c r="AH60">
        <v>3832</v>
      </c>
      <c r="AI60">
        <v>3840</v>
      </c>
      <c r="AJ60">
        <v>3.1899999999999998E-2</v>
      </c>
      <c r="AK60">
        <v>6.1400000000000003E-2</v>
      </c>
      <c r="AL60">
        <v>7.4899999999999994E-2</v>
      </c>
      <c r="AM60">
        <v>147.30000000000001</v>
      </c>
      <c r="AN60">
        <v>39.700000000000003</v>
      </c>
      <c r="AO60">
        <v>142</v>
      </c>
      <c r="AP60">
        <v>0</v>
      </c>
      <c r="AQ60">
        <v>118.4</v>
      </c>
      <c r="AR60">
        <v>123.5</v>
      </c>
      <c r="AS60" s="47"/>
      <c r="AT60" s="48"/>
    </row>
    <row r="61" spans="1:46" x14ac:dyDescent="0.25">
      <c r="A61" s="44">
        <v>295</v>
      </c>
      <c r="B61">
        <v>3283</v>
      </c>
      <c r="C61">
        <v>3375</v>
      </c>
      <c r="D61">
        <v>3203</v>
      </c>
      <c r="E61">
        <v>3287</v>
      </c>
      <c r="F61">
        <v>2.7199999999999998E-2</v>
      </c>
      <c r="G61">
        <v>5.9200000000000003E-2</v>
      </c>
      <c r="H61">
        <v>7.1099999999999997E-2</v>
      </c>
      <c r="I61">
        <v>82</v>
      </c>
      <c r="J61">
        <v>30.8</v>
      </c>
      <c r="K61">
        <v>78.099999999999994</v>
      </c>
      <c r="L61">
        <v>69.3</v>
      </c>
      <c r="M61">
        <v>74.599999999999994</v>
      </c>
      <c r="N61" s="47"/>
      <c r="O61" s="48"/>
      <c r="AE61" s="44">
        <v>295</v>
      </c>
      <c r="AF61">
        <v>3552</v>
      </c>
      <c r="AG61">
        <v>3490</v>
      </c>
      <c r="AH61">
        <v>3525</v>
      </c>
      <c r="AI61">
        <v>3522</v>
      </c>
      <c r="AJ61">
        <v>3.1699999999999999E-2</v>
      </c>
      <c r="AK61">
        <v>6.1499999999999999E-2</v>
      </c>
      <c r="AL61">
        <v>7.51E-2</v>
      </c>
      <c r="AM61">
        <v>146</v>
      </c>
      <c r="AN61">
        <v>40</v>
      </c>
      <c r="AO61">
        <v>141</v>
      </c>
      <c r="AP61">
        <v>0</v>
      </c>
      <c r="AQ61">
        <v>117.6</v>
      </c>
      <c r="AR61">
        <v>121.9</v>
      </c>
      <c r="AS61" s="47"/>
      <c r="AT61" s="48"/>
    </row>
    <row r="62" spans="1:46" x14ac:dyDescent="0.25">
      <c r="A62" s="44">
        <v>300</v>
      </c>
      <c r="B62">
        <v>3335</v>
      </c>
      <c r="C62">
        <v>3425</v>
      </c>
      <c r="D62">
        <v>3291</v>
      </c>
      <c r="E62">
        <v>3350</v>
      </c>
      <c r="F62">
        <v>2.7900000000000001E-2</v>
      </c>
      <c r="G62">
        <v>5.9499999999999997E-2</v>
      </c>
      <c r="H62">
        <v>7.1599999999999997E-2</v>
      </c>
      <c r="I62">
        <v>93.7</v>
      </c>
      <c r="J62">
        <v>35.4</v>
      </c>
      <c r="K62">
        <v>88.7</v>
      </c>
      <c r="L62">
        <v>76.599999999999994</v>
      </c>
      <c r="M62">
        <v>82.6</v>
      </c>
      <c r="N62" s="47"/>
      <c r="O62" s="48"/>
      <c r="AE62" s="44">
        <v>300</v>
      </c>
      <c r="AF62">
        <v>3534</v>
      </c>
      <c r="AG62">
        <v>3480</v>
      </c>
      <c r="AH62">
        <v>3508</v>
      </c>
      <c r="AI62">
        <v>3507</v>
      </c>
      <c r="AJ62">
        <v>3.1600000000000003E-2</v>
      </c>
      <c r="AK62">
        <v>6.1499999999999999E-2</v>
      </c>
      <c r="AL62">
        <v>7.51E-2</v>
      </c>
      <c r="AM62">
        <v>143.69999999999999</v>
      </c>
      <c r="AN62">
        <v>39.799999999999997</v>
      </c>
      <c r="AO62">
        <v>138.69999999999999</v>
      </c>
      <c r="AP62">
        <v>127.6</v>
      </c>
      <c r="AQ62">
        <v>116.2</v>
      </c>
      <c r="AR62">
        <v>120.1</v>
      </c>
      <c r="AS62" s="47"/>
      <c r="AT62" s="48"/>
    </row>
    <row r="63" spans="1:46" x14ac:dyDescent="0.25">
      <c r="A63" s="44">
        <v>305</v>
      </c>
      <c r="B63">
        <v>3640</v>
      </c>
      <c r="C63">
        <v>3691</v>
      </c>
      <c r="D63">
        <v>3699</v>
      </c>
      <c r="E63">
        <v>3676</v>
      </c>
      <c r="F63">
        <v>2.8799999999999999E-2</v>
      </c>
      <c r="G63">
        <v>6.0299999999999999E-2</v>
      </c>
      <c r="H63">
        <v>7.2700000000000001E-2</v>
      </c>
      <c r="I63">
        <v>106.3</v>
      </c>
      <c r="J63">
        <v>37.5</v>
      </c>
      <c r="K63">
        <v>100.7</v>
      </c>
      <c r="L63">
        <v>85.6</v>
      </c>
      <c r="M63">
        <v>93</v>
      </c>
      <c r="N63" s="47"/>
      <c r="O63" s="48"/>
      <c r="AE63" s="44">
        <v>305</v>
      </c>
      <c r="AF63">
        <v>3466</v>
      </c>
      <c r="AG63">
        <v>3463</v>
      </c>
      <c r="AH63">
        <v>3470</v>
      </c>
      <c r="AI63">
        <v>3466</v>
      </c>
      <c r="AJ63">
        <v>3.15E-2</v>
      </c>
      <c r="AK63">
        <v>6.1100000000000002E-2</v>
      </c>
      <c r="AL63">
        <v>7.4700000000000003E-2</v>
      </c>
      <c r="AM63">
        <v>142.1</v>
      </c>
      <c r="AN63">
        <v>40.200000000000003</v>
      </c>
      <c r="AO63">
        <v>137.80000000000001</v>
      </c>
      <c r="AP63">
        <v>133.6</v>
      </c>
      <c r="AQ63">
        <v>115.9</v>
      </c>
      <c r="AR63">
        <v>119.6</v>
      </c>
      <c r="AS63" s="47"/>
      <c r="AT63" s="48"/>
    </row>
    <row r="64" spans="1:46" ht="15" customHeight="1" x14ac:dyDescent="0.25">
      <c r="AE64" s="44">
        <v>310</v>
      </c>
      <c r="AF64">
        <v>3451</v>
      </c>
      <c r="AG64">
        <v>3466</v>
      </c>
      <c r="AH64">
        <v>3475</v>
      </c>
      <c r="AI64">
        <v>3464</v>
      </c>
      <c r="AJ64">
        <v>3.1399999999999997E-2</v>
      </c>
      <c r="AK64">
        <v>6.0900000000000003E-2</v>
      </c>
      <c r="AL64">
        <v>7.46E-2</v>
      </c>
      <c r="AM64">
        <v>140.5</v>
      </c>
      <c r="AN64">
        <v>40.200000000000003</v>
      </c>
      <c r="AO64">
        <v>135.9</v>
      </c>
      <c r="AP64">
        <v>132.1</v>
      </c>
      <c r="AQ64">
        <v>115.6</v>
      </c>
      <c r="AR64">
        <v>119.2</v>
      </c>
      <c r="AS64" s="47"/>
      <c r="AT64" s="48"/>
    </row>
    <row r="65" spans="31:46" x14ac:dyDescent="0.25">
      <c r="AE65" s="44">
        <v>315</v>
      </c>
      <c r="AF65">
        <v>3448</v>
      </c>
      <c r="AG65">
        <v>3462</v>
      </c>
      <c r="AH65">
        <v>3472</v>
      </c>
      <c r="AI65">
        <v>3461</v>
      </c>
      <c r="AJ65">
        <v>3.1399999999999997E-2</v>
      </c>
      <c r="AK65">
        <v>6.0900000000000003E-2</v>
      </c>
      <c r="AL65">
        <v>7.4499999999999997E-2</v>
      </c>
      <c r="AM65">
        <v>139.4</v>
      </c>
      <c r="AN65">
        <v>40.299999999999997</v>
      </c>
      <c r="AO65">
        <v>134.69999999999999</v>
      </c>
      <c r="AP65">
        <v>131.4</v>
      </c>
      <c r="AQ65">
        <v>115.2</v>
      </c>
      <c r="AR65">
        <v>119.2</v>
      </c>
      <c r="AS65" s="47"/>
      <c r="AT65" s="48"/>
    </row>
    <row r="66" spans="31:46" x14ac:dyDescent="0.25">
      <c r="AE66" s="44">
        <v>320</v>
      </c>
      <c r="AF66">
        <v>3446</v>
      </c>
      <c r="AG66">
        <v>3460</v>
      </c>
      <c r="AH66">
        <v>3465</v>
      </c>
      <c r="AI66">
        <v>3457</v>
      </c>
      <c r="AJ66">
        <v>3.1399999999999997E-2</v>
      </c>
      <c r="AK66">
        <v>6.1100000000000002E-2</v>
      </c>
      <c r="AL66">
        <v>7.4700000000000003E-2</v>
      </c>
      <c r="AM66">
        <v>138.6</v>
      </c>
      <c r="AN66">
        <v>40.4</v>
      </c>
      <c r="AO66">
        <v>134</v>
      </c>
      <c r="AP66">
        <v>130.69999999999999</v>
      </c>
      <c r="AQ66">
        <v>115.3</v>
      </c>
      <c r="AR66">
        <v>119</v>
      </c>
      <c r="AS66" s="47"/>
      <c r="AT66" s="48"/>
    </row>
    <row r="67" spans="31:46" x14ac:dyDescent="0.25">
      <c r="AE67" s="44">
        <v>325</v>
      </c>
      <c r="AF67">
        <v>3458</v>
      </c>
      <c r="AG67">
        <v>3460</v>
      </c>
      <c r="AH67">
        <v>3466</v>
      </c>
      <c r="AI67">
        <v>3461</v>
      </c>
      <c r="AJ67">
        <v>3.1399999999999997E-2</v>
      </c>
      <c r="AK67">
        <v>6.1100000000000002E-2</v>
      </c>
      <c r="AL67">
        <v>7.46E-2</v>
      </c>
      <c r="AM67">
        <v>138.1</v>
      </c>
      <c r="AN67">
        <v>40.4</v>
      </c>
      <c r="AO67">
        <v>133.6</v>
      </c>
      <c r="AP67">
        <v>130.6</v>
      </c>
      <c r="AQ67">
        <v>115.1</v>
      </c>
      <c r="AR67">
        <v>119</v>
      </c>
      <c r="AS67" s="47"/>
      <c r="AT67" s="48"/>
    </row>
    <row r="68" spans="31:46" x14ac:dyDescent="0.25">
      <c r="AE68" s="44">
        <v>330</v>
      </c>
      <c r="AF68">
        <v>3453</v>
      </c>
      <c r="AG68">
        <v>3453</v>
      </c>
      <c r="AH68">
        <v>3472</v>
      </c>
      <c r="AI68">
        <v>3457</v>
      </c>
      <c r="AJ68">
        <v>3.1300000000000001E-2</v>
      </c>
      <c r="AK68">
        <v>6.1199999999999997E-2</v>
      </c>
      <c r="AL68">
        <v>7.4499999999999997E-2</v>
      </c>
      <c r="AM68">
        <v>138.1</v>
      </c>
      <c r="AN68">
        <v>40.4</v>
      </c>
      <c r="AO68">
        <v>133.4</v>
      </c>
      <c r="AP68">
        <v>130.69999999999999</v>
      </c>
      <c r="AQ68">
        <v>115</v>
      </c>
      <c r="AR68">
        <v>119.1</v>
      </c>
      <c r="AS68" s="47"/>
      <c r="AT68" s="48"/>
    </row>
    <row r="69" spans="31:46" x14ac:dyDescent="0.25">
      <c r="AE69" s="44">
        <v>335</v>
      </c>
      <c r="AF69">
        <v>3420</v>
      </c>
      <c r="AG69">
        <v>3427</v>
      </c>
      <c r="AH69">
        <v>3421</v>
      </c>
      <c r="AI69">
        <v>3423</v>
      </c>
      <c r="AJ69">
        <v>3.1300000000000001E-2</v>
      </c>
      <c r="AK69">
        <v>6.0999999999999999E-2</v>
      </c>
      <c r="AL69">
        <v>7.4499999999999997E-2</v>
      </c>
      <c r="AM69">
        <v>138.1</v>
      </c>
      <c r="AN69">
        <v>40.700000000000003</v>
      </c>
      <c r="AO69">
        <v>133.5</v>
      </c>
      <c r="AP69">
        <v>130.80000000000001</v>
      </c>
      <c r="AQ69">
        <v>115</v>
      </c>
      <c r="AR69">
        <v>119</v>
      </c>
      <c r="AS69" s="47"/>
      <c r="AT69" s="48"/>
    </row>
    <row r="70" spans="31:46" x14ac:dyDescent="0.25">
      <c r="AE70" s="44">
        <v>340</v>
      </c>
      <c r="AF70">
        <v>3423</v>
      </c>
      <c r="AG70">
        <v>3426</v>
      </c>
      <c r="AH70">
        <v>3422</v>
      </c>
      <c r="AI70">
        <v>3424</v>
      </c>
      <c r="AJ70">
        <v>3.1300000000000001E-2</v>
      </c>
      <c r="AK70">
        <v>6.0999999999999999E-2</v>
      </c>
      <c r="AL70">
        <v>7.4499999999999997E-2</v>
      </c>
      <c r="AM70">
        <v>137.6</v>
      </c>
      <c r="AN70">
        <v>40.700000000000003</v>
      </c>
      <c r="AO70">
        <v>132.9</v>
      </c>
      <c r="AP70">
        <v>130</v>
      </c>
      <c r="AQ70">
        <v>114.5</v>
      </c>
      <c r="AR70">
        <v>118.4</v>
      </c>
      <c r="AS70" s="47"/>
      <c r="AT70" s="48"/>
    </row>
    <row r="71" spans="31:46" x14ac:dyDescent="0.25">
      <c r="AE71" s="44">
        <v>345</v>
      </c>
      <c r="AF71">
        <v>3418</v>
      </c>
      <c r="AG71">
        <v>3422</v>
      </c>
      <c r="AH71">
        <v>3415</v>
      </c>
      <c r="AI71">
        <v>3418</v>
      </c>
      <c r="AJ71">
        <v>3.1199999999999999E-2</v>
      </c>
      <c r="AK71">
        <v>6.0999999999999999E-2</v>
      </c>
      <c r="AL71">
        <v>7.4499999999999997E-2</v>
      </c>
      <c r="AM71">
        <v>136.80000000000001</v>
      </c>
      <c r="AN71">
        <v>40.700000000000003</v>
      </c>
      <c r="AO71">
        <v>132.5</v>
      </c>
      <c r="AP71">
        <v>129.80000000000001</v>
      </c>
      <c r="AQ71">
        <v>114.2</v>
      </c>
      <c r="AR71">
        <v>118</v>
      </c>
      <c r="AS71" s="47"/>
      <c r="AT71" s="48"/>
    </row>
    <row r="72" spans="31:46" x14ac:dyDescent="0.25">
      <c r="AE72" s="44">
        <v>350</v>
      </c>
      <c r="AF72">
        <v>3398</v>
      </c>
      <c r="AG72">
        <v>3398</v>
      </c>
      <c r="AH72">
        <v>3403</v>
      </c>
      <c r="AI72">
        <v>3400</v>
      </c>
      <c r="AJ72">
        <v>3.1199999999999999E-2</v>
      </c>
      <c r="AK72">
        <v>6.0999999999999999E-2</v>
      </c>
      <c r="AL72">
        <v>7.4499999999999997E-2</v>
      </c>
      <c r="AM72">
        <v>136.4</v>
      </c>
      <c r="AN72">
        <v>40.799999999999997</v>
      </c>
      <c r="AO72">
        <v>132.1</v>
      </c>
      <c r="AP72">
        <v>129.1</v>
      </c>
      <c r="AQ72">
        <v>113.9</v>
      </c>
      <c r="AR72">
        <v>117.7</v>
      </c>
      <c r="AS72" s="47"/>
      <c r="AT72" s="48"/>
    </row>
    <row r="73" spans="31:46" x14ac:dyDescent="0.25">
      <c r="AE73" s="44">
        <v>355</v>
      </c>
      <c r="AF73">
        <v>3403</v>
      </c>
      <c r="AG73">
        <v>3409</v>
      </c>
      <c r="AH73">
        <v>3413</v>
      </c>
      <c r="AI73">
        <v>3408</v>
      </c>
      <c r="AJ73">
        <v>3.1199999999999999E-2</v>
      </c>
      <c r="AK73">
        <v>6.0900000000000003E-2</v>
      </c>
      <c r="AL73">
        <v>7.4499999999999997E-2</v>
      </c>
      <c r="AM73">
        <v>135.80000000000001</v>
      </c>
      <c r="AN73">
        <v>40.700000000000003</v>
      </c>
      <c r="AO73">
        <v>131.4</v>
      </c>
      <c r="AP73">
        <v>128.80000000000001</v>
      </c>
      <c r="AQ73">
        <v>113.6</v>
      </c>
      <c r="AR73">
        <v>117.4</v>
      </c>
      <c r="AS73" s="47"/>
      <c r="AT73" s="48"/>
    </row>
    <row r="74" spans="31:46" x14ac:dyDescent="0.25">
      <c r="AE74" s="44">
        <v>360</v>
      </c>
      <c r="AF74">
        <v>3395</v>
      </c>
      <c r="AG74">
        <v>3400</v>
      </c>
      <c r="AH74">
        <v>3404</v>
      </c>
      <c r="AI74">
        <v>3398</v>
      </c>
      <c r="AJ74">
        <v>3.1199999999999999E-2</v>
      </c>
      <c r="AK74">
        <v>6.0900000000000003E-2</v>
      </c>
      <c r="AL74">
        <v>7.4499999999999997E-2</v>
      </c>
      <c r="AM74">
        <v>135.4</v>
      </c>
      <c r="AN74">
        <v>40.700000000000003</v>
      </c>
      <c r="AO74">
        <v>131.19999999999999</v>
      </c>
      <c r="AP74">
        <v>128.6</v>
      </c>
      <c r="AQ74">
        <v>113.5</v>
      </c>
      <c r="AR74">
        <v>117</v>
      </c>
      <c r="AS74" s="47"/>
      <c r="AT74" s="48"/>
    </row>
    <row r="75" spans="31:46" x14ac:dyDescent="0.25">
      <c r="AE75" s="44">
        <v>365</v>
      </c>
      <c r="AF75">
        <v>3395</v>
      </c>
      <c r="AG75">
        <v>3405</v>
      </c>
      <c r="AH75">
        <v>3400</v>
      </c>
      <c r="AI75">
        <v>3400</v>
      </c>
      <c r="AJ75">
        <v>3.1099999999999999E-2</v>
      </c>
      <c r="AK75">
        <v>6.08E-2</v>
      </c>
      <c r="AL75">
        <v>7.4399999999999994E-2</v>
      </c>
      <c r="AM75">
        <v>135.4</v>
      </c>
      <c r="AN75">
        <v>40.700000000000003</v>
      </c>
      <c r="AO75">
        <v>131.1</v>
      </c>
      <c r="AP75">
        <v>128.30000000000001</v>
      </c>
      <c r="AQ75">
        <v>113.2</v>
      </c>
      <c r="AR75">
        <v>117.1</v>
      </c>
      <c r="AS75" s="47"/>
      <c r="AT75" s="48"/>
    </row>
    <row r="76" spans="31:46" x14ac:dyDescent="0.25">
      <c r="AE76" s="44">
        <v>370</v>
      </c>
      <c r="AF76">
        <v>3403</v>
      </c>
      <c r="AG76">
        <v>3406</v>
      </c>
      <c r="AH76">
        <v>3405</v>
      </c>
      <c r="AI76">
        <v>3405</v>
      </c>
      <c r="AJ76">
        <v>3.1099999999999999E-2</v>
      </c>
      <c r="AK76">
        <v>6.0900000000000003E-2</v>
      </c>
      <c r="AL76">
        <v>7.4399999999999994E-2</v>
      </c>
      <c r="AM76">
        <v>135.19999999999999</v>
      </c>
      <c r="AN76">
        <v>40.6</v>
      </c>
      <c r="AO76">
        <v>130.80000000000001</v>
      </c>
      <c r="AP76">
        <v>128.19999999999999</v>
      </c>
      <c r="AQ76">
        <v>113.1</v>
      </c>
      <c r="AR76">
        <v>117</v>
      </c>
      <c r="AS76" s="47"/>
      <c r="AT76" s="48"/>
    </row>
    <row r="77" spans="31:46" x14ac:dyDescent="0.25">
      <c r="AE77" s="44">
        <v>375</v>
      </c>
      <c r="AF77">
        <v>3407</v>
      </c>
      <c r="AG77">
        <v>3409</v>
      </c>
      <c r="AH77">
        <v>3414</v>
      </c>
      <c r="AI77">
        <v>3410</v>
      </c>
      <c r="AJ77">
        <v>3.1199999999999999E-2</v>
      </c>
      <c r="AK77">
        <v>6.1199999999999997E-2</v>
      </c>
      <c r="AL77">
        <v>7.4499999999999997E-2</v>
      </c>
      <c r="AM77">
        <v>135.19999999999999</v>
      </c>
      <c r="AN77">
        <v>40.700000000000003</v>
      </c>
      <c r="AO77">
        <v>131</v>
      </c>
      <c r="AP77">
        <v>128.5</v>
      </c>
      <c r="AQ77">
        <v>113.2</v>
      </c>
      <c r="AR77">
        <v>116.9</v>
      </c>
      <c r="AS77" s="47"/>
      <c r="AT77" s="48"/>
    </row>
    <row r="78" spans="31:46" x14ac:dyDescent="0.25">
      <c r="AE78" s="44">
        <v>380</v>
      </c>
      <c r="AF78">
        <v>3410</v>
      </c>
      <c r="AG78">
        <v>3406</v>
      </c>
      <c r="AH78">
        <v>3408</v>
      </c>
      <c r="AI78">
        <v>3408</v>
      </c>
      <c r="AJ78">
        <v>3.1199999999999999E-2</v>
      </c>
      <c r="AK78">
        <v>6.0900000000000003E-2</v>
      </c>
      <c r="AL78">
        <v>7.46E-2</v>
      </c>
      <c r="AM78">
        <v>134.6</v>
      </c>
      <c r="AN78">
        <v>40.200000000000003</v>
      </c>
      <c r="AO78">
        <v>130.1</v>
      </c>
      <c r="AP78">
        <v>128</v>
      </c>
      <c r="AQ78">
        <v>112.5</v>
      </c>
      <c r="AR78">
        <v>116.2</v>
      </c>
      <c r="AS78" s="47"/>
      <c r="AT78" s="48"/>
    </row>
    <row r="79" spans="31:46" x14ac:dyDescent="0.25">
      <c r="AE79" s="44">
        <v>385</v>
      </c>
      <c r="AF79">
        <v>3418</v>
      </c>
      <c r="AG79">
        <v>3421</v>
      </c>
      <c r="AH79">
        <v>3417</v>
      </c>
      <c r="AI79">
        <v>3418</v>
      </c>
      <c r="AJ79">
        <v>3.1199999999999999E-2</v>
      </c>
      <c r="AK79">
        <v>6.0999999999999999E-2</v>
      </c>
      <c r="AL79">
        <v>7.4399999999999994E-2</v>
      </c>
      <c r="AM79">
        <v>134.9</v>
      </c>
      <c r="AN79">
        <v>40.6</v>
      </c>
      <c r="AO79">
        <v>130.5</v>
      </c>
      <c r="AP79">
        <v>128.1</v>
      </c>
      <c r="AQ79">
        <v>113</v>
      </c>
      <c r="AR79">
        <v>116.7</v>
      </c>
      <c r="AS79" s="47"/>
      <c r="AT79" s="48"/>
    </row>
    <row r="80" spans="31:46" x14ac:dyDescent="0.25">
      <c r="AE80" s="44">
        <v>390</v>
      </c>
      <c r="AF80">
        <v>3425</v>
      </c>
      <c r="AG80">
        <v>3429</v>
      </c>
      <c r="AH80">
        <v>3422</v>
      </c>
      <c r="AI80">
        <v>3426</v>
      </c>
      <c r="AJ80">
        <v>3.1199999999999999E-2</v>
      </c>
      <c r="AK80">
        <v>6.1100000000000002E-2</v>
      </c>
      <c r="AL80">
        <v>7.4499999999999997E-2</v>
      </c>
      <c r="AM80">
        <v>135.5</v>
      </c>
      <c r="AN80">
        <v>41</v>
      </c>
      <c r="AO80">
        <v>131.1</v>
      </c>
      <c r="AP80">
        <v>128.80000000000001</v>
      </c>
      <c r="AQ80">
        <v>113.2</v>
      </c>
      <c r="AR80">
        <v>117.2</v>
      </c>
      <c r="AS80" s="47"/>
      <c r="AT80" s="48"/>
    </row>
    <row r="81" spans="31:46" x14ac:dyDescent="0.25">
      <c r="AE81" s="44">
        <v>395</v>
      </c>
      <c r="AF81">
        <v>3417</v>
      </c>
      <c r="AG81">
        <v>3426</v>
      </c>
      <c r="AH81">
        <v>3434</v>
      </c>
      <c r="AI81">
        <v>3425</v>
      </c>
      <c r="AJ81">
        <v>3.1199999999999999E-2</v>
      </c>
      <c r="AK81">
        <v>6.1100000000000002E-2</v>
      </c>
      <c r="AL81">
        <v>7.4499999999999997E-2</v>
      </c>
      <c r="AM81">
        <v>135.80000000000001</v>
      </c>
      <c r="AN81">
        <v>41.1</v>
      </c>
      <c r="AO81">
        <v>131.4</v>
      </c>
      <c r="AP81">
        <v>128.80000000000001</v>
      </c>
      <c r="AQ81">
        <v>113.5</v>
      </c>
      <c r="AR81">
        <v>117.3</v>
      </c>
      <c r="AS81" s="47"/>
      <c r="AT81" s="48"/>
    </row>
    <row r="82" spans="31:46" x14ac:dyDescent="0.25">
      <c r="AE82" s="44">
        <v>400</v>
      </c>
      <c r="AF82">
        <v>3407</v>
      </c>
      <c r="AG82">
        <v>3416</v>
      </c>
      <c r="AH82">
        <v>3412</v>
      </c>
      <c r="AI82">
        <v>3411</v>
      </c>
      <c r="AJ82">
        <v>3.1199999999999999E-2</v>
      </c>
      <c r="AK82">
        <v>6.0999999999999999E-2</v>
      </c>
      <c r="AL82">
        <v>7.4399999999999994E-2</v>
      </c>
      <c r="AM82">
        <v>136</v>
      </c>
      <c r="AN82">
        <v>41.2</v>
      </c>
      <c r="AO82">
        <v>131.6</v>
      </c>
      <c r="AP82">
        <v>129</v>
      </c>
      <c r="AQ82">
        <v>113.7</v>
      </c>
      <c r="AR82">
        <v>117.4</v>
      </c>
      <c r="AS82" s="47"/>
      <c r="AT82" s="48"/>
    </row>
    <row r="83" spans="31:46" x14ac:dyDescent="0.25">
      <c r="AE83" s="44">
        <v>405</v>
      </c>
      <c r="AF83">
        <v>3419</v>
      </c>
      <c r="AG83">
        <v>3425</v>
      </c>
      <c r="AH83">
        <v>3423</v>
      </c>
      <c r="AI83">
        <v>3422</v>
      </c>
      <c r="AJ83">
        <v>3.1199999999999999E-2</v>
      </c>
      <c r="AK83">
        <v>6.1100000000000002E-2</v>
      </c>
      <c r="AL83">
        <v>7.4499999999999997E-2</v>
      </c>
      <c r="AM83">
        <v>136.19999999999999</v>
      </c>
      <c r="AN83">
        <v>40.9</v>
      </c>
      <c r="AO83">
        <v>131.80000000000001</v>
      </c>
      <c r="AP83">
        <v>129.4</v>
      </c>
      <c r="AQ83">
        <v>113.7</v>
      </c>
      <c r="AR83">
        <v>117.6</v>
      </c>
      <c r="AS83" s="47"/>
      <c r="AT83" s="48"/>
    </row>
    <row r="84" spans="31:46" x14ac:dyDescent="0.25">
      <c r="AE84" s="44">
        <v>410</v>
      </c>
      <c r="AF84">
        <v>3390</v>
      </c>
      <c r="AG84">
        <v>3401</v>
      </c>
      <c r="AH84">
        <v>3412</v>
      </c>
      <c r="AI84">
        <v>3401</v>
      </c>
      <c r="AJ84">
        <v>3.1099999999999999E-2</v>
      </c>
      <c r="AK84">
        <v>6.08E-2</v>
      </c>
      <c r="AL84">
        <v>7.4200000000000002E-2</v>
      </c>
      <c r="AM84">
        <v>136.4</v>
      </c>
      <c r="AN84">
        <v>41.2</v>
      </c>
      <c r="AO84">
        <v>131.9</v>
      </c>
      <c r="AP84">
        <v>129.30000000000001</v>
      </c>
      <c r="AQ84">
        <v>113.9</v>
      </c>
      <c r="AR84">
        <v>117.6</v>
      </c>
      <c r="AS84" s="47"/>
      <c r="AT84" s="48"/>
    </row>
    <row r="85" spans="31:46" x14ac:dyDescent="0.25">
      <c r="AE85" s="44">
        <v>415</v>
      </c>
      <c r="AF85">
        <v>3411</v>
      </c>
      <c r="AG85">
        <v>3407</v>
      </c>
      <c r="AH85">
        <v>3413</v>
      </c>
      <c r="AI85">
        <v>3411</v>
      </c>
      <c r="AJ85">
        <v>3.1199999999999999E-2</v>
      </c>
      <c r="AK85">
        <v>6.0900000000000003E-2</v>
      </c>
      <c r="AL85">
        <v>7.4499999999999997E-2</v>
      </c>
      <c r="AM85">
        <v>136</v>
      </c>
      <c r="AN85">
        <v>41.2</v>
      </c>
      <c r="AO85">
        <v>131.6</v>
      </c>
      <c r="AP85">
        <v>128.9</v>
      </c>
      <c r="AQ85">
        <v>113.7</v>
      </c>
      <c r="AR85">
        <v>117.4</v>
      </c>
      <c r="AS85" s="47"/>
      <c r="AT85" s="48"/>
    </row>
    <row r="86" spans="31:46" x14ac:dyDescent="0.25">
      <c r="AE86" s="44">
        <v>420</v>
      </c>
      <c r="AF86">
        <v>3403</v>
      </c>
      <c r="AG86">
        <v>3403</v>
      </c>
      <c r="AH86">
        <v>3413</v>
      </c>
      <c r="AI86">
        <v>3406</v>
      </c>
      <c r="AJ86">
        <v>3.1199999999999999E-2</v>
      </c>
      <c r="AK86">
        <v>6.0900000000000003E-2</v>
      </c>
      <c r="AL86">
        <v>7.4399999999999994E-2</v>
      </c>
      <c r="AM86">
        <v>135.9</v>
      </c>
      <c r="AN86">
        <v>41.1</v>
      </c>
      <c r="AO86">
        <v>131.5</v>
      </c>
      <c r="AP86">
        <v>128.80000000000001</v>
      </c>
      <c r="AQ86">
        <v>113.6</v>
      </c>
      <c r="AR86">
        <v>117.3</v>
      </c>
      <c r="AS86" s="47"/>
      <c r="AT86" s="48"/>
    </row>
    <row r="87" spans="31:46" x14ac:dyDescent="0.25">
      <c r="AE87" s="44">
        <v>425</v>
      </c>
      <c r="AF87">
        <v>3400</v>
      </c>
      <c r="AG87">
        <v>3397</v>
      </c>
      <c r="AH87">
        <v>3403</v>
      </c>
      <c r="AI87">
        <v>3400</v>
      </c>
      <c r="AJ87">
        <v>3.1199999999999999E-2</v>
      </c>
      <c r="AK87">
        <v>6.0999999999999999E-2</v>
      </c>
      <c r="AL87">
        <v>7.4499999999999997E-2</v>
      </c>
      <c r="AM87">
        <v>135.80000000000001</v>
      </c>
      <c r="AN87">
        <v>41.2</v>
      </c>
      <c r="AO87">
        <v>131.4</v>
      </c>
      <c r="AP87">
        <v>128.80000000000001</v>
      </c>
      <c r="AQ87">
        <v>113.6</v>
      </c>
      <c r="AR87">
        <v>117.4</v>
      </c>
      <c r="AS87" s="47"/>
      <c r="AT87" s="48"/>
    </row>
    <row r="88" spans="31:46" x14ac:dyDescent="0.25">
      <c r="AE88" s="44">
        <v>430</v>
      </c>
      <c r="AF88">
        <v>3413</v>
      </c>
      <c r="AG88">
        <v>3413</v>
      </c>
      <c r="AH88">
        <v>3420</v>
      </c>
      <c r="AI88">
        <v>3415</v>
      </c>
      <c r="AJ88">
        <v>3.1199999999999999E-2</v>
      </c>
      <c r="AK88">
        <v>6.0999999999999999E-2</v>
      </c>
      <c r="AL88">
        <v>7.4399999999999994E-2</v>
      </c>
      <c r="AM88">
        <v>135.69999999999999</v>
      </c>
      <c r="AN88">
        <v>41.2</v>
      </c>
      <c r="AO88">
        <v>131.4</v>
      </c>
      <c r="AP88">
        <v>128.80000000000001</v>
      </c>
      <c r="AQ88">
        <v>113.6</v>
      </c>
      <c r="AR88">
        <v>117.2</v>
      </c>
      <c r="AS88" s="47"/>
      <c r="AT88" s="48"/>
    </row>
    <row r="89" spans="31:46" x14ac:dyDescent="0.25">
      <c r="AE89" s="44">
        <v>435</v>
      </c>
      <c r="AF89">
        <v>3404</v>
      </c>
      <c r="AG89">
        <v>3404</v>
      </c>
      <c r="AH89">
        <v>3410</v>
      </c>
      <c r="AI89">
        <v>3406</v>
      </c>
      <c r="AJ89">
        <v>3.1199999999999999E-2</v>
      </c>
      <c r="AK89">
        <v>6.0999999999999999E-2</v>
      </c>
      <c r="AL89">
        <v>7.4499999999999997E-2</v>
      </c>
      <c r="AM89">
        <v>135.80000000000001</v>
      </c>
      <c r="AN89">
        <v>41.1</v>
      </c>
      <c r="AO89">
        <v>131.19999999999999</v>
      </c>
      <c r="AP89">
        <v>128.6</v>
      </c>
      <c r="AQ89">
        <v>113.2</v>
      </c>
      <c r="AR89">
        <v>117.2</v>
      </c>
      <c r="AS89" s="47"/>
      <c r="AT89" s="48"/>
    </row>
    <row r="90" spans="31:46" x14ac:dyDescent="0.25">
      <c r="AE90" s="44">
        <v>440</v>
      </c>
      <c r="AF90">
        <v>3409</v>
      </c>
      <c r="AG90">
        <v>3412</v>
      </c>
      <c r="AH90">
        <v>3410</v>
      </c>
      <c r="AI90">
        <v>3410</v>
      </c>
      <c r="AJ90">
        <v>3.1099999999999999E-2</v>
      </c>
      <c r="AK90">
        <v>6.08E-2</v>
      </c>
      <c r="AL90">
        <v>7.4499999999999997E-2</v>
      </c>
      <c r="AM90">
        <v>135.69999999999999</v>
      </c>
      <c r="AN90">
        <v>41</v>
      </c>
      <c r="AO90">
        <v>131.30000000000001</v>
      </c>
      <c r="AP90">
        <v>128.69999999999999</v>
      </c>
      <c r="AQ90">
        <v>113.5</v>
      </c>
      <c r="AR90">
        <v>117.1</v>
      </c>
      <c r="AS90" s="47"/>
      <c r="AT90" s="48"/>
    </row>
    <row r="91" spans="31:46" x14ac:dyDescent="0.25">
      <c r="AE91" s="44">
        <v>445</v>
      </c>
      <c r="AF91">
        <v>3425</v>
      </c>
      <c r="AG91">
        <v>3424</v>
      </c>
      <c r="AH91">
        <v>3429</v>
      </c>
      <c r="AI91">
        <v>3426</v>
      </c>
      <c r="AJ91">
        <v>3.1199999999999999E-2</v>
      </c>
      <c r="AK91">
        <v>6.1100000000000002E-2</v>
      </c>
      <c r="AL91">
        <v>7.4499999999999997E-2</v>
      </c>
      <c r="AM91">
        <v>135.80000000000001</v>
      </c>
      <c r="AN91">
        <v>40.799999999999997</v>
      </c>
      <c r="AO91">
        <v>131.4</v>
      </c>
      <c r="AP91">
        <v>128.80000000000001</v>
      </c>
      <c r="AQ91">
        <v>113.6</v>
      </c>
      <c r="AR91">
        <v>117.3</v>
      </c>
      <c r="AS91" s="47"/>
      <c r="AT91" s="48"/>
    </row>
    <row r="92" spans="31:46" x14ac:dyDescent="0.25">
      <c r="AE92" s="45">
        <v>450</v>
      </c>
      <c r="AF92" s="12">
        <v>3420</v>
      </c>
      <c r="AG92" s="12">
        <v>3414</v>
      </c>
      <c r="AH92" s="12">
        <v>3420</v>
      </c>
      <c r="AI92" s="12">
        <v>3418</v>
      </c>
      <c r="AJ92" s="12">
        <v>3.1300000000000001E-2</v>
      </c>
      <c r="AK92" s="12">
        <v>6.1199999999999997E-2</v>
      </c>
      <c r="AL92" s="12">
        <v>7.4399999999999994E-2</v>
      </c>
      <c r="AM92" s="12">
        <v>136</v>
      </c>
      <c r="AN92" s="12">
        <v>40.9</v>
      </c>
      <c r="AO92" s="12">
        <v>131.69999999999999</v>
      </c>
      <c r="AP92" s="12">
        <v>129.30000000000001</v>
      </c>
      <c r="AQ92" s="12">
        <v>113.7</v>
      </c>
      <c r="AR92" s="12">
        <v>117.4</v>
      </c>
      <c r="AS92" s="47">
        <f>AM92-AN92</f>
        <v>95.1</v>
      </c>
      <c r="AT92" s="48">
        <f>AR92-AN92</f>
        <v>76.5</v>
      </c>
    </row>
  </sheetData>
  <mergeCells count="8">
    <mergeCell ref="Q27:U27"/>
    <mergeCell ref="Q32:T34"/>
    <mergeCell ref="AE1:AU1"/>
    <mergeCell ref="Q16:U16"/>
    <mergeCell ref="A1:P1"/>
    <mergeCell ref="Q3:U3"/>
    <mergeCell ref="Q21:U21"/>
    <mergeCell ref="Q9:U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2"/>
  <sheetViews>
    <sheetView workbookViewId="0">
      <selection activeCell="R16" sqref="R16"/>
    </sheetView>
  </sheetViews>
  <sheetFormatPr defaultRowHeight="15" x14ac:dyDescent="0.25"/>
  <sheetData>
    <row r="1" spans="1:42" x14ac:dyDescent="0.25">
      <c r="A1" s="179" t="s">
        <v>78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AB1" s="179" t="s">
        <v>79</v>
      </c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</row>
    <row r="2" spans="1:42" x14ac:dyDescent="0.25">
      <c r="A2" s="44" t="s">
        <v>27</v>
      </c>
      <c r="B2" t="s">
        <v>65</v>
      </c>
      <c r="C2" t="s">
        <v>57</v>
      </c>
      <c r="D2" t="s">
        <v>66</v>
      </c>
      <c r="E2" t="s">
        <v>28</v>
      </c>
      <c r="F2" t="s">
        <v>44</v>
      </c>
      <c r="G2" t="s">
        <v>45</v>
      </c>
      <c r="H2" t="s">
        <v>46</v>
      </c>
      <c r="I2" t="s">
        <v>53</v>
      </c>
      <c r="J2" t="s">
        <v>47</v>
      </c>
      <c r="K2" t="s">
        <v>48</v>
      </c>
      <c r="L2" t="s">
        <v>32</v>
      </c>
      <c r="M2" t="s">
        <v>54</v>
      </c>
      <c r="N2" s="53" t="s">
        <v>34</v>
      </c>
      <c r="P2" s="182" t="s">
        <v>82</v>
      </c>
      <c r="Q2" s="182"/>
      <c r="R2" s="182"/>
      <c r="S2" s="182"/>
      <c r="T2" s="182"/>
      <c r="AB2" t="s">
        <v>27</v>
      </c>
      <c r="AC2" t="s">
        <v>65</v>
      </c>
      <c r="AD2" t="s">
        <v>57</v>
      </c>
      <c r="AE2" t="s">
        <v>66</v>
      </c>
      <c r="AF2" t="s">
        <v>28</v>
      </c>
      <c r="AG2" t="s">
        <v>44</v>
      </c>
      <c r="AH2" t="s">
        <v>45</v>
      </c>
      <c r="AI2" t="s">
        <v>46</v>
      </c>
      <c r="AJ2" t="s">
        <v>53</v>
      </c>
      <c r="AK2" t="s">
        <v>47</v>
      </c>
      <c r="AL2" t="s">
        <v>48</v>
      </c>
      <c r="AM2" t="s">
        <v>32</v>
      </c>
      <c r="AN2" t="s">
        <v>54</v>
      </c>
      <c r="AO2" s="53" t="s">
        <v>34</v>
      </c>
    </row>
    <row r="3" spans="1:42" x14ac:dyDescent="0.25">
      <c r="A3" s="44">
        <v>5</v>
      </c>
      <c r="B3">
        <v>1</v>
      </c>
      <c r="C3">
        <v>1</v>
      </c>
      <c r="D3">
        <v>1</v>
      </c>
      <c r="E3">
        <v>1</v>
      </c>
      <c r="I3">
        <v>23.5</v>
      </c>
      <c r="J3">
        <v>21.7</v>
      </c>
      <c r="K3">
        <v>22.7</v>
      </c>
      <c r="L3">
        <v>22.1</v>
      </c>
      <c r="M3">
        <v>22</v>
      </c>
      <c r="N3" s="54"/>
      <c r="P3" s="47">
        <v>20.9</v>
      </c>
      <c r="Q3" s="47">
        <v>26.4</v>
      </c>
      <c r="R3" s="47">
        <v>39.700000000000003</v>
      </c>
      <c r="S3" s="47">
        <v>43.1</v>
      </c>
      <c r="T3" s="47">
        <v>71.7</v>
      </c>
      <c r="AB3">
        <v>5</v>
      </c>
      <c r="AC3">
        <v>1</v>
      </c>
      <c r="AD3">
        <v>1</v>
      </c>
      <c r="AE3">
        <v>1</v>
      </c>
      <c r="AF3">
        <v>1</v>
      </c>
      <c r="AJ3">
        <v>25.8</v>
      </c>
      <c r="AK3">
        <v>25.4</v>
      </c>
      <c r="AL3">
        <v>26.3</v>
      </c>
      <c r="AM3">
        <v>25.6</v>
      </c>
      <c r="AN3">
        <v>25.6</v>
      </c>
      <c r="AO3" s="54"/>
    </row>
    <row r="4" spans="1:42" x14ac:dyDescent="0.25">
      <c r="A4" s="44">
        <v>10</v>
      </c>
      <c r="B4">
        <v>1527</v>
      </c>
      <c r="C4">
        <v>1551</v>
      </c>
      <c r="D4">
        <v>1530</v>
      </c>
      <c r="E4">
        <v>1536</v>
      </c>
      <c r="F4">
        <v>1.72E-2</v>
      </c>
      <c r="G4">
        <v>4.4299999999999999E-2</v>
      </c>
      <c r="H4">
        <v>5.1999999999999998E-2</v>
      </c>
      <c r="I4">
        <v>24</v>
      </c>
      <c r="J4">
        <v>22.3</v>
      </c>
      <c r="K4">
        <v>24.3</v>
      </c>
      <c r="L4">
        <v>24.1</v>
      </c>
      <c r="M4">
        <v>24</v>
      </c>
      <c r="N4" s="54"/>
      <c r="P4" s="47">
        <v>1607</v>
      </c>
      <c r="Q4" s="47">
        <v>2023</v>
      </c>
      <c r="R4" s="47">
        <v>2312</v>
      </c>
      <c r="S4" s="47">
        <v>2526</v>
      </c>
      <c r="T4" s="47">
        <v>3213</v>
      </c>
      <c r="AB4">
        <v>10</v>
      </c>
      <c r="AC4">
        <v>1623</v>
      </c>
      <c r="AD4">
        <v>1618</v>
      </c>
      <c r="AE4">
        <v>1620</v>
      </c>
      <c r="AF4">
        <v>1620</v>
      </c>
      <c r="AG4">
        <v>1.77E-2</v>
      </c>
      <c r="AH4">
        <v>4.48E-2</v>
      </c>
      <c r="AI4">
        <v>5.2499999999999998E-2</v>
      </c>
      <c r="AJ4">
        <v>28.9</v>
      </c>
      <c r="AK4">
        <v>25.9</v>
      </c>
      <c r="AL4">
        <v>29.4</v>
      </c>
      <c r="AM4">
        <v>28.5</v>
      </c>
      <c r="AN4">
        <v>28.7</v>
      </c>
      <c r="AO4" s="54"/>
    </row>
    <row r="5" spans="1:42" x14ac:dyDescent="0.25">
      <c r="A5" s="44">
        <v>15</v>
      </c>
      <c r="B5">
        <v>1522</v>
      </c>
      <c r="C5">
        <v>1548</v>
      </c>
      <c r="D5">
        <v>1525</v>
      </c>
      <c r="E5">
        <v>1531</v>
      </c>
      <c r="F5">
        <v>1.7399999999999999E-2</v>
      </c>
      <c r="G5">
        <v>4.41E-2</v>
      </c>
      <c r="H5">
        <v>5.21E-2</v>
      </c>
      <c r="I5">
        <v>28.1</v>
      </c>
      <c r="J5">
        <v>29.7</v>
      </c>
      <c r="K5">
        <v>28.3</v>
      </c>
      <c r="L5">
        <v>28.4</v>
      </c>
      <c r="M5">
        <v>28.3</v>
      </c>
      <c r="N5" s="54"/>
      <c r="AB5">
        <v>15</v>
      </c>
      <c r="AC5">
        <v>1615</v>
      </c>
      <c r="AD5">
        <v>1619</v>
      </c>
      <c r="AE5">
        <v>1629</v>
      </c>
      <c r="AF5">
        <v>1621</v>
      </c>
      <c r="AG5">
        <v>1.7899999999999999E-2</v>
      </c>
      <c r="AH5">
        <v>4.48E-2</v>
      </c>
      <c r="AI5">
        <v>5.2600000000000001E-2</v>
      </c>
      <c r="AJ5">
        <v>31.9</v>
      </c>
      <c r="AK5">
        <v>26.4</v>
      </c>
      <c r="AL5">
        <v>32.4</v>
      </c>
      <c r="AM5">
        <v>31.3</v>
      </c>
      <c r="AN5">
        <v>31.5</v>
      </c>
      <c r="AO5" s="54"/>
    </row>
    <row r="6" spans="1:42" x14ac:dyDescent="0.25">
      <c r="A6" s="44">
        <v>20</v>
      </c>
      <c r="B6">
        <v>1512</v>
      </c>
      <c r="C6">
        <v>1537</v>
      </c>
      <c r="D6">
        <v>1517</v>
      </c>
      <c r="E6">
        <v>1522</v>
      </c>
      <c r="F6">
        <v>1.7600000000000001E-2</v>
      </c>
      <c r="G6">
        <v>4.4299999999999999E-2</v>
      </c>
      <c r="H6">
        <v>5.2200000000000003E-2</v>
      </c>
      <c r="I6">
        <v>31.2</v>
      </c>
      <c r="J6">
        <v>31.9</v>
      </c>
      <c r="K6">
        <v>31.4</v>
      </c>
      <c r="L6">
        <v>31.6</v>
      </c>
      <c r="M6">
        <v>31.4</v>
      </c>
      <c r="N6" s="54"/>
      <c r="AB6">
        <v>20</v>
      </c>
      <c r="AC6">
        <v>1624</v>
      </c>
      <c r="AD6">
        <v>1623</v>
      </c>
      <c r="AE6">
        <v>1628</v>
      </c>
      <c r="AF6">
        <v>1625</v>
      </c>
      <c r="AG6">
        <v>1.7999999999999999E-2</v>
      </c>
      <c r="AH6">
        <v>4.4699999999999997E-2</v>
      </c>
      <c r="AI6">
        <v>5.2699999999999997E-2</v>
      </c>
      <c r="AJ6">
        <v>34.1</v>
      </c>
      <c r="AK6">
        <v>26.7</v>
      </c>
      <c r="AL6">
        <v>34.799999999999997</v>
      </c>
      <c r="AM6">
        <v>33.5</v>
      </c>
      <c r="AN6">
        <v>33.799999999999997</v>
      </c>
      <c r="AO6" s="54"/>
    </row>
    <row r="7" spans="1:42" x14ac:dyDescent="0.25">
      <c r="A7" s="44">
        <v>25</v>
      </c>
      <c r="B7">
        <v>1517</v>
      </c>
      <c r="C7">
        <v>1538</v>
      </c>
      <c r="D7">
        <v>1518</v>
      </c>
      <c r="E7">
        <v>1525</v>
      </c>
      <c r="F7">
        <v>1.78E-2</v>
      </c>
      <c r="G7">
        <v>4.4400000000000002E-2</v>
      </c>
      <c r="H7">
        <v>5.2299999999999999E-2</v>
      </c>
      <c r="I7">
        <v>33.799999999999997</v>
      </c>
      <c r="J7">
        <v>33</v>
      </c>
      <c r="K7">
        <v>34</v>
      </c>
      <c r="L7">
        <v>34.299999999999997</v>
      </c>
      <c r="M7">
        <v>34.200000000000003</v>
      </c>
      <c r="N7" s="54"/>
      <c r="AB7">
        <v>25</v>
      </c>
      <c r="AC7">
        <v>1623</v>
      </c>
      <c r="AD7">
        <v>1624</v>
      </c>
      <c r="AE7">
        <v>1627</v>
      </c>
      <c r="AF7">
        <v>1625</v>
      </c>
      <c r="AG7">
        <v>1.8100000000000002E-2</v>
      </c>
      <c r="AH7">
        <v>4.48E-2</v>
      </c>
      <c r="AI7">
        <v>5.2699999999999997E-2</v>
      </c>
      <c r="AJ7">
        <v>36.1</v>
      </c>
      <c r="AK7">
        <v>27</v>
      </c>
      <c r="AL7">
        <v>37</v>
      </c>
      <c r="AM7">
        <v>35.4</v>
      </c>
      <c r="AN7">
        <v>35.799999999999997</v>
      </c>
      <c r="AO7" s="54"/>
    </row>
    <row r="8" spans="1:42" x14ac:dyDescent="0.25">
      <c r="A8" s="44">
        <v>30</v>
      </c>
      <c r="B8">
        <v>2012</v>
      </c>
      <c r="C8">
        <v>2013</v>
      </c>
      <c r="D8">
        <v>2010</v>
      </c>
      <c r="E8">
        <v>2012</v>
      </c>
      <c r="F8">
        <v>1.8200000000000001E-2</v>
      </c>
      <c r="G8">
        <v>4.4900000000000002E-2</v>
      </c>
      <c r="H8">
        <v>5.2600000000000001E-2</v>
      </c>
      <c r="I8">
        <v>37.5</v>
      </c>
      <c r="J8">
        <v>33.799999999999997</v>
      </c>
      <c r="K8">
        <v>37.700000000000003</v>
      </c>
      <c r="L8">
        <v>37.9</v>
      </c>
      <c r="M8">
        <v>37.799999999999997</v>
      </c>
      <c r="N8" s="54"/>
      <c r="P8" s="52" t="s">
        <v>80</v>
      </c>
      <c r="AB8">
        <v>30</v>
      </c>
      <c r="AC8">
        <v>1622</v>
      </c>
      <c r="AD8">
        <v>1624</v>
      </c>
      <c r="AE8">
        <v>1629</v>
      </c>
      <c r="AF8">
        <v>1625</v>
      </c>
      <c r="AG8">
        <v>1.83E-2</v>
      </c>
      <c r="AH8">
        <v>4.48E-2</v>
      </c>
      <c r="AI8">
        <v>5.28E-2</v>
      </c>
      <c r="AJ8">
        <v>37.799999999999997</v>
      </c>
      <c r="AK8">
        <v>27.2</v>
      </c>
      <c r="AL8">
        <v>38.799999999999997</v>
      </c>
      <c r="AM8">
        <v>36.9</v>
      </c>
      <c r="AN8">
        <v>37.5</v>
      </c>
      <c r="AO8" s="54"/>
    </row>
    <row r="9" spans="1:42" x14ac:dyDescent="0.25">
      <c r="A9" s="44">
        <v>35</v>
      </c>
      <c r="B9">
        <v>2022</v>
      </c>
      <c r="C9">
        <v>2024</v>
      </c>
      <c r="D9">
        <v>2024</v>
      </c>
      <c r="E9">
        <v>2022</v>
      </c>
      <c r="F9">
        <v>1.84E-2</v>
      </c>
      <c r="G9">
        <v>4.4900000000000002E-2</v>
      </c>
      <c r="H9">
        <v>5.2699999999999997E-2</v>
      </c>
      <c r="I9">
        <v>41</v>
      </c>
      <c r="J9">
        <v>34.4</v>
      </c>
      <c r="K9">
        <v>41.5</v>
      </c>
      <c r="L9">
        <v>41.6</v>
      </c>
      <c r="M9">
        <v>41.8</v>
      </c>
      <c r="N9" s="54"/>
      <c r="P9" s="185" t="s">
        <v>83</v>
      </c>
      <c r="Q9" s="185"/>
      <c r="R9" s="185"/>
      <c r="AB9">
        <v>35</v>
      </c>
      <c r="AC9">
        <v>1633</v>
      </c>
      <c r="AD9">
        <v>1635</v>
      </c>
      <c r="AE9">
        <v>1640</v>
      </c>
      <c r="AF9">
        <v>1636</v>
      </c>
      <c r="AG9">
        <v>1.83E-2</v>
      </c>
      <c r="AH9">
        <v>4.4699999999999997E-2</v>
      </c>
      <c r="AI9">
        <v>5.28E-2</v>
      </c>
      <c r="AJ9">
        <v>39.299999999999997</v>
      </c>
      <c r="AK9">
        <v>27.5</v>
      </c>
      <c r="AL9">
        <v>40.4</v>
      </c>
      <c r="AM9">
        <v>38.299999999999997</v>
      </c>
      <c r="AN9">
        <v>39</v>
      </c>
      <c r="AO9" s="54"/>
    </row>
    <row r="10" spans="1:42" x14ac:dyDescent="0.25">
      <c r="A10" s="44">
        <v>40</v>
      </c>
      <c r="B10">
        <v>2014</v>
      </c>
      <c r="C10">
        <v>2016</v>
      </c>
      <c r="D10">
        <v>2022</v>
      </c>
      <c r="E10">
        <v>2017</v>
      </c>
      <c r="F10">
        <v>1.8700000000000001E-2</v>
      </c>
      <c r="G10">
        <v>4.5199999999999997E-2</v>
      </c>
      <c r="H10">
        <v>5.3100000000000001E-2</v>
      </c>
      <c r="I10">
        <v>43.9</v>
      </c>
      <c r="J10">
        <v>34.9</v>
      </c>
      <c r="K10">
        <v>44.6</v>
      </c>
      <c r="L10">
        <v>44.7</v>
      </c>
      <c r="M10">
        <v>44.9</v>
      </c>
      <c r="N10" s="54"/>
      <c r="P10" s="48">
        <v>30</v>
      </c>
      <c r="Q10" s="48">
        <v>50</v>
      </c>
      <c r="R10" s="48">
        <v>70</v>
      </c>
      <c r="AB10">
        <v>40</v>
      </c>
      <c r="AC10">
        <v>1614</v>
      </c>
      <c r="AD10">
        <v>1616</v>
      </c>
      <c r="AE10">
        <v>1623</v>
      </c>
      <c r="AF10">
        <v>1618</v>
      </c>
      <c r="AG10">
        <v>1.84E-2</v>
      </c>
      <c r="AH10">
        <v>4.48E-2</v>
      </c>
      <c r="AI10">
        <v>5.28E-2</v>
      </c>
      <c r="AJ10">
        <v>40.5</v>
      </c>
      <c r="AK10">
        <v>27.6</v>
      </c>
      <c r="AL10">
        <v>41.7</v>
      </c>
      <c r="AM10">
        <v>39.5</v>
      </c>
      <c r="AN10">
        <v>40.4</v>
      </c>
      <c r="AO10" s="54"/>
    </row>
    <row r="11" spans="1:42" x14ac:dyDescent="0.25">
      <c r="A11" s="44">
        <v>45</v>
      </c>
      <c r="B11">
        <v>2029</v>
      </c>
      <c r="C11">
        <v>2038</v>
      </c>
      <c r="D11">
        <v>2038</v>
      </c>
      <c r="E11">
        <v>2034</v>
      </c>
      <c r="F11">
        <v>1.89E-2</v>
      </c>
      <c r="G11">
        <v>4.4900000000000002E-2</v>
      </c>
      <c r="H11">
        <v>5.2900000000000003E-2</v>
      </c>
      <c r="I11">
        <v>46.3</v>
      </c>
      <c r="J11">
        <v>35.299999999999997</v>
      </c>
      <c r="K11">
        <v>47.2</v>
      </c>
      <c r="L11">
        <v>47.1</v>
      </c>
      <c r="M11">
        <v>47.6</v>
      </c>
      <c r="N11" s="54"/>
      <c r="P11" s="55">
        <f>331.88*P10^0.5339</f>
        <v>2039.9340132428263</v>
      </c>
      <c r="Q11" s="55">
        <f t="shared" ref="Q11:R11" si="0">331.88*Q10^0.5339</f>
        <v>2679.5456897746426</v>
      </c>
      <c r="R11" s="55">
        <f t="shared" si="0"/>
        <v>3206.8520575531752</v>
      </c>
      <c r="AB11">
        <v>45</v>
      </c>
      <c r="AC11">
        <v>1627</v>
      </c>
      <c r="AD11">
        <v>1630</v>
      </c>
      <c r="AE11">
        <v>1641</v>
      </c>
      <c r="AF11">
        <v>1633</v>
      </c>
      <c r="AG11">
        <v>1.8499999999999999E-2</v>
      </c>
      <c r="AH11">
        <v>4.48E-2</v>
      </c>
      <c r="AI11">
        <v>5.2900000000000003E-2</v>
      </c>
      <c r="AJ11">
        <v>41.7</v>
      </c>
      <c r="AK11">
        <v>28</v>
      </c>
      <c r="AL11">
        <v>43.1</v>
      </c>
      <c r="AM11">
        <v>40.6</v>
      </c>
      <c r="AN11">
        <v>41.5</v>
      </c>
      <c r="AO11" s="54"/>
    </row>
    <row r="12" spans="1:42" x14ac:dyDescent="0.25">
      <c r="A12" s="44">
        <v>50</v>
      </c>
      <c r="B12">
        <v>2029</v>
      </c>
      <c r="C12">
        <v>2031</v>
      </c>
      <c r="D12">
        <v>2038</v>
      </c>
      <c r="E12">
        <v>2033</v>
      </c>
      <c r="F12">
        <v>1.9E-2</v>
      </c>
      <c r="G12">
        <v>4.5100000000000001E-2</v>
      </c>
      <c r="H12">
        <v>5.2999999999999999E-2</v>
      </c>
      <c r="I12">
        <v>48.4</v>
      </c>
      <c r="J12">
        <v>35.700000000000003</v>
      </c>
      <c r="K12">
        <v>49.4</v>
      </c>
      <c r="L12">
        <v>49.3</v>
      </c>
      <c r="M12">
        <v>49.8</v>
      </c>
      <c r="N12" s="54"/>
      <c r="AB12">
        <v>50</v>
      </c>
      <c r="AC12">
        <v>1622</v>
      </c>
      <c r="AD12">
        <v>1625</v>
      </c>
      <c r="AE12">
        <v>1641</v>
      </c>
      <c r="AF12">
        <v>1630</v>
      </c>
      <c r="AG12">
        <v>1.8599999999999998E-2</v>
      </c>
      <c r="AH12">
        <v>4.4900000000000002E-2</v>
      </c>
      <c r="AI12">
        <v>5.2999999999999999E-2</v>
      </c>
      <c r="AJ12">
        <v>43</v>
      </c>
      <c r="AK12">
        <v>28.3</v>
      </c>
      <c r="AL12">
        <v>44.3</v>
      </c>
      <c r="AM12">
        <v>41.6</v>
      </c>
      <c r="AN12">
        <v>42.7</v>
      </c>
      <c r="AO12" s="54"/>
    </row>
    <row r="13" spans="1:42" x14ac:dyDescent="0.25">
      <c r="A13" s="44">
        <v>55</v>
      </c>
      <c r="B13">
        <v>2019</v>
      </c>
      <c r="C13">
        <v>2026</v>
      </c>
      <c r="D13">
        <v>2030</v>
      </c>
      <c r="E13">
        <v>2025</v>
      </c>
      <c r="F13">
        <v>1.9199999999999998E-2</v>
      </c>
      <c r="G13">
        <v>4.4900000000000002E-2</v>
      </c>
      <c r="H13">
        <v>5.3100000000000001E-2</v>
      </c>
      <c r="I13">
        <v>50.3</v>
      </c>
      <c r="J13">
        <v>36</v>
      </c>
      <c r="K13">
        <v>51.5</v>
      </c>
      <c r="L13">
        <v>51.3</v>
      </c>
      <c r="M13">
        <v>52</v>
      </c>
      <c r="N13" s="54"/>
      <c r="AB13">
        <v>55</v>
      </c>
      <c r="AC13">
        <v>1616</v>
      </c>
      <c r="AD13">
        <v>1621</v>
      </c>
      <c r="AE13">
        <v>1630</v>
      </c>
      <c r="AF13">
        <v>1623</v>
      </c>
      <c r="AG13">
        <v>1.8700000000000001E-2</v>
      </c>
      <c r="AH13">
        <v>4.4900000000000002E-2</v>
      </c>
      <c r="AI13">
        <v>5.2900000000000003E-2</v>
      </c>
      <c r="AJ13">
        <v>44</v>
      </c>
      <c r="AK13">
        <v>28.6</v>
      </c>
      <c r="AL13">
        <v>45.5</v>
      </c>
      <c r="AM13">
        <v>42.5</v>
      </c>
      <c r="AN13">
        <v>43.8</v>
      </c>
      <c r="AO13" s="54"/>
    </row>
    <row r="14" spans="1:42" x14ac:dyDescent="0.25">
      <c r="A14" s="44">
        <v>60</v>
      </c>
      <c r="B14">
        <v>2027</v>
      </c>
      <c r="C14">
        <v>2034</v>
      </c>
      <c r="D14">
        <v>2035</v>
      </c>
      <c r="E14">
        <v>2032</v>
      </c>
      <c r="F14">
        <v>1.9199999999999998E-2</v>
      </c>
      <c r="G14">
        <v>4.4900000000000002E-2</v>
      </c>
      <c r="H14">
        <v>5.3100000000000001E-2</v>
      </c>
      <c r="I14">
        <v>51.8</v>
      </c>
      <c r="J14">
        <v>36.4</v>
      </c>
      <c r="K14">
        <v>53.2</v>
      </c>
      <c r="L14">
        <v>52.7</v>
      </c>
      <c r="M14">
        <v>53.7</v>
      </c>
      <c r="N14" s="54"/>
      <c r="AB14">
        <v>60</v>
      </c>
      <c r="AC14">
        <v>1634</v>
      </c>
      <c r="AD14">
        <v>1637</v>
      </c>
      <c r="AE14">
        <v>1642</v>
      </c>
      <c r="AF14">
        <v>1638</v>
      </c>
      <c r="AG14">
        <v>1.8700000000000001E-2</v>
      </c>
      <c r="AH14">
        <v>4.4600000000000001E-2</v>
      </c>
      <c r="AI14">
        <v>5.3100000000000001E-2</v>
      </c>
      <c r="AJ14">
        <v>44.9</v>
      </c>
      <c r="AK14">
        <v>28.7</v>
      </c>
      <c r="AL14">
        <v>46.4</v>
      </c>
      <c r="AM14">
        <v>43.3</v>
      </c>
      <c r="AN14">
        <v>44.7</v>
      </c>
      <c r="AO14" s="54"/>
    </row>
    <row r="15" spans="1:42" x14ac:dyDescent="0.25">
      <c r="A15" s="44">
        <v>65</v>
      </c>
      <c r="B15">
        <v>2026</v>
      </c>
      <c r="C15">
        <v>2032</v>
      </c>
      <c r="D15">
        <v>2037</v>
      </c>
      <c r="E15">
        <v>2032</v>
      </c>
      <c r="F15">
        <v>1.9400000000000001E-2</v>
      </c>
      <c r="G15">
        <v>4.4999999999999998E-2</v>
      </c>
      <c r="H15">
        <v>5.3199999999999997E-2</v>
      </c>
      <c r="I15">
        <v>53.3</v>
      </c>
      <c r="J15">
        <v>36.6</v>
      </c>
      <c r="K15">
        <v>54.7</v>
      </c>
      <c r="L15">
        <v>54.4</v>
      </c>
      <c r="M15">
        <v>55.3</v>
      </c>
      <c r="N15" s="54"/>
      <c r="AB15">
        <v>65</v>
      </c>
      <c r="AC15">
        <v>1620</v>
      </c>
      <c r="AD15">
        <v>1627</v>
      </c>
      <c r="AE15">
        <v>1638</v>
      </c>
      <c r="AF15">
        <v>1628</v>
      </c>
      <c r="AG15">
        <v>1.8800000000000001E-2</v>
      </c>
      <c r="AH15">
        <v>4.4900000000000002E-2</v>
      </c>
      <c r="AI15">
        <v>5.2999999999999999E-2</v>
      </c>
      <c r="AJ15">
        <v>45.8</v>
      </c>
      <c r="AK15">
        <v>28.9</v>
      </c>
      <c r="AL15">
        <v>47.5</v>
      </c>
      <c r="AM15">
        <v>44.1</v>
      </c>
      <c r="AN15">
        <v>45.6</v>
      </c>
      <c r="AO15" s="54"/>
    </row>
    <row r="16" spans="1:42" x14ac:dyDescent="0.25">
      <c r="A16" s="44">
        <v>70</v>
      </c>
      <c r="B16">
        <v>2009</v>
      </c>
      <c r="C16">
        <v>2017</v>
      </c>
      <c r="D16">
        <v>2019</v>
      </c>
      <c r="E16">
        <v>2015</v>
      </c>
      <c r="F16">
        <v>1.9400000000000001E-2</v>
      </c>
      <c r="G16">
        <v>4.48E-2</v>
      </c>
      <c r="H16">
        <v>5.33E-2</v>
      </c>
      <c r="I16">
        <v>54.5</v>
      </c>
      <c r="J16">
        <v>36.799999999999997</v>
      </c>
      <c r="K16">
        <v>56</v>
      </c>
      <c r="L16">
        <v>55.5</v>
      </c>
      <c r="M16">
        <v>56.6</v>
      </c>
      <c r="N16" s="54"/>
      <c r="AB16">
        <v>70</v>
      </c>
      <c r="AC16">
        <v>1618</v>
      </c>
      <c r="AD16">
        <v>1625</v>
      </c>
      <c r="AE16">
        <v>1635</v>
      </c>
      <c r="AF16">
        <v>1626</v>
      </c>
      <c r="AG16">
        <v>1.89E-2</v>
      </c>
      <c r="AH16">
        <v>4.4900000000000002E-2</v>
      </c>
      <c r="AI16">
        <v>5.3100000000000001E-2</v>
      </c>
      <c r="AJ16">
        <v>46.6</v>
      </c>
      <c r="AK16">
        <v>29.1</v>
      </c>
      <c r="AL16">
        <v>48.3</v>
      </c>
      <c r="AM16">
        <v>44.8</v>
      </c>
      <c r="AN16">
        <v>46.4</v>
      </c>
      <c r="AO16" s="54"/>
    </row>
    <row r="17" spans="1:41" x14ac:dyDescent="0.25">
      <c r="A17" s="44">
        <v>75</v>
      </c>
      <c r="B17">
        <v>2012</v>
      </c>
      <c r="C17">
        <v>2017</v>
      </c>
      <c r="D17">
        <v>2026</v>
      </c>
      <c r="E17">
        <v>2018</v>
      </c>
      <c r="F17">
        <v>1.9599999999999999E-2</v>
      </c>
      <c r="G17">
        <v>4.5100000000000001E-2</v>
      </c>
      <c r="H17">
        <v>5.3400000000000003E-2</v>
      </c>
      <c r="I17">
        <v>55.5</v>
      </c>
      <c r="J17">
        <v>36.9</v>
      </c>
      <c r="K17">
        <v>57.1</v>
      </c>
      <c r="L17">
        <v>56.7</v>
      </c>
      <c r="M17">
        <v>57.8</v>
      </c>
      <c r="N17" s="54"/>
      <c r="AB17">
        <v>75</v>
      </c>
      <c r="AC17">
        <v>1608</v>
      </c>
      <c r="AD17">
        <v>1616</v>
      </c>
      <c r="AE17">
        <v>1629</v>
      </c>
      <c r="AF17">
        <v>1618</v>
      </c>
      <c r="AG17">
        <v>1.89E-2</v>
      </c>
      <c r="AH17">
        <v>4.4900000000000002E-2</v>
      </c>
      <c r="AI17">
        <v>5.3100000000000001E-2</v>
      </c>
      <c r="AJ17">
        <v>46.6</v>
      </c>
      <c r="AK17">
        <v>28.7</v>
      </c>
      <c r="AL17">
        <v>48.2</v>
      </c>
      <c r="AM17">
        <v>45</v>
      </c>
      <c r="AN17">
        <v>46.4</v>
      </c>
      <c r="AO17" s="54"/>
    </row>
    <row r="18" spans="1:41" x14ac:dyDescent="0.25">
      <c r="A18" s="44">
        <v>80</v>
      </c>
      <c r="B18">
        <v>2007</v>
      </c>
      <c r="C18">
        <v>2016</v>
      </c>
      <c r="D18">
        <v>2019</v>
      </c>
      <c r="E18">
        <v>2014</v>
      </c>
      <c r="F18">
        <v>1.9599999999999999E-2</v>
      </c>
      <c r="G18">
        <v>4.4900000000000002E-2</v>
      </c>
      <c r="H18">
        <v>5.33E-2</v>
      </c>
      <c r="I18">
        <v>56.4</v>
      </c>
      <c r="J18">
        <v>37.1</v>
      </c>
      <c r="K18">
        <v>58.1</v>
      </c>
      <c r="L18">
        <v>57.5</v>
      </c>
      <c r="M18">
        <v>58.7</v>
      </c>
      <c r="N18" s="54"/>
      <c r="AB18">
        <v>80</v>
      </c>
      <c r="AC18">
        <v>1615</v>
      </c>
      <c r="AD18">
        <v>1614</v>
      </c>
      <c r="AE18">
        <v>1625</v>
      </c>
      <c r="AF18">
        <v>1618</v>
      </c>
      <c r="AG18">
        <v>1.89E-2</v>
      </c>
      <c r="AH18">
        <v>4.5100000000000001E-2</v>
      </c>
      <c r="AI18">
        <v>5.33E-2</v>
      </c>
      <c r="AJ18">
        <v>46.2</v>
      </c>
      <c r="AK18">
        <v>27.9</v>
      </c>
      <c r="AL18">
        <v>47.8</v>
      </c>
      <c r="AM18">
        <v>44.9</v>
      </c>
      <c r="AN18">
        <v>46.2</v>
      </c>
      <c r="AO18" s="54"/>
    </row>
    <row r="19" spans="1:41" x14ac:dyDescent="0.25">
      <c r="A19" s="44">
        <v>85</v>
      </c>
      <c r="B19">
        <v>2019</v>
      </c>
      <c r="C19">
        <v>2026</v>
      </c>
      <c r="D19">
        <v>2028</v>
      </c>
      <c r="E19">
        <v>2024</v>
      </c>
      <c r="F19">
        <v>1.9699999999999999E-2</v>
      </c>
      <c r="G19">
        <v>4.4999999999999998E-2</v>
      </c>
      <c r="H19">
        <v>5.3400000000000003E-2</v>
      </c>
      <c r="I19">
        <v>57.2</v>
      </c>
      <c r="J19">
        <v>37.1</v>
      </c>
      <c r="K19">
        <v>59</v>
      </c>
      <c r="L19">
        <v>58.4</v>
      </c>
      <c r="M19">
        <v>59.6</v>
      </c>
      <c r="N19" s="54"/>
      <c r="AB19">
        <v>85</v>
      </c>
      <c r="AC19">
        <v>1628</v>
      </c>
      <c r="AD19">
        <v>1627</v>
      </c>
      <c r="AE19">
        <v>1638</v>
      </c>
      <c r="AF19">
        <v>1631</v>
      </c>
      <c r="AG19">
        <v>1.89E-2</v>
      </c>
      <c r="AH19">
        <v>4.4900000000000002E-2</v>
      </c>
      <c r="AI19">
        <v>5.3199999999999997E-2</v>
      </c>
      <c r="AJ19">
        <v>46.8</v>
      </c>
      <c r="AK19">
        <v>28.2</v>
      </c>
      <c r="AL19">
        <v>48.5</v>
      </c>
      <c r="AM19">
        <v>45.3</v>
      </c>
      <c r="AN19">
        <v>46.9</v>
      </c>
      <c r="AO19" s="54"/>
    </row>
    <row r="20" spans="1:41" x14ac:dyDescent="0.25">
      <c r="A20" s="44">
        <v>90</v>
      </c>
      <c r="B20">
        <v>2020</v>
      </c>
      <c r="C20">
        <v>2025</v>
      </c>
      <c r="D20">
        <v>2028</v>
      </c>
      <c r="E20">
        <v>2024</v>
      </c>
      <c r="F20">
        <v>1.9800000000000002E-2</v>
      </c>
      <c r="G20">
        <v>4.4999999999999998E-2</v>
      </c>
      <c r="H20">
        <v>5.3400000000000003E-2</v>
      </c>
      <c r="I20">
        <v>58</v>
      </c>
      <c r="J20">
        <v>37.299999999999997</v>
      </c>
      <c r="K20">
        <v>59.8</v>
      </c>
      <c r="L20">
        <v>59.1</v>
      </c>
      <c r="M20">
        <v>60.5</v>
      </c>
      <c r="N20" s="54"/>
      <c r="P20" s="186" t="s">
        <v>84</v>
      </c>
      <c r="Q20" s="186"/>
      <c r="R20" s="186"/>
      <c r="AB20">
        <v>90</v>
      </c>
      <c r="AC20">
        <v>1618</v>
      </c>
      <c r="AD20">
        <v>1625</v>
      </c>
      <c r="AE20">
        <v>1639</v>
      </c>
      <c r="AF20">
        <v>1627</v>
      </c>
      <c r="AG20">
        <v>1.89E-2</v>
      </c>
      <c r="AH20">
        <v>4.4999999999999998E-2</v>
      </c>
      <c r="AI20">
        <v>5.3199999999999997E-2</v>
      </c>
      <c r="AJ20">
        <v>47</v>
      </c>
      <c r="AK20">
        <v>28.3</v>
      </c>
      <c r="AL20">
        <v>48.7</v>
      </c>
      <c r="AM20">
        <v>45.6</v>
      </c>
      <c r="AN20">
        <v>47.1</v>
      </c>
      <c r="AO20" s="54"/>
    </row>
    <row r="21" spans="1:41" x14ac:dyDescent="0.25">
      <c r="A21" s="44">
        <v>95</v>
      </c>
      <c r="B21">
        <v>2013</v>
      </c>
      <c r="C21">
        <v>2022</v>
      </c>
      <c r="D21">
        <v>2029</v>
      </c>
      <c r="E21">
        <v>2021</v>
      </c>
      <c r="F21">
        <v>1.9800000000000002E-2</v>
      </c>
      <c r="G21">
        <v>4.4999999999999998E-2</v>
      </c>
      <c r="H21">
        <v>5.3499999999999999E-2</v>
      </c>
      <c r="I21">
        <v>58.7</v>
      </c>
      <c r="J21">
        <v>37.4</v>
      </c>
      <c r="K21">
        <v>60.5</v>
      </c>
      <c r="L21">
        <v>59.7</v>
      </c>
      <c r="M21">
        <v>61.1</v>
      </c>
      <c r="N21" s="54"/>
      <c r="P21" s="186"/>
      <c r="Q21" s="186"/>
      <c r="R21" s="186"/>
      <c r="AB21">
        <v>95</v>
      </c>
      <c r="AC21">
        <v>1611</v>
      </c>
      <c r="AD21">
        <v>1615</v>
      </c>
      <c r="AE21">
        <v>1628</v>
      </c>
      <c r="AF21">
        <v>1618</v>
      </c>
      <c r="AG21">
        <v>1.9099999999999999E-2</v>
      </c>
      <c r="AH21">
        <v>4.53E-2</v>
      </c>
      <c r="AI21">
        <v>5.3600000000000002E-2</v>
      </c>
      <c r="AJ21">
        <v>47.2</v>
      </c>
      <c r="AK21">
        <v>28.1</v>
      </c>
      <c r="AL21">
        <v>48.8</v>
      </c>
      <c r="AM21">
        <v>45.7</v>
      </c>
      <c r="AN21">
        <v>47.1</v>
      </c>
      <c r="AO21" s="54"/>
    </row>
    <row r="22" spans="1:41" x14ac:dyDescent="0.25">
      <c r="A22" s="44">
        <v>100</v>
      </c>
      <c r="B22">
        <v>2014</v>
      </c>
      <c r="C22">
        <v>2021</v>
      </c>
      <c r="D22">
        <v>2030</v>
      </c>
      <c r="E22">
        <v>2022</v>
      </c>
      <c r="F22">
        <v>1.9800000000000002E-2</v>
      </c>
      <c r="G22">
        <v>4.4999999999999998E-2</v>
      </c>
      <c r="H22">
        <v>5.3400000000000003E-2</v>
      </c>
      <c r="I22">
        <v>59.3</v>
      </c>
      <c r="J22">
        <v>37.4</v>
      </c>
      <c r="K22">
        <v>61.2</v>
      </c>
      <c r="L22">
        <v>60.3</v>
      </c>
      <c r="M22">
        <v>61.8</v>
      </c>
      <c r="N22" s="54"/>
      <c r="P22" s="47">
        <v>20.9</v>
      </c>
      <c r="Q22" s="47">
        <v>39.700000000000003</v>
      </c>
      <c r="R22" s="47">
        <v>71.7</v>
      </c>
      <c r="AB22">
        <v>100</v>
      </c>
      <c r="AC22">
        <v>1615</v>
      </c>
      <c r="AD22">
        <v>1621</v>
      </c>
      <c r="AE22">
        <v>1637</v>
      </c>
      <c r="AF22">
        <v>1627</v>
      </c>
      <c r="AG22">
        <v>1.9E-2</v>
      </c>
      <c r="AH22">
        <v>4.4999999999999998E-2</v>
      </c>
      <c r="AI22">
        <v>5.3199999999999997E-2</v>
      </c>
      <c r="AJ22">
        <v>47.3</v>
      </c>
      <c r="AK22">
        <v>28.1</v>
      </c>
      <c r="AL22">
        <v>48.9</v>
      </c>
      <c r="AM22">
        <v>45.8</v>
      </c>
      <c r="AN22">
        <v>47.3</v>
      </c>
      <c r="AO22" s="54"/>
    </row>
    <row r="23" spans="1:41" x14ac:dyDescent="0.25">
      <c r="A23" s="44">
        <v>105</v>
      </c>
      <c r="B23">
        <v>2018</v>
      </c>
      <c r="C23">
        <v>2023</v>
      </c>
      <c r="D23">
        <v>2032</v>
      </c>
      <c r="E23">
        <v>2025</v>
      </c>
      <c r="F23">
        <v>1.9900000000000001E-2</v>
      </c>
      <c r="G23">
        <v>4.4999999999999998E-2</v>
      </c>
      <c r="H23">
        <v>5.3499999999999999E-2</v>
      </c>
      <c r="I23">
        <v>59.8</v>
      </c>
      <c r="J23">
        <v>37.4</v>
      </c>
      <c r="K23">
        <v>61.7</v>
      </c>
      <c r="L23">
        <v>60.8</v>
      </c>
      <c r="M23">
        <v>62.3</v>
      </c>
      <c r="N23" s="54"/>
      <c r="P23" s="47">
        <v>1607</v>
      </c>
      <c r="Q23" s="47">
        <v>2312</v>
      </c>
      <c r="R23" s="47">
        <v>3213</v>
      </c>
      <c r="AB23">
        <v>105</v>
      </c>
      <c r="AC23">
        <v>1622</v>
      </c>
      <c r="AD23">
        <v>1624</v>
      </c>
      <c r="AE23">
        <v>1640</v>
      </c>
      <c r="AF23">
        <v>1628</v>
      </c>
      <c r="AG23">
        <v>1.89E-2</v>
      </c>
      <c r="AH23">
        <v>4.4900000000000002E-2</v>
      </c>
      <c r="AI23">
        <v>5.3199999999999997E-2</v>
      </c>
      <c r="AJ23">
        <v>47.5</v>
      </c>
      <c r="AK23">
        <v>28.1</v>
      </c>
      <c r="AL23">
        <v>49.2</v>
      </c>
      <c r="AM23">
        <v>46</v>
      </c>
      <c r="AN23">
        <v>47.5</v>
      </c>
      <c r="AO23" s="54"/>
    </row>
    <row r="24" spans="1:41" x14ac:dyDescent="0.25">
      <c r="A24" s="44">
        <v>110</v>
      </c>
      <c r="B24">
        <v>2021</v>
      </c>
      <c r="C24">
        <v>2027</v>
      </c>
      <c r="D24">
        <v>2033</v>
      </c>
      <c r="E24">
        <v>2027</v>
      </c>
      <c r="F24">
        <v>1.9900000000000001E-2</v>
      </c>
      <c r="G24">
        <v>4.4999999999999998E-2</v>
      </c>
      <c r="H24">
        <v>5.3499999999999999E-2</v>
      </c>
      <c r="I24">
        <v>60.2</v>
      </c>
      <c r="J24">
        <v>37.4</v>
      </c>
      <c r="K24">
        <v>62.1</v>
      </c>
      <c r="L24">
        <v>61.2</v>
      </c>
      <c r="M24">
        <v>62.8</v>
      </c>
      <c r="N24" s="54"/>
      <c r="AB24">
        <v>110</v>
      </c>
      <c r="AC24">
        <v>1609</v>
      </c>
      <c r="AD24">
        <v>1608</v>
      </c>
      <c r="AE24">
        <v>1621</v>
      </c>
      <c r="AF24">
        <v>1613</v>
      </c>
      <c r="AG24">
        <v>1.9E-2</v>
      </c>
      <c r="AH24">
        <v>4.4999999999999998E-2</v>
      </c>
      <c r="AI24">
        <v>5.33E-2</v>
      </c>
      <c r="AJ24">
        <v>47.4</v>
      </c>
      <c r="AK24">
        <v>27.9</v>
      </c>
      <c r="AL24">
        <v>49.1</v>
      </c>
      <c r="AM24">
        <v>46</v>
      </c>
      <c r="AN24">
        <v>47.5</v>
      </c>
      <c r="AO24" s="54"/>
    </row>
    <row r="25" spans="1:41" x14ac:dyDescent="0.25">
      <c r="A25" s="44">
        <v>115</v>
      </c>
      <c r="B25">
        <v>2010</v>
      </c>
      <c r="C25">
        <v>2012</v>
      </c>
      <c r="D25">
        <v>2022</v>
      </c>
      <c r="E25">
        <v>2015</v>
      </c>
      <c r="F25">
        <v>0.02</v>
      </c>
      <c r="G25">
        <v>4.4999999999999998E-2</v>
      </c>
      <c r="H25">
        <v>5.3600000000000002E-2</v>
      </c>
      <c r="I25">
        <v>60.5</v>
      </c>
      <c r="J25">
        <v>37.5</v>
      </c>
      <c r="K25">
        <v>62.5</v>
      </c>
      <c r="L25">
        <v>61.6</v>
      </c>
      <c r="M25">
        <v>63.3</v>
      </c>
      <c r="N25" s="54"/>
      <c r="AB25">
        <v>115</v>
      </c>
      <c r="AC25">
        <v>1625</v>
      </c>
      <c r="AD25">
        <v>1625</v>
      </c>
      <c r="AE25">
        <v>1636</v>
      </c>
      <c r="AF25">
        <v>1628</v>
      </c>
      <c r="AG25">
        <v>1.9E-2</v>
      </c>
      <c r="AH25">
        <v>4.4999999999999998E-2</v>
      </c>
      <c r="AI25">
        <v>5.33E-2</v>
      </c>
      <c r="AJ25">
        <v>47.2</v>
      </c>
      <c r="AK25">
        <v>27.7</v>
      </c>
      <c r="AL25">
        <v>48.9</v>
      </c>
      <c r="AM25">
        <v>46</v>
      </c>
      <c r="AN25">
        <v>47.5</v>
      </c>
      <c r="AO25" s="54"/>
    </row>
    <row r="26" spans="1:41" x14ac:dyDescent="0.25">
      <c r="A26" s="44">
        <v>120</v>
      </c>
      <c r="B26">
        <v>2000</v>
      </c>
      <c r="C26">
        <v>2009</v>
      </c>
      <c r="D26">
        <v>2014</v>
      </c>
      <c r="E26">
        <v>2008</v>
      </c>
      <c r="F26">
        <v>0.02</v>
      </c>
      <c r="G26">
        <v>4.4999999999999998E-2</v>
      </c>
      <c r="H26">
        <v>5.3499999999999999E-2</v>
      </c>
      <c r="I26">
        <v>60.9</v>
      </c>
      <c r="J26">
        <v>37.6</v>
      </c>
      <c r="K26">
        <v>62.9</v>
      </c>
      <c r="L26">
        <v>61.9</v>
      </c>
      <c r="M26">
        <v>63.4</v>
      </c>
      <c r="N26" s="54"/>
      <c r="AB26">
        <v>120</v>
      </c>
      <c r="AC26">
        <v>1615</v>
      </c>
      <c r="AD26">
        <v>1613</v>
      </c>
      <c r="AE26">
        <v>1626</v>
      </c>
      <c r="AF26">
        <v>1618</v>
      </c>
      <c r="AG26">
        <v>1.9099999999999999E-2</v>
      </c>
      <c r="AH26">
        <v>4.4999999999999998E-2</v>
      </c>
      <c r="AI26">
        <v>5.33E-2</v>
      </c>
      <c r="AJ26">
        <v>47.7</v>
      </c>
      <c r="AK26">
        <v>28</v>
      </c>
      <c r="AL26">
        <v>49.4</v>
      </c>
      <c r="AM26">
        <v>46.3</v>
      </c>
      <c r="AN26">
        <v>47.9</v>
      </c>
      <c r="AO26" s="54"/>
    </row>
    <row r="27" spans="1:41" x14ac:dyDescent="0.25">
      <c r="A27" s="45">
        <v>125</v>
      </c>
      <c r="B27" s="12">
        <v>2007</v>
      </c>
      <c r="C27" s="12">
        <v>2017</v>
      </c>
      <c r="D27" s="12">
        <v>2023</v>
      </c>
      <c r="E27" s="12">
        <v>2016</v>
      </c>
      <c r="F27" s="12">
        <v>0.02</v>
      </c>
      <c r="G27" s="12">
        <v>4.4999999999999998E-2</v>
      </c>
      <c r="H27" s="12">
        <v>5.3499999999999999E-2</v>
      </c>
      <c r="I27" s="12">
        <v>61.1</v>
      </c>
      <c r="J27" s="12">
        <v>37.5</v>
      </c>
      <c r="K27" s="12">
        <v>63.2</v>
      </c>
      <c r="L27" s="12">
        <v>62.2</v>
      </c>
      <c r="M27" s="12">
        <v>63.9</v>
      </c>
      <c r="N27" s="54">
        <f>M27-J27</f>
        <v>26.4</v>
      </c>
      <c r="P27" s="52" t="s">
        <v>81</v>
      </c>
      <c r="AB27">
        <v>125</v>
      </c>
      <c r="AC27">
        <v>1617</v>
      </c>
      <c r="AD27">
        <v>1621</v>
      </c>
      <c r="AE27">
        <v>1628</v>
      </c>
      <c r="AF27">
        <v>1622</v>
      </c>
      <c r="AG27">
        <v>1.9E-2</v>
      </c>
      <c r="AH27">
        <v>4.4900000000000002E-2</v>
      </c>
      <c r="AI27">
        <v>5.3199999999999997E-2</v>
      </c>
      <c r="AJ27">
        <v>48</v>
      </c>
      <c r="AK27">
        <v>28.2</v>
      </c>
      <c r="AL27">
        <v>49.8</v>
      </c>
      <c r="AM27">
        <v>46.4</v>
      </c>
      <c r="AN27">
        <v>48.1</v>
      </c>
      <c r="AO27" s="54"/>
    </row>
    <row r="28" spans="1:41" x14ac:dyDescent="0.25">
      <c r="A28" s="44">
        <v>130</v>
      </c>
      <c r="B28">
        <v>2436</v>
      </c>
      <c r="C28">
        <v>2463</v>
      </c>
      <c r="D28">
        <v>2397</v>
      </c>
      <c r="E28">
        <v>2392</v>
      </c>
      <c r="F28">
        <v>0.02</v>
      </c>
      <c r="G28">
        <v>4.3999999999999997E-2</v>
      </c>
      <c r="H28">
        <v>5.2400000000000002E-2</v>
      </c>
      <c r="I28">
        <v>61.5</v>
      </c>
      <c r="J28">
        <v>37.5</v>
      </c>
      <c r="K28">
        <v>63.6</v>
      </c>
      <c r="L28">
        <v>62.4</v>
      </c>
      <c r="M28">
        <v>64</v>
      </c>
      <c r="N28" s="54"/>
      <c r="P28" s="185" t="s">
        <v>85</v>
      </c>
      <c r="Q28" s="185"/>
      <c r="R28" s="185"/>
      <c r="AB28">
        <v>130</v>
      </c>
      <c r="AC28">
        <v>1622</v>
      </c>
      <c r="AD28">
        <v>1623</v>
      </c>
      <c r="AE28">
        <v>1637</v>
      </c>
      <c r="AF28">
        <v>1630</v>
      </c>
      <c r="AG28">
        <v>1.9E-2</v>
      </c>
      <c r="AH28">
        <v>4.4900000000000002E-2</v>
      </c>
      <c r="AI28">
        <v>5.3199999999999997E-2</v>
      </c>
      <c r="AJ28">
        <v>48.6</v>
      </c>
      <c r="AK28">
        <v>28.4</v>
      </c>
      <c r="AL28">
        <v>50.3</v>
      </c>
      <c r="AM28">
        <v>46.8</v>
      </c>
      <c r="AN28">
        <v>48.5</v>
      </c>
      <c r="AO28" s="54"/>
    </row>
    <row r="29" spans="1:41" x14ac:dyDescent="0.25">
      <c r="A29" s="44">
        <v>135</v>
      </c>
      <c r="B29">
        <v>2514</v>
      </c>
      <c r="C29">
        <v>2495</v>
      </c>
      <c r="D29">
        <v>2508</v>
      </c>
      <c r="E29">
        <v>2506</v>
      </c>
      <c r="F29">
        <v>2.0299999999999999E-2</v>
      </c>
      <c r="G29">
        <v>4.53E-2</v>
      </c>
      <c r="H29">
        <v>5.3699999999999998E-2</v>
      </c>
      <c r="I29">
        <v>64.3</v>
      </c>
      <c r="J29">
        <v>37.6</v>
      </c>
      <c r="K29">
        <v>66.5</v>
      </c>
      <c r="L29">
        <v>65.3</v>
      </c>
      <c r="M29">
        <v>67.3</v>
      </c>
      <c r="N29" s="54"/>
      <c r="P29" s="48">
        <v>30</v>
      </c>
      <c r="Q29" s="48">
        <v>50</v>
      </c>
      <c r="R29" s="48">
        <v>70</v>
      </c>
      <c r="AB29">
        <v>135</v>
      </c>
      <c r="AC29">
        <v>1618</v>
      </c>
      <c r="AD29">
        <v>1618</v>
      </c>
      <c r="AE29">
        <v>1629</v>
      </c>
      <c r="AF29">
        <v>1622</v>
      </c>
      <c r="AG29">
        <v>1.9E-2</v>
      </c>
      <c r="AH29">
        <v>4.4999999999999998E-2</v>
      </c>
      <c r="AI29">
        <v>5.33E-2</v>
      </c>
      <c r="AJ29">
        <v>49.1</v>
      </c>
      <c r="AK29">
        <v>28.6</v>
      </c>
      <c r="AL29">
        <v>50.9</v>
      </c>
      <c r="AM29">
        <v>47.1</v>
      </c>
      <c r="AN29">
        <v>48.8</v>
      </c>
      <c r="AO29" s="54"/>
    </row>
    <row r="30" spans="1:41" x14ac:dyDescent="0.25">
      <c r="A30" s="44">
        <v>140</v>
      </c>
      <c r="B30">
        <v>2529</v>
      </c>
      <c r="C30">
        <v>2505</v>
      </c>
      <c r="D30">
        <v>2522</v>
      </c>
      <c r="E30">
        <v>2519</v>
      </c>
      <c r="F30">
        <v>2.0500000000000001E-2</v>
      </c>
      <c r="G30">
        <v>4.53E-2</v>
      </c>
      <c r="H30">
        <v>5.3800000000000001E-2</v>
      </c>
      <c r="I30">
        <v>66.5</v>
      </c>
      <c r="J30">
        <v>37.700000000000003</v>
      </c>
      <c r="K30">
        <v>69</v>
      </c>
      <c r="L30">
        <v>67.599999999999994</v>
      </c>
      <c r="M30">
        <v>69.8</v>
      </c>
      <c r="N30" s="54"/>
      <c r="P30" s="55">
        <f>291.34*P29^0.5621</f>
        <v>1971.0151986374462</v>
      </c>
      <c r="Q30" s="55">
        <f t="shared" ref="Q30:R30" si="1">291.34*Q29^0.5621</f>
        <v>2626.5831588750152</v>
      </c>
      <c r="R30" s="55">
        <f t="shared" si="1"/>
        <v>3173.4358541540073</v>
      </c>
      <c r="AB30">
        <v>140</v>
      </c>
      <c r="AC30">
        <v>1616</v>
      </c>
      <c r="AD30">
        <v>1614</v>
      </c>
      <c r="AE30">
        <v>1626</v>
      </c>
      <c r="AF30">
        <v>1619</v>
      </c>
      <c r="AG30">
        <v>1.9E-2</v>
      </c>
      <c r="AH30">
        <v>4.4999999999999998E-2</v>
      </c>
      <c r="AI30">
        <v>5.3199999999999997E-2</v>
      </c>
      <c r="AJ30">
        <v>49.1</v>
      </c>
      <c r="AK30">
        <v>28.7</v>
      </c>
      <c r="AL30">
        <v>50.9</v>
      </c>
      <c r="AM30">
        <v>47.1</v>
      </c>
      <c r="AN30">
        <v>48.7</v>
      </c>
      <c r="AO30" s="54"/>
    </row>
    <row r="31" spans="1:41" x14ac:dyDescent="0.25">
      <c r="A31" s="44">
        <v>145</v>
      </c>
      <c r="B31">
        <v>2524</v>
      </c>
      <c r="C31">
        <v>2500</v>
      </c>
      <c r="D31">
        <v>2516</v>
      </c>
      <c r="E31">
        <v>2513</v>
      </c>
      <c r="F31">
        <v>2.06E-2</v>
      </c>
      <c r="G31">
        <v>4.5400000000000003E-2</v>
      </c>
      <c r="H31">
        <v>5.3900000000000003E-2</v>
      </c>
      <c r="I31">
        <v>68.2</v>
      </c>
      <c r="J31">
        <v>37.799999999999997</v>
      </c>
      <c r="K31">
        <v>70.8</v>
      </c>
      <c r="L31">
        <v>69.5</v>
      </c>
      <c r="M31">
        <v>71.8</v>
      </c>
      <c r="N31" s="54"/>
      <c r="AB31">
        <v>145</v>
      </c>
      <c r="AC31">
        <v>1614</v>
      </c>
      <c r="AD31">
        <v>1616</v>
      </c>
      <c r="AE31">
        <v>1629</v>
      </c>
      <c r="AF31">
        <v>1619</v>
      </c>
      <c r="AG31">
        <v>1.9E-2</v>
      </c>
      <c r="AH31">
        <v>4.4699999999999997E-2</v>
      </c>
      <c r="AI31">
        <v>5.3199999999999997E-2</v>
      </c>
      <c r="AJ31">
        <v>49.5</v>
      </c>
      <c r="AK31">
        <v>28.9</v>
      </c>
      <c r="AL31">
        <v>51.4</v>
      </c>
      <c r="AM31">
        <v>47.4</v>
      </c>
      <c r="AN31">
        <v>49.3</v>
      </c>
      <c r="AO31" s="54"/>
    </row>
    <row r="32" spans="1:41" x14ac:dyDescent="0.25">
      <c r="A32" s="44">
        <v>150</v>
      </c>
      <c r="B32">
        <v>2516</v>
      </c>
      <c r="C32">
        <v>2498</v>
      </c>
      <c r="D32">
        <v>2511</v>
      </c>
      <c r="E32">
        <v>2508</v>
      </c>
      <c r="F32">
        <v>2.07E-2</v>
      </c>
      <c r="G32">
        <v>4.53E-2</v>
      </c>
      <c r="H32">
        <v>5.3900000000000003E-2</v>
      </c>
      <c r="I32">
        <v>69.8</v>
      </c>
      <c r="J32">
        <v>38.1</v>
      </c>
      <c r="K32">
        <v>72.5</v>
      </c>
      <c r="L32">
        <v>71</v>
      </c>
      <c r="M32">
        <v>73.400000000000006</v>
      </c>
      <c r="N32" s="54"/>
      <c r="AB32">
        <v>150</v>
      </c>
      <c r="AC32">
        <v>1611</v>
      </c>
      <c r="AD32">
        <v>1617</v>
      </c>
      <c r="AE32">
        <v>1634</v>
      </c>
      <c r="AF32">
        <v>1621</v>
      </c>
      <c r="AG32">
        <v>1.9099999999999999E-2</v>
      </c>
      <c r="AH32">
        <v>4.4999999999999998E-2</v>
      </c>
      <c r="AI32">
        <v>5.33E-2</v>
      </c>
      <c r="AJ32">
        <v>49.3</v>
      </c>
      <c r="AK32">
        <v>28.6</v>
      </c>
      <c r="AL32">
        <v>51.2</v>
      </c>
      <c r="AM32">
        <v>47.4</v>
      </c>
      <c r="AN32">
        <v>49</v>
      </c>
      <c r="AO32" s="54"/>
    </row>
    <row r="33" spans="1:41" x14ac:dyDescent="0.25">
      <c r="A33" s="44">
        <v>155</v>
      </c>
      <c r="B33">
        <v>2522</v>
      </c>
      <c r="C33">
        <v>2499</v>
      </c>
      <c r="D33">
        <v>2513</v>
      </c>
      <c r="E33">
        <v>2511</v>
      </c>
      <c r="F33">
        <v>2.0799999999999999E-2</v>
      </c>
      <c r="G33">
        <v>4.53E-2</v>
      </c>
      <c r="H33">
        <v>5.3999999999999999E-2</v>
      </c>
      <c r="I33">
        <v>70.7</v>
      </c>
      <c r="J33">
        <v>38</v>
      </c>
      <c r="K33">
        <v>73.599999999999994</v>
      </c>
      <c r="L33">
        <v>72</v>
      </c>
      <c r="M33">
        <v>74.400000000000006</v>
      </c>
      <c r="N33" s="54"/>
      <c r="P33" s="8"/>
      <c r="Q33" s="8"/>
      <c r="R33" s="8"/>
      <c r="AB33">
        <v>155</v>
      </c>
      <c r="AC33">
        <v>1616</v>
      </c>
      <c r="AD33">
        <v>1621</v>
      </c>
      <c r="AE33">
        <v>1637</v>
      </c>
      <c r="AF33">
        <v>1625</v>
      </c>
      <c r="AG33">
        <v>1.9199999999999998E-2</v>
      </c>
      <c r="AH33">
        <v>4.5199999999999997E-2</v>
      </c>
      <c r="AI33">
        <v>5.3199999999999997E-2</v>
      </c>
      <c r="AJ33">
        <v>49.9</v>
      </c>
      <c r="AK33">
        <v>29</v>
      </c>
      <c r="AL33">
        <v>51.9</v>
      </c>
      <c r="AM33">
        <v>47.7</v>
      </c>
      <c r="AN33">
        <v>49.6</v>
      </c>
      <c r="AO33" s="54"/>
    </row>
    <row r="34" spans="1:41" x14ac:dyDescent="0.25">
      <c r="A34" s="44">
        <v>160</v>
      </c>
      <c r="B34">
        <v>2518</v>
      </c>
      <c r="C34">
        <v>2503</v>
      </c>
      <c r="D34">
        <v>2520</v>
      </c>
      <c r="E34">
        <v>2514</v>
      </c>
      <c r="F34">
        <v>2.0899999999999998E-2</v>
      </c>
      <c r="G34">
        <v>4.53E-2</v>
      </c>
      <c r="H34">
        <v>5.3900000000000003E-2</v>
      </c>
      <c r="I34">
        <v>71.8</v>
      </c>
      <c r="J34">
        <v>38.1</v>
      </c>
      <c r="K34">
        <v>74.7</v>
      </c>
      <c r="L34">
        <v>73</v>
      </c>
      <c r="M34">
        <v>75.599999999999994</v>
      </c>
      <c r="N34" s="54"/>
      <c r="AB34">
        <v>160</v>
      </c>
      <c r="AC34">
        <v>1621</v>
      </c>
      <c r="AD34">
        <v>1627</v>
      </c>
      <c r="AE34">
        <v>1635</v>
      </c>
      <c r="AF34">
        <v>1628</v>
      </c>
      <c r="AG34">
        <v>1.9099999999999999E-2</v>
      </c>
      <c r="AH34">
        <v>4.4999999999999998E-2</v>
      </c>
      <c r="AI34">
        <v>5.3199999999999997E-2</v>
      </c>
      <c r="AJ34">
        <v>50.3</v>
      </c>
      <c r="AK34">
        <v>29.3</v>
      </c>
      <c r="AL34">
        <v>52.1</v>
      </c>
      <c r="AM34">
        <v>48</v>
      </c>
      <c r="AN34">
        <v>49.7</v>
      </c>
      <c r="AO34" s="54"/>
    </row>
    <row r="35" spans="1:41" x14ac:dyDescent="0.25">
      <c r="A35" s="44">
        <v>165</v>
      </c>
      <c r="B35">
        <v>2508</v>
      </c>
      <c r="C35">
        <v>2496</v>
      </c>
      <c r="D35">
        <v>2514</v>
      </c>
      <c r="E35">
        <v>2506</v>
      </c>
      <c r="F35">
        <v>2.0899999999999998E-2</v>
      </c>
      <c r="G35">
        <v>4.53E-2</v>
      </c>
      <c r="H35">
        <v>5.3999999999999999E-2</v>
      </c>
      <c r="I35">
        <v>72.400000000000006</v>
      </c>
      <c r="J35">
        <v>38.200000000000003</v>
      </c>
      <c r="K35">
        <v>75.599999999999994</v>
      </c>
      <c r="L35">
        <v>73.8</v>
      </c>
      <c r="M35">
        <v>76.400000000000006</v>
      </c>
      <c r="N35" s="54"/>
      <c r="AB35">
        <v>165</v>
      </c>
      <c r="AC35">
        <v>1614</v>
      </c>
      <c r="AD35">
        <v>1619</v>
      </c>
      <c r="AE35">
        <v>1632</v>
      </c>
      <c r="AF35">
        <v>1622</v>
      </c>
      <c r="AG35">
        <v>1.9199999999999998E-2</v>
      </c>
      <c r="AH35">
        <v>4.4999999999999998E-2</v>
      </c>
      <c r="AI35">
        <v>5.33E-2</v>
      </c>
      <c r="AJ35">
        <v>50.3</v>
      </c>
      <c r="AK35">
        <v>29.4</v>
      </c>
      <c r="AL35">
        <v>52.2</v>
      </c>
      <c r="AM35">
        <v>47.9</v>
      </c>
      <c r="AN35">
        <v>49.5</v>
      </c>
      <c r="AO35" s="54"/>
    </row>
    <row r="36" spans="1:41" x14ac:dyDescent="0.25">
      <c r="A36" s="44">
        <v>170</v>
      </c>
      <c r="B36">
        <v>2503</v>
      </c>
      <c r="C36">
        <v>2491</v>
      </c>
      <c r="D36">
        <v>2508</v>
      </c>
      <c r="E36">
        <v>2501</v>
      </c>
      <c r="F36">
        <v>2.1000000000000001E-2</v>
      </c>
      <c r="G36">
        <v>4.5400000000000003E-2</v>
      </c>
      <c r="H36">
        <v>5.3999999999999999E-2</v>
      </c>
      <c r="I36">
        <v>73</v>
      </c>
      <c r="J36">
        <v>38.299999999999997</v>
      </c>
      <c r="K36">
        <v>76.3</v>
      </c>
      <c r="L36">
        <v>74.400000000000006</v>
      </c>
      <c r="M36">
        <v>77.099999999999994</v>
      </c>
      <c r="N36" s="54"/>
      <c r="AB36">
        <v>170</v>
      </c>
      <c r="AC36">
        <v>1615</v>
      </c>
      <c r="AD36">
        <v>1623</v>
      </c>
      <c r="AE36">
        <v>1637</v>
      </c>
      <c r="AF36">
        <v>1625</v>
      </c>
      <c r="AG36">
        <v>1.9099999999999999E-2</v>
      </c>
      <c r="AH36">
        <v>4.4900000000000002E-2</v>
      </c>
      <c r="AI36">
        <v>5.3199999999999997E-2</v>
      </c>
      <c r="AJ36">
        <v>50.1</v>
      </c>
      <c r="AK36">
        <v>29.2</v>
      </c>
      <c r="AL36">
        <v>52</v>
      </c>
      <c r="AM36">
        <v>47.9</v>
      </c>
      <c r="AN36">
        <v>49.3</v>
      </c>
      <c r="AO36" s="54"/>
    </row>
    <row r="37" spans="1:41" x14ac:dyDescent="0.25">
      <c r="A37" s="44">
        <v>175</v>
      </c>
      <c r="B37">
        <v>2499</v>
      </c>
      <c r="C37">
        <v>2484</v>
      </c>
      <c r="D37">
        <v>2508</v>
      </c>
      <c r="E37">
        <v>2497</v>
      </c>
      <c r="F37">
        <v>2.1000000000000001E-2</v>
      </c>
      <c r="G37">
        <v>4.5400000000000003E-2</v>
      </c>
      <c r="H37">
        <v>5.4100000000000002E-2</v>
      </c>
      <c r="I37">
        <v>73.8</v>
      </c>
      <c r="J37">
        <v>38.4</v>
      </c>
      <c r="K37">
        <v>76.8</v>
      </c>
      <c r="L37">
        <v>75</v>
      </c>
      <c r="M37">
        <v>77.7</v>
      </c>
      <c r="N37" s="54"/>
      <c r="AB37" s="12">
        <v>175</v>
      </c>
      <c r="AC37" s="12">
        <v>1605</v>
      </c>
      <c r="AD37" s="12">
        <v>1607</v>
      </c>
      <c r="AE37" s="12">
        <v>1619</v>
      </c>
      <c r="AF37" s="12">
        <v>1610</v>
      </c>
      <c r="AG37" s="12">
        <v>1.9099999999999999E-2</v>
      </c>
      <c r="AH37" s="12">
        <v>4.48E-2</v>
      </c>
      <c r="AI37" s="12">
        <v>5.3199999999999997E-2</v>
      </c>
      <c r="AJ37" s="12">
        <v>49.8</v>
      </c>
      <c r="AK37" s="12">
        <v>28.9</v>
      </c>
      <c r="AL37" s="12">
        <v>51.5</v>
      </c>
      <c r="AM37" s="12">
        <v>47.9</v>
      </c>
      <c r="AN37" s="12">
        <v>49.2</v>
      </c>
      <c r="AO37" s="54">
        <f>AJ37-AK37</f>
        <v>20.9</v>
      </c>
    </row>
    <row r="38" spans="1:41" x14ac:dyDescent="0.25">
      <c r="A38" s="44">
        <v>180</v>
      </c>
      <c r="B38">
        <v>2483</v>
      </c>
      <c r="C38">
        <v>2467</v>
      </c>
      <c r="D38">
        <v>2495</v>
      </c>
      <c r="E38">
        <v>2482</v>
      </c>
      <c r="F38">
        <v>2.1100000000000001E-2</v>
      </c>
      <c r="G38">
        <v>4.5400000000000003E-2</v>
      </c>
      <c r="H38">
        <v>5.4199999999999998E-2</v>
      </c>
      <c r="I38">
        <v>74.2</v>
      </c>
      <c r="J38">
        <v>38.5</v>
      </c>
      <c r="K38">
        <v>77.5</v>
      </c>
      <c r="L38">
        <v>75.400000000000006</v>
      </c>
      <c r="M38">
        <v>78.2</v>
      </c>
      <c r="N38" s="54"/>
      <c r="AB38">
        <v>180</v>
      </c>
      <c r="AC38">
        <v>2323</v>
      </c>
      <c r="AD38">
        <v>2332</v>
      </c>
      <c r="AE38">
        <v>2330</v>
      </c>
      <c r="AF38">
        <v>2328</v>
      </c>
      <c r="AG38">
        <v>1.9300000000000001E-2</v>
      </c>
      <c r="AH38">
        <v>4.4900000000000002E-2</v>
      </c>
      <c r="AI38">
        <v>5.2900000000000003E-2</v>
      </c>
      <c r="AJ38">
        <v>51.1</v>
      </c>
      <c r="AK38">
        <v>29.2</v>
      </c>
      <c r="AL38">
        <v>52.9</v>
      </c>
      <c r="AM38">
        <v>49.3</v>
      </c>
      <c r="AN38">
        <v>50.9</v>
      </c>
      <c r="AO38" s="54"/>
    </row>
    <row r="39" spans="1:41" x14ac:dyDescent="0.25">
      <c r="A39" s="44">
        <v>185</v>
      </c>
      <c r="B39">
        <v>2513</v>
      </c>
      <c r="C39">
        <v>2499</v>
      </c>
      <c r="D39">
        <v>2525</v>
      </c>
      <c r="E39">
        <v>2512</v>
      </c>
      <c r="F39">
        <v>2.1000000000000001E-2</v>
      </c>
      <c r="G39">
        <v>4.53E-2</v>
      </c>
      <c r="H39">
        <v>5.3999999999999999E-2</v>
      </c>
      <c r="I39">
        <v>74.8</v>
      </c>
      <c r="J39">
        <v>38.700000000000003</v>
      </c>
      <c r="K39">
        <v>78.099999999999994</v>
      </c>
      <c r="L39">
        <v>76</v>
      </c>
      <c r="M39">
        <v>78.8</v>
      </c>
      <c r="N39" s="54"/>
      <c r="AB39">
        <v>185</v>
      </c>
      <c r="AC39">
        <v>2353</v>
      </c>
      <c r="AD39">
        <v>2360</v>
      </c>
      <c r="AE39">
        <v>2350</v>
      </c>
      <c r="AF39">
        <v>2355</v>
      </c>
      <c r="AG39">
        <v>1.95E-2</v>
      </c>
      <c r="AH39">
        <v>4.4900000000000002E-2</v>
      </c>
      <c r="AI39">
        <v>5.2999999999999999E-2</v>
      </c>
      <c r="AJ39">
        <v>54.3</v>
      </c>
      <c r="AK39">
        <v>29.5</v>
      </c>
      <c r="AL39">
        <v>56.2</v>
      </c>
      <c r="AM39">
        <v>52.6</v>
      </c>
      <c r="AN39">
        <v>54.5</v>
      </c>
      <c r="AO39" s="54"/>
    </row>
    <row r="40" spans="1:41" x14ac:dyDescent="0.25">
      <c r="A40" s="44">
        <v>190</v>
      </c>
      <c r="B40">
        <v>2509</v>
      </c>
      <c r="C40">
        <v>2495</v>
      </c>
      <c r="D40">
        <v>2519</v>
      </c>
      <c r="E40">
        <v>2507</v>
      </c>
      <c r="F40">
        <v>2.12E-2</v>
      </c>
      <c r="G40">
        <v>4.5400000000000003E-2</v>
      </c>
      <c r="H40">
        <v>5.4199999999999998E-2</v>
      </c>
      <c r="I40">
        <v>75.5</v>
      </c>
      <c r="J40">
        <v>39.299999999999997</v>
      </c>
      <c r="K40">
        <v>78.7</v>
      </c>
      <c r="L40">
        <v>76.5</v>
      </c>
      <c r="M40">
        <v>79.3</v>
      </c>
      <c r="N40" s="54"/>
      <c r="AB40">
        <v>190</v>
      </c>
      <c r="AC40">
        <v>2353</v>
      </c>
      <c r="AD40">
        <v>2358</v>
      </c>
      <c r="AE40">
        <v>2357</v>
      </c>
      <c r="AF40">
        <v>2356</v>
      </c>
      <c r="AG40">
        <v>1.9699999999999999E-2</v>
      </c>
      <c r="AH40">
        <v>4.4999999999999998E-2</v>
      </c>
      <c r="AI40">
        <v>5.3199999999999997E-2</v>
      </c>
      <c r="AJ40">
        <v>56.7</v>
      </c>
      <c r="AK40">
        <v>29.5</v>
      </c>
      <c r="AL40">
        <v>58.8</v>
      </c>
      <c r="AM40">
        <v>55</v>
      </c>
      <c r="AN40">
        <v>57.1</v>
      </c>
      <c r="AO40" s="54"/>
    </row>
    <row r="41" spans="1:41" x14ac:dyDescent="0.25">
      <c r="A41" s="44">
        <v>195</v>
      </c>
      <c r="B41">
        <v>2514</v>
      </c>
      <c r="C41">
        <v>2495</v>
      </c>
      <c r="D41">
        <v>2512</v>
      </c>
      <c r="E41">
        <v>2507</v>
      </c>
      <c r="F41">
        <v>2.12E-2</v>
      </c>
      <c r="G41">
        <v>4.53E-2</v>
      </c>
      <c r="H41">
        <v>5.4100000000000002E-2</v>
      </c>
      <c r="I41">
        <v>75.900000000000006</v>
      </c>
      <c r="J41">
        <v>39.5</v>
      </c>
      <c r="K41">
        <v>79.3</v>
      </c>
      <c r="L41">
        <v>77</v>
      </c>
      <c r="M41">
        <v>79.7</v>
      </c>
      <c r="N41" s="54"/>
      <c r="AB41">
        <v>195</v>
      </c>
      <c r="AC41">
        <v>2332</v>
      </c>
      <c r="AD41">
        <v>2348</v>
      </c>
      <c r="AE41">
        <v>2350</v>
      </c>
      <c r="AF41">
        <v>2344</v>
      </c>
      <c r="AG41">
        <v>1.9800000000000002E-2</v>
      </c>
      <c r="AH41">
        <v>4.4999999999999998E-2</v>
      </c>
      <c r="AI41">
        <v>5.3199999999999997E-2</v>
      </c>
      <c r="AJ41">
        <v>58.8</v>
      </c>
      <c r="AK41">
        <v>29.7</v>
      </c>
      <c r="AL41">
        <v>61.1</v>
      </c>
      <c r="AM41">
        <v>57</v>
      </c>
      <c r="AN41">
        <v>59.2</v>
      </c>
      <c r="AO41" s="54"/>
    </row>
    <row r="42" spans="1:41" x14ac:dyDescent="0.25">
      <c r="A42" s="44">
        <v>200</v>
      </c>
      <c r="B42">
        <v>2511</v>
      </c>
      <c r="C42">
        <v>2494</v>
      </c>
      <c r="D42">
        <v>2513</v>
      </c>
      <c r="E42">
        <v>2504</v>
      </c>
      <c r="F42">
        <v>2.12E-2</v>
      </c>
      <c r="G42">
        <v>4.5400000000000003E-2</v>
      </c>
      <c r="H42">
        <v>5.4199999999999998E-2</v>
      </c>
      <c r="I42">
        <v>76.3</v>
      </c>
      <c r="J42">
        <v>39.299999999999997</v>
      </c>
      <c r="K42">
        <v>79.599999999999994</v>
      </c>
      <c r="L42">
        <v>77.3</v>
      </c>
      <c r="M42">
        <v>80.2</v>
      </c>
      <c r="N42" s="54"/>
      <c r="AB42">
        <v>200</v>
      </c>
      <c r="AC42">
        <v>2343</v>
      </c>
      <c r="AD42">
        <v>2349</v>
      </c>
      <c r="AE42">
        <v>2352</v>
      </c>
      <c r="AF42">
        <v>2348</v>
      </c>
      <c r="AG42">
        <v>1.9900000000000001E-2</v>
      </c>
      <c r="AH42">
        <v>4.4999999999999998E-2</v>
      </c>
      <c r="AI42">
        <v>5.33E-2</v>
      </c>
      <c r="AJ42">
        <v>60.5</v>
      </c>
      <c r="AK42">
        <v>29.9</v>
      </c>
      <c r="AL42">
        <v>63.1</v>
      </c>
      <c r="AM42">
        <v>58.6</v>
      </c>
      <c r="AN42">
        <v>60.8</v>
      </c>
      <c r="AO42" s="54"/>
    </row>
    <row r="43" spans="1:41" x14ac:dyDescent="0.25">
      <c r="A43" s="44">
        <v>205</v>
      </c>
      <c r="B43">
        <v>2506</v>
      </c>
      <c r="C43">
        <v>2488</v>
      </c>
      <c r="D43">
        <v>2506</v>
      </c>
      <c r="E43">
        <v>2500</v>
      </c>
      <c r="F43">
        <v>2.1299999999999999E-2</v>
      </c>
      <c r="G43">
        <v>4.5400000000000003E-2</v>
      </c>
      <c r="H43">
        <v>5.4199999999999998E-2</v>
      </c>
      <c r="I43">
        <v>76.5</v>
      </c>
      <c r="J43">
        <v>39.4</v>
      </c>
      <c r="K43">
        <v>79.8</v>
      </c>
      <c r="L43">
        <v>77.599999999999994</v>
      </c>
      <c r="M43">
        <v>80.400000000000006</v>
      </c>
      <c r="N43" s="54"/>
      <c r="AB43">
        <v>205</v>
      </c>
      <c r="AC43">
        <v>2332</v>
      </c>
      <c r="AD43">
        <v>2339</v>
      </c>
      <c r="AE43">
        <v>2347</v>
      </c>
      <c r="AF43">
        <v>2339</v>
      </c>
      <c r="AG43">
        <v>2.01E-2</v>
      </c>
      <c r="AH43">
        <v>4.5100000000000001E-2</v>
      </c>
      <c r="AI43">
        <v>5.3400000000000003E-2</v>
      </c>
      <c r="AJ43">
        <v>62</v>
      </c>
      <c r="AK43">
        <v>30.1</v>
      </c>
      <c r="AL43">
        <v>64.5</v>
      </c>
      <c r="AM43">
        <v>60</v>
      </c>
      <c r="AN43">
        <v>62.2</v>
      </c>
      <c r="AO43" s="54"/>
    </row>
    <row r="44" spans="1:41" x14ac:dyDescent="0.25">
      <c r="A44" s="44">
        <v>210</v>
      </c>
      <c r="B44">
        <v>2512</v>
      </c>
      <c r="C44">
        <v>2489</v>
      </c>
      <c r="D44">
        <v>2514</v>
      </c>
      <c r="E44">
        <v>2505</v>
      </c>
      <c r="F44">
        <v>2.1299999999999999E-2</v>
      </c>
      <c r="G44">
        <v>4.5400000000000003E-2</v>
      </c>
      <c r="H44">
        <v>5.4199999999999998E-2</v>
      </c>
      <c r="I44">
        <v>76.8</v>
      </c>
      <c r="J44">
        <v>39.5</v>
      </c>
      <c r="K44">
        <v>80.2</v>
      </c>
      <c r="L44">
        <v>77.900000000000006</v>
      </c>
      <c r="M44">
        <v>80.900000000000006</v>
      </c>
      <c r="N44" s="54"/>
      <c r="AB44">
        <v>210</v>
      </c>
      <c r="AC44">
        <v>2330</v>
      </c>
      <c r="AD44">
        <v>2337</v>
      </c>
      <c r="AE44">
        <v>2343</v>
      </c>
      <c r="AF44">
        <v>2337</v>
      </c>
      <c r="AG44">
        <v>2.01E-2</v>
      </c>
      <c r="AH44">
        <v>4.5100000000000001E-2</v>
      </c>
      <c r="AI44">
        <v>5.3400000000000003E-2</v>
      </c>
      <c r="AJ44">
        <v>62.6</v>
      </c>
      <c r="AK44">
        <v>29.8</v>
      </c>
      <c r="AL44">
        <v>65.2</v>
      </c>
      <c r="AM44">
        <v>60.7</v>
      </c>
      <c r="AN44">
        <v>63.1</v>
      </c>
      <c r="AO44" s="54"/>
    </row>
    <row r="45" spans="1:41" x14ac:dyDescent="0.25">
      <c r="A45" s="44">
        <v>215</v>
      </c>
      <c r="B45">
        <v>2501</v>
      </c>
      <c r="C45">
        <v>2485</v>
      </c>
      <c r="D45">
        <v>2501</v>
      </c>
      <c r="E45">
        <v>2497</v>
      </c>
      <c r="F45">
        <v>2.1299999999999999E-2</v>
      </c>
      <c r="G45">
        <v>4.53E-2</v>
      </c>
      <c r="H45">
        <v>5.4199999999999998E-2</v>
      </c>
      <c r="I45">
        <v>77.099999999999994</v>
      </c>
      <c r="J45">
        <v>39.799999999999997</v>
      </c>
      <c r="K45">
        <v>80.5</v>
      </c>
      <c r="L45">
        <v>78.2</v>
      </c>
      <c r="M45">
        <v>81.2</v>
      </c>
      <c r="N45" s="54"/>
      <c r="AB45">
        <v>215</v>
      </c>
      <c r="AC45">
        <v>2322</v>
      </c>
      <c r="AD45">
        <v>2335</v>
      </c>
      <c r="AE45">
        <v>2353</v>
      </c>
      <c r="AF45">
        <v>2337</v>
      </c>
      <c r="AG45">
        <v>2.01E-2</v>
      </c>
      <c r="AH45">
        <v>4.5100000000000001E-2</v>
      </c>
      <c r="AI45">
        <v>5.3600000000000002E-2</v>
      </c>
      <c r="AJ45">
        <v>63</v>
      </c>
      <c r="AK45">
        <v>29.5</v>
      </c>
      <c r="AL45">
        <v>65.7</v>
      </c>
      <c r="AM45">
        <v>61.4</v>
      </c>
      <c r="AN45">
        <v>63.8</v>
      </c>
      <c r="AO45" s="54"/>
    </row>
    <row r="46" spans="1:41" x14ac:dyDescent="0.25">
      <c r="A46" s="44">
        <v>220</v>
      </c>
      <c r="B46">
        <v>2515</v>
      </c>
      <c r="C46">
        <v>2499</v>
      </c>
      <c r="D46">
        <v>2517</v>
      </c>
      <c r="E46">
        <v>2510</v>
      </c>
      <c r="F46">
        <v>2.1299999999999999E-2</v>
      </c>
      <c r="G46">
        <v>4.5400000000000003E-2</v>
      </c>
      <c r="H46">
        <v>5.4199999999999998E-2</v>
      </c>
      <c r="I46">
        <v>77.3</v>
      </c>
      <c r="J46">
        <v>39.9</v>
      </c>
      <c r="K46">
        <v>80.7</v>
      </c>
      <c r="L46">
        <v>78.5</v>
      </c>
      <c r="M46">
        <v>81.3</v>
      </c>
      <c r="N46" s="54"/>
      <c r="AB46">
        <v>220</v>
      </c>
      <c r="AC46">
        <v>2328</v>
      </c>
      <c r="AD46">
        <v>2340</v>
      </c>
      <c r="AE46">
        <v>2353</v>
      </c>
      <c r="AF46">
        <v>2340</v>
      </c>
      <c r="AG46">
        <v>2.0199999999999999E-2</v>
      </c>
      <c r="AH46">
        <v>4.4999999999999998E-2</v>
      </c>
      <c r="AI46">
        <v>5.3699999999999998E-2</v>
      </c>
      <c r="AJ46">
        <v>63.8</v>
      </c>
      <c r="AK46">
        <v>29.8</v>
      </c>
      <c r="AL46">
        <v>66.599999999999994</v>
      </c>
      <c r="AM46">
        <v>62</v>
      </c>
      <c r="AN46">
        <v>64.5</v>
      </c>
      <c r="AO46" s="54"/>
    </row>
    <row r="47" spans="1:41" x14ac:dyDescent="0.25">
      <c r="A47" s="44">
        <v>225</v>
      </c>
      <c r="B47">
        <v>2501</v>
      </c>
      <c r="C47">
        <v>2490</v>
      </c>
      <c r="D47">
        <v>2514</v>
      </c>
      <c r="E47">
        <v>2502</v>
      </c>
      <c r="F47">
        <v>2.1299999999999999E-2</v>
      </c>
      <c r="G47">
        <v>4.53E-2</v>
      </c>
      <c r="H47">
        <v>5.4199999999999998E-2</v>
      </c>
      <c r="I47">
        <v>77.7</v>
      </c>
      <c r="J47">
        <v>40.200000000000003</v>
      </c>
      <c r="K47">
        <v>81.099999999999994</v>
      </c>
      <c r="L47">
        <v>78.8</v>
      </c>
      <c r="M47">
        <v>81.7</v>
      </c>
      <c r="N47" s="54"/>
      <c r="AB47">
        <v>225</v>
      </c>
      <c r="AC47">
        <v>2320</v>
      </c>
      <c r="AD47">
        <v>2332</v>
      </c>
      <c r="AE47">
        <v>2341</v>
      </c>
      <c r="AF47">
        <v>2333</v>
      </c>
      <c r="AG47">
        <v>2.0299999999999999E-2</v>
      </c>
      <c r="AH47">
        <v>4.4999999999999998E-2</v>
      </c>
      <c r="AI47">
        <v>5.3600000000000002E-2</v>
      </c>
      <c r="AJ47">
        <v>64.7</v>
      </c>
      <c r="AK47">
        <v>30.4</v>
      </c>
      <c r="AL47">
        <v>67.7</v>
      </c>
      <c r="AM47">
        <v>62.7</v>
      </c>
      <c r="AN47">
        <v>65.2</v>
      </c>
      <c r="AO47" s="54"/>
    </row>
    <row r="48" spans="1:41" x14ac:dyDescent="0.25">
      <c r="A48" s="44">
        <v>230</v>
      </c>
      <c r="B48">
        <v>2509</v>
      </c>
      <c r="C48">
        <v>2497</v>
      </c>
      <c r="D48">
        <v>2525</v>
      </c>
      <c r="E48">
        <v>2510</v>
      </c>
      <c r="F48">
        <v>2.1299999999999999E-2</v>
      </c>
      <c r="G48">
        <v>4.5499999999999999E-2</v>
      </c>
      <c r="H48">
        <v>5.4199999999999998E-2</v>
      </c>
      <c r="I48">
        <v>77.900000000000006</v>
      </c>
      <c r="J48">
        <v>40.200000000000003</v>
      </c>
      <c r="K48">
        <v>81.3</v>
      </c>
      <c r="L48">
        <v>79</v>
      </c>
      <c r="M48">
        <v>81.900000000000006</v>
      </c>
      <c r="N48" s="54"/>
      <c r="AB48">
        <v>230</v>
      </c>
      <c r="AC48">
        <v>2323</v>
      </c>
      <c r="AD48">
        <v>2333</v>
      </c>
      <c r="AE48">
        <v>2346</v>
      </c>
      <c r="AF48">
        <v>2334</v>
      </c>
      <c r="AG48">
        <v>2.0299999999999999E-2</v>
      </c>
      <c r="AH48">
        <v>4.4999999999999998E-2</v>
      </c>
      <c r="AI48">
        <v>5.3499999999999999E-2</v>
      </c>
      <c r="AJ48">
        <v>65.400000000000006</v>
      </c>
      <c r="AK48">
        <v>30.5</v>
      </c>
      <c r="AL48">
        <v>68.3</v>
      </c>
      <c r="AM48">
        <v>63.3</v>
      </c>
      <c r="AN48">
        <v>65.8</v>
      </c>
      <c r="AO48" s="54"/>
    </row>
    <row r="49" spans="1:41" x14ac:dyDescent="0.25">
      <c r="A49" s="44">
        <v>235</v>
      </c>
      <c r="B49">
        <v>2506</v>
      </c>
      <c r="C49">
        <v>2494</v>
      </c>
      <c r="D49">
        <v>2525</v>
      </c>
      <c r="E49">
        <v>2508</v>
      </c>
      <c r="F49">
        <v>2.1299999999999999E-2</v>
      </c>
      <c r="G49">
        <v>4.5499999999999999E-2</v>
      </c>
      <c r="H49">
        <v>5.4199999999999998E-2</v>
      </c>
      <c r="I49">
        <v>78.2</v>
      </c>
      <c r="J49">
        <v>40.299999999999997</v>
      </c>
      <c r="K49">
        <v>81.599999999999994</v>
      </c>
      <c r="L49">
        <v>79.2</v>
      </c>
      <c r="M49">
        <v>82.2</v>
      </c>
      <c r="N49" s="54"/>
      <c r="AB49">
        <v>235</v>
      </c>
      <c r="AC49">
        <v>2327</v>
      </c>
      <c r="AD49">
        <v>2335</v>
      </c>
      <c r="AE49">
        <v>2348</v>
      </c>
      <c r="AF49">
        <v>2337</v>
      </c>
      <c r="AG49">
        <v>2.0299999999999999E-2</v>
      </c>
      <c r="AH49">
        <v>4.5100000000000001E-2</v>
      </c>
      <c r="AI49">
        <v>5.3499999999999999E-2</v>
      </c>
      <c r="AJ49">
        <v>65.5</v>
      </c>
      <c r="AK49">
        <v>30.1</v>
      </c>
      <c r="AL49">
        <v>68.400000000000006</v>
      </c>
      <c r="AM49">
        <v>63.7</v>
      </c>
      <c r="AN49">
        <v>66.3</v>
      </c>
      <c r="AO49" s="54"/>
    </row>
    <row r="50" spans="1:41" x14ac:dyDescent="0.25">
      <c r="A50" s="44">
        <v>240</v>
      </c>
      <c r="B50">
        <v>2505</v>
      </c>
      <c r="C50">
        <v>2520</v>
      </c>
      <c r="D50">
        <v>2518</v>
      </c>
      <c r="E50">
        <v>2514</v>
      </c>
      <c r="F50">
        <v>2.1399999999999999E-2</v>
      </c>
      <c r="G50">
        <v>4.5100000000000001E-2</v>
      </c>
      <c r="H50">
        <v>5.3999999999999999E-2</v>
      </c>
      <c r="I50">
        <v>78.3</v>
      </c>
      <c r="J50">
        <v>40.4</v>
      </c>
      <c r="K50">
        <v>81.8</v>
      </c>
      <c r="L50">
        <v>79.5</v>
      </c>
      <c r="M50">
        <v>82.4</v>
      </c>
      <c r="N50" s="54"/>
      <c r="AB50">
        <v>240</v>
      </c>
      <c r="AC50">
        <v>2338</v>
      </c>
      <c r="AD50">
        <v>2339</v>
      </c>
      <c r="AE50">
        <v>2343</v>
      </c>
      <c r="AF50">
        <v>2338</v>
      </c>
      <c r="AG50">
        <v>2.0400000000000001E-2</v>
      </c>
      <c r="AH50">
        <v>4.53E-2</v>
      </c>
      <c r="AI50">
        <v>5.3699999999999998E-2</v>
      </c>
      <c r="AJ50">
        <v>65.8</v>
      </c>
      <c r="AK50">
        <v>30.4</v>
      </c>
      <c r="AL50">
        <v>68.7</v>
      </c>
      <c r="AM50">
        <v>64.099999999999994</v>
      </c>
      <c r="AN50">
        <v>66.7</v>
      </c>
      <c r="AO50" s="54"/>
    </row>
    <row r="51" spans="1:41" x14ac:dyDescent="0.25">
      <c r="A51" s="44">
        <v>245</v>
      </c>
      <c r="B51">
        <v>2513</v>
      </c>
      <c r="C51">
        <v>2532</v>
      </c>
      <c r="D51">
        <v>2519</v>
      </c>
      <c r="E51">
        <v>2521</v>
      </c>
      <c r="F51">
        <v>2.1299999999999999E-2</v>
      </c>
      <c r="G51">
        <v>4.4999999999999998E-2</v>
      </c>
      <c r="H51">
        <v>5.3900000000000003E-2</v>
      </c>
      <c r="I51">
        <v>78.099999999999994</v>
      </c>
      <c r="J51">
        <v>40.200000000000003</v>
      </c>
      <c r="K51">
        <v>81.8</v>
      </c>
      <c r="L51">
        <v>79.400000000000006</v>
      </c>
      <c r="M51">
        <v>82.4</v>
      </c>
      <c r="N51" s="54"/>
      <c r="AB51">
        <v>245</v>
      </c>
      <c r="AC51">
        <v>2337</v>
      </c>
      <c r="AD51">
        <v>2335</v>
      </c>
      <c r="AE51">
        <v>2340</v>
      </c>
      <c r="AF51">
        <v>2337</v>
      </c>
      <c r="AG51">
        <v>2.0400000000000001E-2</v>
      </c>
      <c r="AH51">
        <v>4.5199999999999997E-2</v>
      </c>
      <c r="AI51">
        <v>5.3600000000000002E-2</v>
      </c>
      <c r="AJ51">
        <v>66.099999999999994</v>
      </c>
      <c r="AK51">
        <v>30.6</v>
      </c>
      <c r="AL51">
        <v>69</v>
      </c>
      <c r="AM51">
        <v>64.5</v>
      </c>
      <c r="AN51">
        <v>67.2</v>
      </c>
      <c r="AO51" s="54"/>
    </row>
    <row r="52" spans="1:41" x14ac:dyDescent="0.25">
      <c r="A52" s="44">
        <v>250</v>
      </c>
      <c r="B52">
        <v>2513</v>
      </c>
      <c r="C52">
        <v>2534</v>
      </c>
      <c r="D52">
        <v>2524</v>
      </c>
      <c r="E52">
        <v>2524</v>
      </c>
      <c r="F52">
        <v>2.1399999999999999E-2</v>
      </c>
      <c r="G52">
        <v>4.4999999999999998E-2</v>
      </c>
      <c r="H52">
        <v>5.3900000000000003E-2</v>
      </c>
      <c r="I52">
        <v>78.400000000000006</v>
      </c>
      <c r="J52">
        <v>40.4</v>
      </c>
      <c r="K52">
        <v>81.900000000000006</v>
      </c>
      <c r="L52">
        <v>79.599999999999994</v>
      </c>
      <c r="M52">
        <v>82.7</v>
      </c>
      <c r="N52" s="54"/>
      <c r="AB52">
        <v>250</v>
      </c>
      <c r="AC52">
        <v>2319</v>
      </c>
      <c r="AD52">
        <v>2331</v>
      </c>
      <c r="AE52">
        <v>2333</v>
      </c>
      <c r="AF52">
        <v>2328</v>
      </c>
      <c r="AG52">
        <v>2.0400000000000001E-2</v>
      </c>
      <c r="AH52">
        <v>4.4999999999999998E-2</v>
      </c>
      <c r="AI52">
        <v>5.3499999999999999E-2</v>
      </c>
      <c r="AJ52">
        <v>66.2</v>
      </c>
      <c r="AK52">
        <v>30.5</v>
      </c>
      <c r="AL52">
        <v>69.099999999999994</v>
      </c>
      <c r="AM52">
        <v>64.8</v>
      </c>
      <c r="AN52">
        <v>67.400000000000006</v>
      </c>
      <c r="AO52" s="54"/>
    </row>
    <row r="53" spans="1:41" x14ac:dyDescent="0.25">
      <c r="A53" s="44">
        <v>255</v>
      </c>
      <c r="B53">
        <v>2507</v>
      </c>
      <c r="C53">
        <v>2522</v>
      </c>
      <c r="D53">
        <v>2516</v>
      </c>
      <c r="E53">
        <v>2515</v>
      </c>
      <c r="F53">
        <v>2.1299999999999999E-2</v>
      </c>
      <c r="G53">
        <v>4.5199999999999997E-2</v>
      </c>
      <c r="H53">
        <v>5.3999999999999999E-2</v>
      </c>
      <c r="I53">
        <v>78.599999999999994</v>
      </c>
      <c r="J53">
        <v>40.6</v>
      </c>
      <c r="K53">
        <v>82.1</v>
      </c>
      <c r="L53">
        <v>79.8</v>
      </c>
      <c r="M53">
        <v>82.8</v>
      </c>
      <c r="N53" s="54"/>
      <c r="AB53">
        <v>255</v>
      </c>
      <c r="AC53">
        <v>2306</v>
      </c>
      <c r="AD53">
        <v>2314</v>
      </c>
      <c r="AE53">
        <v>2322</v>
      </c>
      <c r="AF53">
        <v>2314</v>
      </c>
      <c r="AG53">
        <v>2.0400000000000001E-2</v>
      </c>
      <c r="AH53">
        <v>4.5100000000000001E-2</v>
      </c>
      <c r="AI53">
        <v>5.3600000000000002E-2</v>
      </c>
      <c r="AJ53">
        <v>66.3</v>
      </c>
      <c r="AK53">
        <v>30.5</v>
      </c>
      <c r="AL53">
        <v>69.2</v>
      </c>
      <c r="AM53">
        <v>64.900000000000006</v>
      </c>
      <c r="AN53">
        <v>67.599999999999994</v>
      </c>
      <c r="AO53" s="54"/>
    </row>
    <row r="54" spans="1:41" x14ac:dyDescent="0.25">
      <c r="A54" s="44">
        <v>260</v>
      </c>
      <c r="B54">
        <v>2480</v>
      </c>
      <c r="C54">
        <v>2499</v>
      </c>
      <c r="D54">
        <v>2493</v>
      </c>
      <c r="E54">
        <v>2491</v>
      </c>
      <c r="F54">
        <v>2.1399999999999999E-2</v>
      </c>
      <c r="G54">
        <v>4.5100000000000001E-2</v>
      </c>
      <c r="H54">
        <v>5.3999999999999999E-2</v>
      </c>
      <c r="I54">
        <v>78.599999999999994</v>
      </c>
      <c r="J54">
        <v>40.799999999999997</v>
      </c>
      <c r="K54">
        <v>82.1</v>
      </c>
      <c r="L54">
        <v>79.900000000000006</v>
      </c>
      <c r="M54">
        <v>83</v>
      </c>
      <c r="N54" s="54"/>
      <c r="AB54">
        <v>260</v>
      </c>
      <c r="AC54">
        <v>2310</v>
      </c>
      <c r="AD54">
        <v>2318</v>
      </c>
      <c r="AE54">
        <v>2325</v>
      </c>
      <c r="AF54">
        <v>2318</v>
      </c>
      <c r="AG54">
        <v>2.0400000000000001E-2</v>
      </c>
      <c r="AH54">
        <v>4.5100000000000001E-2</v>
      </c>
      <c r="AI54">
        <v>5.3600000000000002E-2</v>
      </c>
      <c r="AJ54">
        <v>66.099999999999994</v>
      </c>
      <c r="AK54">
        <v>30.2</v>
      </c>
      <c r="AL54">
        <v>69.099999999999994</v>
      </c>
      <c r="AM54">
        <v>64.900000000000006</v>
      </c>
      <c r="AN54">
        <v>67.599999999999994</v>
      </c>
      <c r="AO54" s="54"/>
    </row>
    <row r="55" spans="1:41" x14ac:dyDescent="0.25">
      <c r="A55" s="44">
        <v>265</v>
      </c>
      <c r="B55">
        <v>2491</v>
      </c>
      <c r="C55">
        <v>2519</v>
      </c>
      <c r="D55">
        <v>2517</v>
      </c>
      <c r="E55">
        <v>2509</v>
      </c>
      <c r="F55">
        <v>2.1299999999999999E-2</v>
      </c>
      <c r="G55">
        <v>4.4999999999999998E-2</v>
      </c>
      <c r="H55">
        <v>5.3900000000000003E-2</v>
      </c>
      <c r="I55">
        <v>78.7</v>
      </c>
      <c r="J55">
        <v>40.700000000000003</v>
      </c>
      <c r="K55">
        <v>82.2</v>
      </c>
      <c r="L55">
        <v>79.8</v>
      </c>
      <c r="M55">
        <v>82.9</v>
      </c>
      <c r="N55" s="54"/>
      <c r="AB55">
        <v>265</v>
      </c>
      <c r="AC55">
        <v>2328</v>
      </c>
      <c r="AD55">
        <v>2337</v>
      </c>
      <c r="AE55">
        <v>2347</v>
      </c>
      <c r="AF55">
        <v>2337</v>
      </c>
      <c r="AG55">
        <v>2.0400000000000001E-2</v>
      </c>
      <c r="AH55">
        <v>4.5100000000000001E-2</v>
      </c>
      <c r="AI55">
        <v>5.3600000000000002E-2</v>
      </c>
      <c r="AJ55">
        <v>66.3</v>
      </c>
      <c r="AK55">
        <v>30.4</v>
      </c>
      <c r="AL55">
        <v>69.2</v>
      </c>
      <c r="AM55">
        <v>65</v>
      </c>
      <c r="AN55">
        <v>67.8</v>
      </c>
      <c r="AO55" s="54"/>
    </row>
    <row r="56" spans="1:41" x14ac:dyDescent="0.25">
      <c r="A56" s="44">
        <v>270</v>
      </c>
      <c r="B56">
        <v>2486</v>
      </c>
      <c r="C56">
        <v>2514</v>
      </c>
      <c r="D56">
        <v>2513</v>
      </c>
      <c r="E56">
        <v>2505</v>
      </c>
      <c r="F56">
        <v>2.1399999999999999E-2</v>
      </c>
      <c r="G56">
        <v>4.4999999999999998E-2</v>
      </c>
      <c r="H56">
        <v>5.3999999999999999E-2</v>
      </c>
      <c r="I56">
        <v>79</v>
      </c>
      <c r="J56">
        <v>40.9</v>
      </c>
      <c r="K56">
        <v>82.4</v>
      </c>
      <c r="L56">
        <v>79.900000000000006</v>
      </c>
      <c r="M56">
        <v>83</v>
      </c>
      <c r="N56" s="54"/>
      <c r="AB56">
        <v>270</v>
      </c>
      <c r="AC56">
        <v>2327</v>
      </c>
      <c r="AD56">
        <v>2337</v>
      </c>
      <c r="AE56">
        <v>2347</v>
      </c>
      <c r="AF56">
        <v>2337</v>
      </c>
      <c r="AG56">
        <v>2.0400000000000001E-2</v>
      </c>
      <c r="AH56">
        <v>4.5100000000000001E-2</v>
      </c>
      <c r="AI56">
        <v>5.3600000000000002E-2</v>
      </c>
      <c r="AJ56">
        <v>66.5</v>
      </c>
      <c r="AK56">
        <v>30.6</v>
      </c>
      <c r="AL56">
        <v>69.400000000000006</v>
      </c>
      <c r="AM56">
        <v>65.3</v>
      </c>
      <c r="AN56">
        <v>68</v>
      </c>
      <c r="AO56" s="54"/>
    </row>
    <row r="57" spans="1:41" x14ac:dyDescent="0.25">
      <c r="A57" s="44">
        <v>275</v>
      </c>
      <c r="B57">
        <v>2482</v>
      </c>
      <c r="C57">
        <v>2506</v>
      </c>
      <c r="D57">
        <v>2513</v>
      </c>
      <c r="E57">
        <v>2500</v>
      </c>
      <c r="F57">
        <v>2.1399999999999999E-2</v>
      </c>
      <c r="G57">
        <v>4.5100000000000001E-2</v>
      </c>
      <c r="H57">
        <v>5.3999999999999999E-2</v>
      </c>
      <c r="I57">
        <v>79.099999999999994</v>
      </c>
      <c r="J57">
        <v>41.1</v>
      </c>
      <c r="K57">
        <v>82.6</v>
      </c>
      <c r="L57">
        <v>80</v>
      </c>
      <c r="M57">
        <v>83</v>
      </c>
      <c r="N57" s="54"/>
      <c r="AB57">
        <v>275</v>
      </c>
      <c r="AC57">
        <v>2317</v>
      </c>
      <c r="AD57">
        <v>2325</v>
      </c>
      <c r="AE57">
        <v>2337</v>
      </c>
      <c r="AF57">
        <v>2326</v>
      </c>
      <c r="AG57">
        <v>2.0500000000000001E-2</v>
      </c>
      <c r="AH57">
        <v>4.5199999999999997E-2</v>
      </c>
      <c r="AI57">
        <v>5.3800000000000001E-2</v>
      </c>
      <c r="AJ57">
        <v>66.5</v>
      </c>
      <c r="AK57">
        <v>30.5</v>
      </c>
      <c r="AL57">
        <v>69.5</v>
      </c>
      <c r="AM57">
        <v>65.5</v>
      </c>
      <c r="AN57">
        <v>68.2</v>
      </c>
      <c r="AO57" s="54"/>
    </row>
    <row r="58" spans="1:41" x14ac:dyDescent="0.25">
      <c r="A58" s="44">
        <v>280</v>
      </c>
      <c r="B58">
        <v>2490</v>
      </c>
      <c r="C58">
        <v>2511</v>
      </c>
      <c r="D58">
        <v>2514</v>
      </c>
      <c r="E58">
        <v>2505</v>
      </c>
      <c r="F58">
        <v>2.1399999999999999E-2</v>
      </c>
      <c r="G58">
        <v>4.5199999999999997E-2</v>
      </c>
      <c r="H58">
        <v>5.3999999999999999E-2</v>
      </c>
      <c r="I58">
        <v>79.099999999999994</v>
      </c>
      <c r="J58">
        <v>41</v>
      </c>
      <c r="K58">
        <v>82.6</v>
      </c>
      <c r="L58">
        <v>80.099999999999994</v>
      </c>
      <c r="M58">
        <v>83.2</v>
      </c>
      <c r="N58" s="54"/>
      <c r="AB58">
        <v>280</v>
      </c>
      <c r="AC58">
        <v>2310</v>
      </c>
      <c r="AD58">
        <v>2323</v>
      </c>
      <c r="AE58">
        <v>2344</v>
      </c>
      <c r="AF58">
        <v>2326</v>
      </c>
      <c r="AG58">
        <v>2.0500000000000001E-2</v>
      </c>
      <c r="AH58">
        <v>4.5199999999999997E-2</v>
      </c>
      <c r="AI58">
        <v>5.3699999999999998E-2</v>
      </c>
      <c r="AJ58">
        <v>66.7</v>
      </c>
      <c r="AK58">
        <v>30.5</v>
      </c>
      <c r="AL58">
        <v>69.599999999999994</v>
      </c>
      <c r="AM58">
        <v>65.599999999999994</v>
      </c>
      <c r="AN58">
        <v>68.3</v>
      </c>
      <c r="AO58" s="54"/>
    </row>
    <row r="59" spans="1:41" x14ac:dyDescent="0.25">
      <c r="A59" s="44">
        <v>285</v>
      </c>
      <c r="B59">
        <v>2487</v>
      </c>
      <c r="C59">
        <v>2515</v>
      </c>
      <c r="D59">
        <v>2516</v>
      </c>
      <c r="E59">
        <v>2506</v>
      </c>
      <c r="F59">
        <v>2.1399999999999999E-2</v>
      </c>
      <c r="G59">
        <v>4.5100000000000001E-2</v>
      </c>
      <c r="H59">
        <v>5.3999999999999999E-2</v>
      </c>
      <c r="I59">
        <v>79.2</v>
      </c>
      <c r="J59">
        <v>41.2</v>
      </c>
      <c r="K59">
        <v>82.8</v>
      </c>
      <c r="L59">
        <v>80.2</v>
      </c>
      <c r="M59">
        <v>83.2</v>
      </c>
      <c r="N59" s="54"/>
      <c r="AB59">
        <v>285</v>
      </c>
      <c r="AC59">
        <v>2304</v>
      </c>
      <c r="AD59">
        <v>2312</v>
      </c>
      <c r="AE59">
        <v>2324</v>
      </c>
      <c r="AF59">
        <v>2313</v>
      </c>
      <c r="AG59">
        <v>2.0500000000000001E-2</v>
      </c>
      <c r="AH59">
        <v>4.5100000000000001E-2</v>
      </c>
      <c r="AI59">
        <v>5.3699999999999998E-2</v>
      </c>
      <c r="AJ59">
        <v>66.7</v>
      </c>
      <c r="AK59">
        <v>30.2</v>
      </c>
      <c r="AL59">
        <v>69.599999999999994</v>
      </c>
      <c r="AM59">
        <v>65.5</v>
      </c>
      <c r="AN59">
        <v>68.2</v>
      </c>
      <c r="AO59" s="54"/>
    </row>
    <row r="60" spans="1:41" x14ac:dyDescent="0.25">
      <c r="A60" s="44">
        <v>290</v>
      </c>
      <c r="B60">
        <v>2488</v>
      </c>
      <c r="C60">
        <v>2512</v>
      </c>
      <c r="D60">
        <v>2514</v>
      </c>
      <c r="E60">
        <v>2505</v>
      </c>
      <c r="F60">
        <v>2.1399999999999999E-2</v>
      </c>
      <c r="G60">
        <v>4.4999999999999998E-2</v>
      </c>
      <c r="H60">
        <v>5.3999999999999999E-2</v>
      </c>
      <c r="I60">
        <v>79.400000000000006</v>
      </c>
      <c r="J60">
        <v>41</v>
      </c>
      <c r="K60">
        <v>82.8</v>
      </c>
      <c r="L60">
        <v>80.2</v>
      </c>
      <c r="M60">
        <v>83.3</v>
      </c>
      <c r="N60" s="54"/>
      <c r="AB60">
        <v>290</v>
      </c>
      <c r="AC60">
        <v>2316</v>
      </c>
      <c r="AD60">
        <v>2322</v>
      </c>
      <c r="AE60">
        <v>2332</v>
      </c>
      <c r="AF60">
        <v>2324</v>
      </c>
      <c r="AG60">
        <v>2.0500000000000001E-2</v>
      </c>
      <c r="AH60">
        <v>4.5100000000000001E-2</v>
      </c>
      <c r="AI60">
        <v>5.3600000000000002E-2</v>
      </c>
      <c r="AJ60">
        <v>66.599999999999994</v>
      </c>
      <c r="AK60">
        <v>30.4</v>
      </c>
      <c r="AL60">
        <v>69.599999999999994</v>
      </c>
      <c r="AM60">
        <v>65.5</v>
      </c>
      <c r="AN60">
        <v>68.2</v>
      </c>
      <c r="AO60" s="54"/>
    </row>
    <row r="61" spans="1:41" x14ac:dyDescent="0.25">
      <c r="A61" s="44">
        <v>295</v>
      </c>
      <c r="B61">
        <v>2504</v>
      </c>
      <c r="C61">
        <v>2527</v>
      </c>
      <c r="D61">
        <v>2530</v>
      </c>
      <c r="E61">
        <v>2520</v>
      </c>
      <c r="F61">
        <v>2.1499999999999998E-2</v>
      </c>
      <c r="G61">
        <v>4.5100000000000001E-2</v>
      </c>
      <c r="H61">
        <v>5.4100000000000002E-2</v>
      </c>
      <c r="I61">
        <v>79.599999999999994</v>
      </c>
      <c r="J61">
        <v>41.1</v>
      </c>
      <c r="K61">
        <v>82.9</v>
      </c>
      <c r="L61">
        <v>80.3</v>
      </c>
      <c r="M61">
        <v>83.3</v>
      </c>
      <c r="N61" s="54"/>
      <c r="AB61">
        <v>295</v>
      </c>
      <c r="AC61">
        <v>2320</v>
      </c>
      <c r="AD61">
        <v>2323</v>
      </c>
      <c r="AE61">
        <v>2333</v>
      </c>
      <c r="AF61">
        <v>2325</v>
      </c>
      <c r="AG61">
        <v>2.0500000000000001E-2</v>
      </c>
      <c r="AH61">
        <v>4.5199999999999997E-2</v>
      </c>
      <c r="AI61">
        <v>5.3699999999999998E-2</v>
      </c>
      <c r="AJ61">
        <v>66.599999999999994</v>
      </c>
      <c r="AK61">
        <v>30.5</v>
      </c>
      <c r="AL61">
        <v>69.599999999999994</v>
      </c>
      <c r="AM61">
        <v>65.599999999999994</v>
      </c>
      <c r="AN61">
        <v>68.3</v>
      </c>
      <c r="AO61" s="54"/>
    </row>
    <row r="62" spans="1:41" x14ac:dyDescent="0.25">
      <c r="A62" s="44">
        <v>300</v>
      </c>
      <c r="B62">
        <v>2515</v>
      </c>
      <c r="C62">
        <v>2532</v>
      </c>
      <c r="D62">
        <v>2524</v>
      </c>
      <c r="E62">
        <v>2522</v>
      </c>
      <c r="F62">
        <v>2.1399999999999999E-2</v>
      </c>
      <c r="G62">
        <v>4.5100000000000001E-2</v>
      </c>
      <c r="H62">
        <v>5.3999999999999999E-2</v>
      </c>
      <c r="I62">
        <v>79.599999999999994</v>
      </c>
      <c r="J62">
        <v>41</v>
      </c>
      <c r="K62">
        <v>83.1</v>
      </c>
      <c r="L62">
        <v>80.5</v>
      </c>
      <c r="M62">
        <v>83.5</v>
      </c>
      <c r="N62" s="54"/>
      <c r="AB62">
        <v>300</v>
      </c>
      <c r="AC62">
        <v>2315</v>
      </c>
      <c r="AD62">
        <v>2316</v>
      </c>
      <c r="AE62">
        <v>2333</v>
      </c>
      <c r="AF62">
        <v>2322</v>
      </c>
      <c r="AG62">
        <v>2.0500000000000001E-2</v>
      </c>
      <c r="AH62">
        <v>4.53E-2</v>
      </c>
      <c r="AI62">
        <v>5.3800000000000001E-2</v>
      </c>
      <c r="AJ62">
        <v>66.5</v>
      </c>
      <c r="AK62">
        <v>30.9</v>
      </c>
      <c r="AL62">
        <v>69.5</v>
      </c>
      <c r="AM62">
        <v>65.2</v>
      </c>
      <c r="AN62">
        <v>68.2</v>
      </c>
      <c r="AO62" s="54"/>
    </row>
    <row r="63" spans="1:41" x14ac:dyDescent="0.25">
      <c r="A63" s="44">
        <v>305</v>
      </c>
      <c r="B63">
        <v>2518</v>
      </c>
      <c r="C63">
        <v>2533</v>
      </c>
      <c r="D63">
        <v>2526</v>
      </c>
      <c r="E63">
        <v>2526</v>
      </c>
      <c r="F63">
        <v>2.1499999999999998E-2</v>
      </c>
      <c r="G63">
        <v>4.5199999999999997E-2</v>
      </c>
      <c r="H63">
        <v>5.3999999999999999E-2</v>
      </c>
      <c r="I63">
        <v>79.599999999999994</v>
      </c>
      <c r="J63">
        <v>41</v>
      </c>
      <c r="K63">
        <v>83.1</v>
      </c>
      <c r="L63">
        <v>80.599999999999994</v>
      </c>
      <c r="M63">
        <v>83.7</v>
      </c>
      <c r="N63" s="54"/>
      <c r="AB63">
        <v>305</v>
      </c>
      <c r="AC63">
        <v>2319</v>
      </c>
      <c r="AD63">
        <v>2323</v>
      </c>
      <c r="AE63">
        <v>2335</v>
      </c>
      <c r="AF63">
        <v>2324</v>
      </c>
      <c r="AG63">
        <v>2.0500000000000001E-2</v>
      </c>
      <c r="AH63">
        <v>4.5199999999999997E-2</v>
      </c>
      <c r="AI63">
        <v>5.3699999999999998E-2</v>
      </c>
      <c r="AJ63">
        <v>66.7</v>
      </c>
      <c r="AK63">
        <v>30.4</v>
      </c>
      <c r="AL63">
        <v>69.5</v>
      </c>
      <c r="AM63">
        <v>65.599999999999994</v>
      </c>
      <c r="AN63">
        <v>68.2</v>
      </c>
      <c r="AO63" s="54"/>
    </row>
    <row r="64" spans="1:41" x14ac:dyDescent="0.25">
      <c r="A64" s="44">
        <v>310</v>
      </c>
      <c r="B64">
        <v>2515</v>
      </c>
      <c r="C64">
        <v>2531</v>
      </c>
      <c r="D64">
        <v>2525</v>
      </c>
      <c r="E64">
        <v>2524</v>
      </c>
      <c r="F64">
        <v>2.1399999999999999E-2</v>
      </c>
      <c r="G64">
        <v>4.5199999999999997E-2</v>
      </c>
      <c r="H64">
        <v>5.3999999999999999E-2</v>
      </c>
      <c r="I64">
        <v>79.599999999999994</v>
      </c>
      <c r="J64">
        <v>40.9</v>
      </c>
      <c r="K64">
        <v>83.2</v>
      </c>
      <c r="L64">
        <v>80.7</v>
      </c>
      <c r="M64">
        <v>83.9</v>
      </c>
      <c r="N64" s="54"/>
      <c r="AB64">
        <v>310</v>
      </c>
      <c r="AC64">
        <v>2329</v>
      </c>
      <c r="AD64">
        <v>2336</v>
      </c>
      <c r="AE64">
        <v>2345</v>
      </c>
      <c r="AF64">
        <v>2337</v>
      </c>
      <c r="AG64">
        <v>2.0500000000000001E-2</v>
      </c>
      <c r="AH64">
        <v>4.5100000000000001E-2</v>
      </c>
      <c r="AI64">
        <v>5.3699999999999998E-2</v>
      </c>
      <c r="AJ64">
        <v>66.2</v>
      </c>
      <c r="AK64">
        <v>29.5</v>
      </c>
      <c r="AL64">
        <v>69.2</v>
      </c>
      <c r="AM64">
        <v>65.2</v>
      </c>
      <c r="AN64">
        <v>67.900000000000006</v>
      </c>
      <c r="AO64" s="54"/>
    </row>
    <row r="65" spans="1:41" x14ac:dyDescent="0.25">
      <c r="A65" s="44">
        <v>315</v>
      </c>
      <c r="B65">
        <v>2501</v>
      </c>
      <c r="C65">
        <v>2522</v>
      </c>
      <c r="D65">
        <v>2514</v>
      </c>
      <c r="E65">
        <v>2513</v>
      </c>
      <c r="F65">
        <v>2.1499999999999998E-2</v>
      </c>
      <c r="G65">
        <v>4.5199999999999997E-2</v>
      </c>
      <c r="H65">
        <v>5.3999999999999999E-2</v>
      </c>
      <c r="I65">
        <v>79.599999999999994</v>
      </c>
      <c r="J65">
        <v>41</v>
      </c>
      <c r="K65">
        <v>83.2</v>
      </c>
      <c r="L65">
        <v>80.8</v>
      </c>
      <c r="M65">
        <v>83.8</v>
      </c>
      <c r="N65" s="54"/>
      <c r="AB65">
        <v>315</v>
      </c>
      <c r="AC65">
        <v>2317</v>
      </c>
      <c r="AD65">
        <v>2335</v>
      </c>
      <c r="AE65">
        <v>2345</v>
      </c>
      <c r="AF65">
        <v>2332</v>
      </c>
      <c r="AG65">
        <v>2.0299999999999999E-2</v>
      </c>
      <c r="AH65">
        <v>4.5100000000000001E-2</v>
      </c>
      <c r="AI65">
        <v>5.33E-2</v>
      </c>
      <c r="AJ65">
        <v>65.900000000000006</v>
      </c>
      <c r="AK65">
        <v>29.1</v>
      </c>
      <c r="AL65">
        <v>68.8</v>
      </c>
      <c r="AM65">
        <v>64.8</v>
      </c>
      <c r="AN65">
        <v>67.5</v>
      </c>
      <c r="AO65" s="54"/>
    </row>
    <row r="66" spans="1:41" x14ac:dyDescent="0.25">
      <c r="A66" s="44">
        <v>320</v>
      </c>
      <c r="B66">
        <v>2503</v>
      </c>
      <c r="C66">
        <v>2524</v>
      </c>
      <c r="D66">
        <v>2518</v>
      </c>
      <c r="E66">
        <v>2515</v>
      </c>
      <c r="F66">
        <v>2.1399999999999999E-2</v>
      </c>
      <c r="G66">
        <v>4.5100000000000001E-2</v>
      </c>
      <c r="H66">
        <v>5.4100000000000002E-2</v>
      </c>
      <c r="I66">
        <v>79.7</v>
      </c>
      <c r="J66">
        <v>40.9</v>
      </c>
      <c r="K66">
        <v>83.2</v>
      </c>
      <c r="L66">
        <v>80.8</v>
      </c>
      <c r="M66">
        <v>83.8</v>
      </c>
      <c r="N66" s="54"/>
      <c r="AB66">
        <v>320</v>
      </c>
      <c r="AC66">
        <v>2329</v>
      </c>
      <c r="AD66">
        <v>2339</v>
      </c>
      <c r="AE66">
        <v>2348</v>
      </c>
      <c r="AF66">
        <v>2338</v>
      </c>
      <c r="AG66">
        <v>2.0400000000000001E-2</v>
      </c>
      <c r="AH66">
        <v>4.5100000000000001E-2</v>
      </c>
      <c r="AI66">
        <v>5.3600000000000002E-2</v>
      </c>
      <c r="AJ66">
        <v>65.599999999999994</v>
      </c>
      <c r="AK66">
        <v>29.3</v>
      </c>
      <c r="AL66">
        <v>68.599999999999994</v>
      </c>
      <c r="AM66">
        <v>64.599999999999994</v>
      </c>
      <c r="AN66">
        <v>67.3</v>
      </c>
      <c r="AO66" s="54"/>
    </row>
    <row r="67" spans="1:41" x14ac:dyDescent="0.25">
      <c r="A67" s="44">
        <v>325</v>
      </c>
      <c r="B67">
        <v>2508</v>
      </c>
      <c r="C67">
        <v>2527</v>
      </c>
      <c r="D67">
        <v>2513</v>
      </c>
      <c r="E67">
        <v>2516</v>
      </c>
      <c r="F67">
        <v>2.1499999999999998E-2</v>
      </c>
      <c r="G67">
        <v>4.5199999999999997E-2</v>
      </c>
      <c r="H67">
        <v>5.4100000000000002E-2</v>
      </c>
      <c r="I67">
        <v>79.7</v>
      </c>
      <c r="J67">
        <v>40.799999999999997</v>
      </c>
      <c r="K67">
        <v>83.1</v>
      </c>
      <c r="L67">
        <v>80.8</v>
      </c>
      <c r="M67">
        <v>83.9</v>
      </c>
      <c r="N67" s="54"/>
      <c r="AB67">
        <v>325</v>
      </c>
      <c r="AC67">
        <v>2318</v>
      </c>
      <c r="AD67">
        <v>2327</v>
      </c>
      <c r="AE67">
        <v>2335</v>
      </c>
      <c r="AF67">
        <v>2327</v>
      </c>
      <c r="AG67">
        <v>2.0400000000000001E-2</v>
      </c>
      <c r="AH67">
        <v>4.4999999999999998E-2</v>
      </c>
      <c r="AI67">
        <v>5.3499999999999999E-2</v>
      </c>
      <c r="AJ67">
        <v>65.8</v>
      </c>
      <c r="AK67">
        <v>29.9</v>
      </c>
      <c r="AL67">
        <v>68.8</v>
      </c>
      <c r="AM67">
        <v>64.900000000000006</v>
      </c>
      <c r="AN67">
        <v>67.5</v>
      </c>
      <c r="AO67" s="54"/>
    </row>
    <row r="68" spans="1:41" x14ac:dyDescent="0.25">
      <c r="A68" s="44">
        <v>330</v>
      </c>
      <c r="B68">
        <v>2508</v>
      </c>
      <c r="C68">
        <v>2526</v>
      </c>
      <c r="D68">
        <v>2518</v>
      </c>
      <c r="E68">
        <v>2517</v>
      </c>
      <c r="F68">
        <v>2.1399999999999999E-2</v>
      </c>
      <c r="G68">
        <v>4.5100000000000001E-2</v>
      </c>
      <c r="H68">
        <v>5.3999999999999999E-2</v>
      </c>
      <c r="I68">
        <v>79.599999999999994</v>
      </c>
      <c r="J68">
        <v>40.9</v>
      </c>
      <c r="K68">
        <v>83.1</v>
      </c>
      <c r="L68">
        <v>80.8</v>
      </c>
      <c r="M68">
        <v>83.9</v>
      </c>
      <c r="N68" s="54"/>
      <c r="AB68">
        <v>330</v>
      </c>
      <c r="AC68">
        <v>2324</v>
      </c>
      <c r="AD68">
        <v>2330</v>
      </c>
      <c r="AE68">
        <v>2337</v>
      </c>
      <c r="AF68">
        <v>2331</v>
      </c>
      <c r="AG68">
        <v>2.0500000000000001E-2</v>
      </c>
      <c r="AH68">
        <v>4.5100000000000001E-2</v>
      </c>
      <c r="AI68">
        <v>5.3699999999999998E-2</v>
      </c>
      <c r="AJ68">
        <v>66</v>
      </c>
      <c r="AK68">
        <v>30</v>
      </c>
      <c r="AL68">
        <v>68.900000000000006</v>
      </c>
      <c r="AM68">
        <v>65.099999999999994</v>
      </c>
      <c r="AN68">
        <v>67.599999999999994</v>
      </c>
      <c r="AO68" s="54"/>
    </row>
    <row r="69" spans="1:41" x14ac:dyDescent="0.25">
      <c r="A69" s="44">
        <v>335</v>
      </c>
      <c r="B69">
        <v>2495</v>
      </c>
      <c r="C69">
        <v>2512</v>
      </c>
      <c r="D69">
        <v>2502</v>
      </c>
      <c r="E69">
        <v>2503</v>
      </c>
      <c r="F69">
        <v>2.1499999999999998E-2</v>
      </c>
      <c r="G69">
        <v>4.5100000000000001E-2</v>
      </c>
      <c r="H69">
        <v>5.3999999999999999E-2</v>
      </c>
      <c r="I69">
        <v>79.5</v>
      </c>
      <c r="J69">
        <v>40.9</v>
      </c>
      <c r="K69">
        <v>83</v>
      </c>
      <c r="L69">
        <v>80.7</v>
      </c>
      <c r="M69">
        <v>83.9</v>
      </c>
      <c r="N69" s="54"/>
      <c r="AB69">
        <v>335</v>
      </c>
      <c r="AC69">
        <v>2334</v>
      </c>
      <c r="AD69">
        <v>2340</v>
      </c>
      <c r="AE69">
        <v>2351</v>
      </c>
      <c r="AF69">
        <v>2342</v>
      </c>
      <c r="AG69">
        <v>2.0400000000000001E-2</v>
      </c>
      <c r="AH69">
        <v>4.5100000000000001E-2</v>
      </c>
      <c r="AI69">
        <v>5.3699999999999998E-2</v>
      </c>
      <c r="AJ69">
        <v>66.099999999999994</v>
      </c>
      <c r="AK69">
        <v>29.6</v>
      </c>
      <c r="AL69">
        <v>68.900000000000006</v>
      </c>
      <c r="AM69">
        <v>65.099999999999994</v>
      </c>
      <c r="AN69">
        <v>67.7</v>
      </c>
      <c r="AO69" s="54"/>
    </row>
    <row r="70" spans="1:41" x14ac:dyDescent="0.25">
      <c r="A70" s="44">
        <v>340</v>
      </c>
      <c r="B70">
        <v>2489</v>
      </c>
      <c r="C70">
        <v>2507</v>
      </c>
      <c r="D70">
        <v>2495</v>
      </c>
      <c r="E70">
        <v>2497</v>
      </c>
      <c r="F70">
        <v>2.1499999999999998E-2</v>
      </c>
      <c r="G70">
        <v>4.5100000000000001E-2</v>
      </c>
      <c r="H70">
        <v>5.4100000000000002E-2</v>
      </c>
      <c r="I70">
        <v>79.3</v>
      </c>
      <c r="J70">
        <v>40.799999999999997</v>
      </c>
      <c r="K70">
        <v>83</v>
      </c>
      <c r="L70">
        <v>80.7</v>
      </c>
      <c r="M70">
        <v>83.8</v>
      </c>
      <c r="N70" s="54"/>
      <c r="AB70">
        <v>340</v>
      </c>
      <c r="AC70">
        <v>2309</v>
      </c>
      <c r="AD70">
        <v>2317</v>
      </c>
      <c r="AE70">
        <v>2340</v>
      </c>
      <c r="AF70">
        <v>2322</v>
      </c>
      <c r="AG70">
        <v>2.0500000000000001E-2</v>
      </c>
      <c r="AH70">
        <v>4.5199999999999997E-2</v>
      </c>
      <c r="AI70">
        <v>5.3699999999999998E-2</v>
      </c>
      <c r="AJ70">
        <v>66</v>
      </c>
      <c r="AK70">
        <v>29.2</v>
      </c>
      <c r="AL70">
        <v>68.8</v>
      </c>
      <c r="AM70">
        <v>65.099999999999994</v>
      </c>
      <c r="AN70">
        <v>67.7</v>
      </c>
      <c r="AO70" s="54"/>
    </row>
    <row r="71" spans="1:41" x14ac:dyDescent="0.25">
      <c r="A71" s="44">
        <v>345</v>
      </c>
      <c r="B71">
        <v>2497</v>
      </c>
      <c r="C71">
        <v>2518</v>
      </c>
      <c r="D71">
        <v>2503</v>
      </c>
      <c r="E71">
        <v>2506</v>
      </c>
      <c r="F71">
        <v>2.1499999999999998E-2</v>
      </c>
      <c r="G71">
        <v>4.4900000000000002E-2</v>
      </c>
      <c r="H71">
        <v>5.3999999999999999E-2</v>
      </c>
      <c r="I71">
        <v>79.400000000000006</v>
      </c>
      <c r="J71">
        <v>40.799999999999997</v>
      </c>
      <c r="K71">
        <v>82.9</v>
      </c>
      <c r="L71">
        <v>80.7</v>
      </c>
      <c r="M71">
        <v>83.7</v>
      </c>
      <c r="N71" s="54"/>
      <c r="AB71">
        <v>345</v>
      </c>
      <c r="AC71">
        <v>2315</v>
      </c>
      <c r="AD71">
        <v>2326</v>
      </c>
      <c r="AE71">
        <v>2343</v>
      </c>
      <c r="AF71">
        <v>2328</v>
      </c>
      <c r="AG71">
        <v>2.0400000000000001E-2</v>
      </c>
      <c r="AH71">
        <v>4.4900000000000002E-2</v>
      </c>
      <c r="AI71">
        <v>5.3499999999999999E-2</v>
      </c>
      <c r="AJ71">
        <v>66</v>
      </c>
      <c r="AK71">
        <v>29.2</v>
      </c>
      <c r="AL71">
        <v>68.900000000000006</v>
      </c>
      <c r="AM71">
        <v>65</v>
      </c>
      <c r="AN71">
        <v>67.7</v>
      </c>
      <c r="AO71" s="54"/>
    </row>
    <row r="72" spans="1:41" x14ac:dyDescent="0.25">
      <c r="A72" s="44">
        <v>350</v>
      </c>
      <c r="B72">
        <v>2519</v>
      </c>
      <c r="C72">
        <v>2536</v>
      </c>
      <c r="D72">
        <v>2538</v>
      </c>
      <c r="E72">
        <v>2531</v>
      </c>
      <c r="F72">
        <v>2.1399999999999999E-2</v>
      </c>
      <c r="G72">
        <v>4.5100000000000001E-2</v>
      </c>
      <c r="H72">
        <v>5.3999999999999999E-2</v>
      </c>
      <c r="I72">
        <v>79.599999999999994</v>
      </c>
      <c r="J72">
        <v>41</v>
      </c>
      <c r="K72">
        <v>83.1</v>
      </c>
      <c r="L72">
        <v>80.8</v>
      </c>
      <c r="M72">
        <v>83.8</v>
      </c>
      <c r="N72" s="54"/>
      <c r="AB72">
        <v>350</v>
      </c>
      <c r="AC72">
        <v>2315</v>
      </c>
      <c r="AD72">
        <v>2328</v>
      </c>
      <c r="AE72">
        <v>2340</v>
      </c>
      <c r="AF72">
        <v>2328</v>
      </c>
      <c r="AG72">
        <v>2.0500000000000001E-2</v>
      </c>
      <c r="AH72">
        <v>4.4999999999999998E-2</v>
      </c>
      <c r="AI72">
        <v>5.3699999999999998E-2</v>
      </c>
      <c r="AJ72">
        <v>66</v>
      </c>
      <c r="AK72">
        <v>29.1</v>
      </c>
      <c r="AL72">
        <v>68.8</v>
      </c>
      <c r="AM72">
        <v>65</v>
      </c>
      <c r="AN72">
        <v>67.599999999999994</v>
      </c>
      <c r="AO72" s="54"/>
    </row>
    <row r="73" spans="1:41" x14ac:dyDescent="0.25">
      <c r="A73" s="44">
        <v>355</v>
      </c>
      <c r="B73">
        <v>2504</v>
      </c>
      <c r="C73">
        <v>2526</v>
      </c>
      <c r="D73">
        <v>2523</v>
      </c>
      <c r="E73">
        <v>2517</v>
      </c>
      <c r="F73">
        <v>2.1499999999999998E-2</v>
      </c>
      <c r="G73">
        <v>4.5199999999999997E-2</v>
      </c>
      <c r="H73">
        <v>5.3999999999999999E-2</v>
      </c>
      <c r="I73">
        <v>79.900000000000006</v>
      </c>
      <c r="J73">
        <v>41.1</v>
      </c>
      <c r="K73">
        <v>83.3</v>
      </c>
      <c r="L73">
        <v>80.900000000000006</v>
      </c>
      <c r="M73">
        <v>84</v>
      </c>
      <c r="N73" s="54"/>
      <c r="AB73">
        <v>355</v>
      </c>
      <c r="AC73">
        <v>2316</v>
      </c>
      <c r="AD73">
        <v>2329</v>
      </c>
      <c r="AE73">
        <v>2334</v>
      </c>
      <c r="AF73">
        <v>2326</v>
      </c>
      <c r="AG73">
        <v>2.0299999999999999E-2</v>
      </c>
      <c r="AH73">
        <v>4.5100000000000001E-2</v>
      </c>
      <c r="AI73">
        <v>5.3600000000000002E-2</v>
      </c>
      <c r="AJ73">
        <v>65.900000000000006</v>
      </c>
      <c r="AK73">
        <v>29</v>
      </c>
      <c r="AL73">
        <v>68.8</v>
      </c>
      <c r="AM73">
        <v>64.900000000000006</v>
      </c>
      <c r="AN73">
        <v>67.599999999999994</v>
      </c>
      <c r="AO73" s="54"/>
    </row>
    <row r="74" spans="1:41" x14ac:dyDescent="0.25">
      <c r="A74" s="44">
        <v>360</v>
      </c>
      <c r="B74">
        <v>2498</v>
      </c>
      <c r="C74">
        <v>2517</v>
      </c>
      <c r="D74">
        <v>2518</v>
      </c>
      <c r="E74">
        <v>2511</v>
      </c>
      <c r="F74">
        <v>2.1499999999999998E-2</v>
      </c>
      <c r="G74">
        <v>4.5199999999999997E-2</v>
      </c>
      <c r="H74">
        <v>5.4100000000000002E-2</v>
      </c>
      <c r="I74">
        <v>79.8</v>
      </c>
      <c r="J74">
        <v>41.1</v>
      </c>
      <c r="K74">
        <v>83.4</v>
      </c>
      <c r="L74">
        <v>81</v>
      </c>
      <c r="M74">
        <v>84.1</v>
      </c>
      <c r="N74" s="54"/>
      <c r="AB74" s="12">
        <v>360</v>
      </c>
      <c r="AC74" s="12">
        <v>2312</v>
      </c>
      <c r="AD74" s="12">
        <v>2328</v>
      </c>
      <c r="AE74" s="12">
        <v>2337</v>
      </c>
      <c r="AF74" s="12">
        <v>2327</v>
      </c>
      <c r="AG74" s="12">
        <v>2.0400000000000001E-2</v>
      </c>
      <c r="AH74" s="12">
        <v>4.4999999999999998E-2</v>
      </c>
      <c r="AI74" s="12">
        <v>5.3600000000000002E-2</v>
      </c>
      <c r="AJ74" s="12">
        <v>65.7</v>
      </c>
      <c r="AK74" s="12">
        <v>29</v>
      </c>
      <c r="AL74" s="12">
        <v>68.7</v>
      </c>
      <c r="AM74" s="12">
        <v>64.8</v>
      </c>
      <c r="AN74" s="12">
        <v>67.5</v>
      </c>
      <c r="AO74" s="54">
        <f>AL74-AK74</f>
        <v>39.700000000000003</v>
      </c>
    </row>
    <row r="75" spans="1:41" x14ac:dyDescent="0.25">
      <c r="A75" s="44">
        <v>365</v>
      </c>
      <c r="B75">
        <v>2502</v>
      </c>
      <c r="C75">
        <v>2522</v>
      </c>
      <c r="D75">
        <v>2528</v>
      </c>
      <c r="E75">
        <v>2517</v>
      </c>
      <c r="F75">
        <v>2.1499999999999998E-2</v>
      </c>
      <c r="G75">
        <v>4.5199999999999997E-2</v>
      </c>
      <c r="H75">
        <v>5.4100000000000002E-2</v>
      </c>
      <c r="I75">
        <v>79.900000000000006</v>
      </c>
      <c r="J75">
        <v>41.1</v>
      </c>
      <c r="K75">
        <v>83.5</v>
      </c>
      <c r="L75">
        <v>80.900000000000006</v>
      </c>
      <c r="M75">
        <v>84.1</v>
      </c>
      <c r="N75" s="54"/>
      <c r="AB75">
        <v>365</v>
      </c>
      <c r="AC75">
        <v>3055</v>
      </c>
      <c r="AD75">
        <v>3032</v>
      </c>
      <c r="AE75">
        <v>3061</v>
      </c>
      <c r="AF75">
        <v>3050</v>
      </c>
      <c r="AG75">
        <v>2.0400000000000001E-2</v>
      </c>
      <c r="AH75">
        <v>4.5100000000000001E-2</v>
      </c>
      <c r="AI75">
        <v>5.3699999999999998E-2</v>
      </c>
      <c r="AJ75">
        <v>66.7</v>
      </c>
      <c r="AK75">
        <v>29.1</v>
      </c>
      <c r="AL75">
        <v>69.5</v>
      </c>
      <c r="AM75">
        <v>65.599999999999994</v>
      </c>
      <c r="AN75">
        <v>68.3</v>
      </c>
      <c r="AO75" s="54"/>
    </row>
    <row r="76" spans="1:41" x14ac:dyDescent="0.25">
      <c r="A76" s="44">
        <v>370</v>
      </c>
      <c r="B76">
        <v>2511</v>
      </c>
      <c r="C76">
        <v>2525</v>
      </c>
      <c r="D76">
        <v>2524</v>
      </c>
      <c r="E76">
        <v>2520</v>
      </c>
      <c r="F76">
        <v>2.1499999999999998E-2</v>
      </c>
      <c r="G76">
        <v>4.5199999999999997E-2</v>
      </c>
      <c r="H76">
        <v>5.4100000000000002E-2</v>
      </c>
      <c r="I76">
        <v>80</v>
      </c>
      <c r="J76">
        <v>41</v>
      </c>
      <c r="K76">
        <v>83.6</v>
      </c>
      <c r="L76">
        <v>81.099999999999994</v>
      </c>
      <c r="M76">
        <v>84.1</v>
      </c>
      <c r="N76" s="54"/>
      <c r="AB76">
        <v>370</v>
      </c>
      <c r="AC76">
        <v>3058</v>
      </c>
      <c r="AD76">
        <v>3033</v>
      </c>
      <c r="AE76">
        <v>3062</v>
      </c>
      <c r="AF76">
        <v>3051</v>
      </c>
      <c r="AG76">
        <v>2.0899999999999998E-2</v>
      </c>
      <c r="AH76">
        <v>4.5100000000000001E-2</v>
      </c>
      <c r="AI76">
        <v>5.3900000000000003E-2</v>
      </c>
      <c r="AJ76">
        <v>71.3</v>
      </c>
      <c r="AK76">
        <v>29</v>
      </c>
      <c r="AL76">
        <v>74.5</v>
      </c>
      <c r="AM76">
        <v>70.3</v>
      </c>
      <c r="AN76">
        <v>73.5</v>
      </c>
      <c r="AO76" s="54"/>
    </row>
    <row r="77" spans="1:41" x14ac:dyDescent="0.25">
      <c r="A77" s="44">
        <v>375</v>
      </c>
      <c r="B77">
        <v>2499</v>
      </c>
      <c r="C77">
        <v>2519</v>
      </c>
      <c r="D77">
        <v>2522</v>
      </c>
      <c r="E77">
        <v>2513</v>
      </c>
      <c r="F77">
        <v>2.1499999999999998E-2</v>
      </c>
      <c r="G77">
        <v>4.5199999999999997E-2</v>
      </c>
      <c r="H77">
        <v>5.3999999999999999E-2</v>
      </c>
      <c r="I77">
        <v>80</v>
      </c>
      <c r="J77">
        <v>41.1</v>
      </c>
      <c r="K77">
        <v>83.6</v>
      </c>
      <c r="L77">
        <v>81</v>
      </c>
      <c r="M77">
        <v>84.1</v>
      </c>
      <c r="N77" s="54"/>
      <c r="AB77">
        <v>375</v>
      </c>
      <c r="AC77">
        <v>3038</v>
      </c>
      <c r="AD77">
        <v>3014</v>
      </c>
      <c r="AE77">
        <v>3043</v>
      </c>
      <c r="AF77">
        <v>3032</v>
      </c>
      <c r="AG77">
        <v>2.1100000000000001E-2</v>
      </c>
      <c r="AH77">
        <v>4.5400000000000003E-2</v>
      </c>
      <c r="AI77">
        <v>5.3999999999999999E-2</v>
      </c>
      <c r="AJ77">
        <v>74.7</v>
      </c>
      <c r="AK77">
        <v>29</v>
      </c>
      <c r="AL77">
        <v>78.2</v>
      </c>
      <c r="AM77">
        <v>73.7</v>
      </c>
      <c r="AN77">
        <v>77.2</v>
      </c>
      <c r="AO77" s="54"/>
    </row>
    <row r="78" spans="1:41" x14ac:dyDescent="0.25">
      <c r="A78" s="44">
        <v>380</v>
      </c>
      <c r="B78">
        <v>2508</v>
      </c>
      <c r="C78">
        <v>2526</v>
      </c>
      <c r="D78">
        <v>2533</v>
      </c>
      <c r="E78">
        <v>2523</v>
      </c>
      <c r="F78">
        <v>2.1499999999999998E-2</v>
      </c>
      <c r="G78">
        <v>4.5100000000000001E-2</v>
      </c>
      <c r="H78">
        <v>5.4100000000000002E-2</v>
      </c>
      <c r="I78">
        <v>80</v>
      </c>
      <c r="J78">
        <v>41</v>
      </c>
      <c r="K78">
        <v>83.7</v>
      </c>
      <c r="L78">
        <v>81.099999999999994</v>
      </c>
      <c r="M78">
        <v>84.1</v>
      </c>
      <c r="N78" s="54"/>
      <c r="AB78">
        <v>380</v>
      </c>
      <c r="AC78">
        <v>3203</v>
      </c>
      <c r="AD78">
        <v>3259</v>
      </c>
      <c r="AE78">
        <v>3218</v>
      </c>
      <c r="AF78">
        <v>3227</v>
      </c>
      <c r="AG78">
        <v>2.1299999999999999E-2</v>
      </c>
      <c r="AH78">
        <v>4.4999999999999998E-2</v>
      </c>
      <c r="AI78">
        <v>5.3499999999999999E-2</v>
      </c>
      <c r="AJ78">
        <v>78.3</v>
      </c>
      <c r="AK78">
        <v>29.1</v>
      </c>
      <c r="AL78">
        <v>82</v>
      </c>
      <c r="AM78">
        <v>77.3</v>
      </c>
      <c r="AN78">
        <v>81</v>
      </c>
      <c r="AO78" s="54"/>
    </row>
    <row r="79" spans="1:41" x14ac:dyDescent="0.25">
      <c r="A79" s="45">
        <v>385</v>
      </c>
      <c r="B79" s="12">
        <v>2510</v>
      </c>
      <c r="C79" s="12">
        <v>2530</v>
      </c>
      <c r="D79" s="12">
        <v>2526</v>
      </c>
      <c r="E79" s="12">
        <v>2522</v>
      </c>
      <c r="F79" s="12">
        <v>2.1499999999999998E-2</v>
      </c>
      <c r="G79" s="12">
        <v>4.5100000000000001E-2</v>
      </c>
      <c r="H79" s="12">
        <v>5.3999999999999999E-2</v>
      </c>
      <c r="I79" s="12">
        <v>80.2</v>
      </c>
      <c r="J79" s="12">
        <v>41</v>
      </c>
      <c r="K79" s="12">
        <v>83.7</v>
      </c>
      <c r="L79" s="12">
        <v>81</v>
      </c>
      <c r="M79" s="12">
        <v>84.1</v>
      </c>
      <c r="N79" s="54">
        <f>M79-J79</f>
        <v>43.099999999999994</v>
      </c>
      <c r="AB79">
        <v>385</v>
      </c>
      <c r="AC79">
        <v>3228</v>
      </c>
      <c r="AD79">
        <v>3275</v>
      </c>
      <c r="AE79">
        <v>3250</v>
      </c>
      <c r="AF79">
        <v>3251</v>
      </c>
      <c r="AG79">
        <v>2.1600000000000001E-2</v>
      </c>
      <c r="AH79">
        <v>4.4999999999999998E-2</v>
      </c>
      <c r="AI79">
        <v>5.3800000000000001E-2</v>
      </c>
      <c r="AJ79">
        <v>81.400000000000006</v>
      </c>
      <c r="AK79">
        <v>29</v>
      </c>
      <c r="AL79">
        <v>85.5</v>
      </c>
      <c r="AM79">
        <v>80.3</v>
      </c>
      <c r="AN79">
        <v>84.4</v>
      </c>
      <c r="AO79" s="54"/>
    </row>
    <row r="80" spans="1:41" x14ac:dyDescent="0.25">
      <c r="A80" s="44">
        <v>390</v>
      </c>
      <c r="B80">
        <v>1</v>
      </c>
      <c r="C80">
        <v>1</v>
      </c>
      <c r="D80">
        <v>1</v>
      </c>
      <c r="E80">
        <v>1</v>
      </c>
      <c r="I80">
        <v>75.3</v>
      </c>
      <c r="J80">
        <v>41.1</v>
      </c>
      <c r="K80">
        <v>78.8</v>
      </c>
      <c r="L80">
        <v>76.400000000000006</v>
      </c>
      <c r="M80">
        <v>78.900000000000006</v>
      </c>
      <c r="N80" s="54"/>
      <c r="AB80">
        <v>390</v>
      </c>
      <c r="AC80">
        <v>3217</v>
      </c>
      <c r="AD80">
        <v>3261</v>
      </c>
      <c r="AE80">
        <v>3242</v>
      </c>
      <c r="AF80">
        <v>3240</v>
      </c>
      <c r="AG80">
        <v>2.1700000000000001E-2</v>
      </c>
      <c r="AH80">
        <v>4.48E-2</v>
      </c>
      <c r="AI80">
        <v>5.3999999999999999E-2</v>
      </c>
      <c r="AJ80">
        <v>84.2</v>
      </c>
      <c r="AK80">
        <v>29</v>
      </c>
      <c r="AL80">
        <v>88.5</v>
      </c>
      <c r="AM80">
        <v>83</v>
      </c>
      <c r="AN80">
        <v>87.2</v>
      </c>
      <c r="AO80" s="54"/>
    </row>
    <row r="81" spans="1:41" x14ac:dyDescent="0.25">
      <c r="A81" s="44">
        <v>395</v>
      </c>
      <c r="B81">
        <v>1</v>
      </c>
      <c r="C81">
        <v>1</v>
      </c>
      <c r="D81">
        <v>1</v>
      </c>
      <c r="E81">
        <v>1</v>
      </c>
      <c r="I81">
        <v>69.099999999999994</v>
      </c>
      <c r="J81">
        <v>40.9</v>
      </c>
      <c r="K81">
        <v>71.7</v>
      </c>
      <c r="L81">
        <v>70.099999999999994</v>
      </c>
      <c r="M81">
        <v>72.099999999999994</v>
      </c>
      <c r="N81" s="54"/>
      <c r="AB81">
        <v>395</v>
      </c>
      <c r="AC81">
        <v>3221</v>
      </c>
      <c r="AD81">
        <v>3275</v>
      </c>
      <c r="AE81">
        <v>3243</v>
      </c>
      <c r="AF81">
        <v>3246</v>
      </c>
      <c r="AG81">
        <v>2.1899999999999999E-2</v>
      </c>
      <c r="AH81">
        <v>4.48E-2</v>
      </c>
      <c r="AI81">
        <v>5.3900000000000003E-2</v>
      </c>
      <c r="AJ81">
        <v>86.3</v>
      </c>
      <c r="AK81">
        <v>29.1</v>
      </c>
      <c r="AL81">
        <v>90.8</v>
      </c>
      <c r="AM81">
        <v>85.2</v>
      </c>
      <c r="AN81">
        <v>89.5</v>
      </c>
      <c r="AO81" s="54"/>
    </row>
    <row r="82" spans="1:41" x14ac:dyDescent="0.25">
      <c r="A82" s="44">
        <v>400</v>
      </c>
      <c r="B82">
        <v>1</v>
      </c>
      <c r="C82">
        <v>1</v>
      </c>
      <c r="D82">
        <v>1</v>
      </c>
      <c r="E82">
        <v>1</v>
      </c>
      <c r="I82">
        <v>64.3</v>
      </c>
      <c r="J82">
        <v>40.5</v>
      </c>
      <c r="K82">
        <v>66.400000000000006</v>
      </c>
      <c r="L82">
        <v>65</v>
      </c>
      <c r="M82">
        <v>66.7</v>
      </c>
      <c r="N82" s="54"/>
      <c r="AB82">
        <v>400</v>
      </c>
      <c r="AC82">
        <v>3197</v>
      </c>
      <c r="AD82">
        <v>3249</v>
      </c>
      <c r="AE82">
        <v>3216</v>
      </c>
      <c r="AF82">
        <v>3221</v>
      </c>
      <c r="AG82">
        <v>2.2100000000000002E-2</v>
      </c>
      <c r="AH82">
        <v>4.4999999999999998E-2</v>
      </c>
      <c r="AI82">
        <v>5.4100000000000002E-2</v>
      </c>
      <c r="AJ82">
        <v>88</v>
      </c>
      <c r="AK82">
        <v>29.1</v>
      </c>
      <c r="AL82">
        <v>92.5</v>
      </c>
      <c r="AM82">
        <v>86.7</v>
      </c>
      <c r="AN82">
        <v>91.2</v>
      </c>
      <c r="AO82" s="54"/>
    </row>
    <row r="83" spans="1:41" x14ac:dyDescent="0.25">
      <c r="A83" s="44">
        <v>405</v>
      </c>
      <c r="B83">
        <v>1</v>
      </c>
      <c r="C83">
        <v>1</v>
      </c>
      <c r="D83">
        <v>1</v>
      </c>
      <c r="E83">
        <v>1</v>
      </c>
      <c r="I83">
        <v>57.7</v>
      </c>
      <c r="J83">
        <v>31.9</v>
      </c>
      <c r="K83">
        <v>60</v>
      </c>
      <c r="L83">
        <v>57.7</v>
      </c>
      <c r="M83">
        <v>59.8</v>
      </c>
      <c r="N83" s="54"/>
      <c r="AB83">
        <v>405</v>
      </c>
      <c r="AC83">
        <v>3208</v>
      </c>
      <c r="AD83">
        <v>3256</v>
      </c>
      <c r="AE83">
        <v>3230</v>
      </c>
      <c r="AF83">
        <v>3227</v>
      </c>
      <c r="AG83">
        <v>2.2100000000000002E-2</v>
      </c>
      <c r="AH83">
        <v>4.4999999999999998E-2</v>
      </c>
      <c r="AI83">
        <v>5.3999999999999999E-2</v>
      </c>
      <c r="AJ83">
        <v>89.2</v>
      </c>
      <c r="AK83">
        <v>29.1</v>
      </c>
      <c r="AL83">
        <v>93.9</v>
      </c>
      <c r="AM83">
        <v>88</v>
      </c>
      <c r="AN83">
        <v>92.6</v>
      </c>
      <c r="AO83" s="54"/>
    </row>
    <row r="84" spans="1:41" x14ac:dyDescent="0.25">
      <c r="AB84">
        <v>410</v>
      </c>
      <c r="AC84">
        <v>3231</v>
      </c>
      <c r="AD84">
        <v>3278</v>
      </c>
      <c r="AE84">
        <v>3254</v>
      </c>
      <c r="AF84">
        <v>3254</v>
      </c>
      <c r="AG84">
        <v>2.2200000000000001E-2</v>
      </c>
      <c r="AH84">
        <v>4.5100000000000001E-2</v>
      </c>
      <c r="AI84">
        <v>5.4199999999999998E-2</v>
      </c>
      <c r="AJ84">
        <v>90.3</v>
      </c>
      <c r="AK84">
        <v>29.1</v>
      </c>
      <c r="AL84">
        <v>95.1</v>
      </c>
      <c r="AM84">
        <v>89.1</v>
      </c>
      <c r="AN84">
        <v>93.7</v>
      </c>
      <c r="AO84" s="54"/>
    </row>
    <row r="85" spans="1:41" x14ac:dyDescent="0.25">
      <c r="AB85">
        <v>415</v>
      </c>
      <c r="AC85">
        <v>3191</v>
      </c>
      <c r="AD85">
        <v>3245</v>
      </c>
      <c r="AE85">
        <v>3223</v>
      </c>
      <c r="AF85">
        <v>3220</v>
      </c>
      <c r="AG85">
        <v>2.24E-2</v>
      </c>
      <c r="AH85">
        <v>4.5199999999999997E-2</v>
      </c>
      <c r="AI85">
        <v>5.4300000000000001E-2</v>
      </c>
      <c r="AJ85">
        <v>91.3</v>
      </c>
      <c r="AK85">
        <v>29.2</v>
      </c>
      <c r="AL85">
        <v>96.1</v>
      </c>
      <c r="AM85">
        <v>89.8</v>
      </c>
      <c r="AN85">
        <v>94.6</v>
      </c>
      <c r="AO85" s="54"/>
    </row>
    <row r="86" spans="1:41" x14ac:dyDescent="0.25">
      <c r="AB86">
        <v>420</v>
      </c>
      <c r="AC86">
        <v>3187</v>
      </c>
      <c r="AD86">
        <v>3240</v>
      </c>
      <c r="AE86">
        <v>3224</v>
      </c>
      <c r="AF86">
        <v>3217</v>
      </c>
      <c r="AG86">
        <v>2.24E-2</v>
      </c>
      <c r="AH86">
        <v>4.4999999999999998E-2</v>
      </c>
      <c r="AI86">
        <v>5.4300000000000001E-2</v>
      </c>
      <c r="AJ86">
        <v>92</v>
      </c>
      <c r="AK86">
        <v>29.2</v>
      </c>
      <c r="AL86">
        <v>96.9</v>
      </c>
      <c r="AM86">
        <v>90.5</v>
      </c>
      <c r="AN86">
        <v>95.2</v>
      </c>
      <c r="AO86" s="54"/>
    </row>
    <row r="87" spans="1:41" x14ac:dyDescent="0.25">
      <c r="AB87">
        <v>425</v>
      </c>
      <c r="AC87">
        <v>3202</v>
      </c>
      <c r="AD87">
        <v>3253</v>
      </c>
      <c r="AE87">
        <v>3235</v>
      </c>
      <c r="AF87">
        <v>3230</v>
      </c>
      <c r="AG87">
        <v>2.24E-2</v>
      </c>
      <c r="AH87">
        <v>4.4999999999999998E-2</v>
      </c>
      <c r="AI87">
        <v>5.4199999999999998E-2</v>
      </c>
      <c r="AJ87">
        <v>92.7</v>
      </c>
      <c r="AK87">
        <v>29.2</v>
      </c>
      <c r="AL87">
        <v>97.6</v>
      </c>
      <c r="AM87">
        <v>90.9</v>
      </c>
      <c r="AN87">
        <v>95.9</v>
      </c>
      <c r="AO87" s="54"/>
    </row>
    <row r="88" spans="1:41" x14ac:dyDescent="0.25">
      <c r="AB88">
        <v>430</v>
      </c>
      <c r="AC88">
        <v>3187</v>
      </c>
      <c r="AD88">
        <v>3234</v>
      </c>
      <c r="AE88">
        <v>3223</v>
      </c>
      <c r="AF88">
        <v>3215</v>
      </c>
      <c r="AG88">
        <v>2.24E-2</v>
      </c>
      <c r="AH88">
        <v>4.5100000000000001E-2</v>
      </c>
      <c r="AI88">
        <v>5.4399999999999997E-2</v>
      </c>
      <c r="AJ88">
        <v>93.2</v>
      </c>
      <c r="AK88">
        <v>29.4</v>
      </c>
      <c r="AL88">
        <v>98.1</v>
      </c>
      <c r="AM88">
        <v>91.5</v>
      </c>
      <c r="AN88">
        <v>96.4</v>
      </c>
      <c r="AO88" s="54"/>
    </row>
    <row r="89" spans="1:41" x14ac:dyDescent="0.25">
      <c r="AB89">
        <v>435</v>
      </c>
      <c r="AC89">
        <v>3182</v>
      </c>
      <c r="AD89">
        <v>3229</v>
      </c>
      <c r="AE89">
        <v>3216</v>
      </c>
      <c r="AF89">
        <v>3207</v>
      </c>
      <c r="AG89">
        <v>2.2499999999999999E-2</v>
      </c>
      <c r="AH89">
        <v>4.5100000000000001E-2</v>
      </c>
      <c r="AI89">
        <v>5.4399999999999997E-2</v>
      </c>
      <c r="AJ89">
        <v>93.6</v>
      </c>
      <c r="AK89">
        <v>29.4</v>
      </c>
      <c r="AL89">
        <v>98.6</v>
      </c>
      <c r="AM89">
        <v>91.9</v>
      </c>
      <c r="AN89">
        <v>96.9</v>
      </c>
      <c r="AO89" s="54"/>
    </row>
    <row r="90" spans="1:41" x14ac:dyDescent="0.25">
      <c r="AB90">
        <v>440</v>
      </c>
      <c r="AC90">
        <v>3201</v>
      </c>
      <c r="AD90">
        <v>3245</v>
      </c>
      <c r="AE90">
        <v>3232</v>
      </c>
      <c r="AF90">
        <v>3226</v>
      </c>
      <c r="AG90">
        <v>2.2499999999999999E-2</v>
      </c>
      <c r="AH90">
        <v>4.5100000000000001E-2</v>
      </c>
      <c r="AI90">
        <v>5.4300000000000001E-2</v>
      </c>
      <c r="AJ90">
        <v>94</v>
      </c>
      <c r="AK90">
        <v>29.5</v>
      </c>
      <c r="AL90">
        <v>98.9</v>
      </c>
      <c r="AM90">
        <v>92.1</v>
      </c>
      <c r="AN90">
        <v>97.2</v>
      </c>
      <c r="AO90" s="54"/>
    </row>
    <row r="91" spans="1:41" x14ac:dyDescent="0.25">
      <c r="AB91">
        <v>445</v>
      </c>
      <c r="AC91">
        <v>3210</v>
      </c>
      <c r="AD91">
        <v>3253</v>
      </c>
      <c r="AE91">
        <v>3238</v>
      </c>
      <c r="AF91">
        <v>3234</v>
      </c>
      <c r="AG91">
        <v>2.2499999999999999E-2</v>
      </c>
      <c r="AH91">
        <v>4.5100000000000001E-2</v>
      </c>
      <c r="AI91">
        <v>5.4399999999999997E-2</v>
      </c>
      <c r="AJ91">
        <v>94.6</v>
      </c>
      <c r="AK91">
        <v>29.7</v>
      </c>
      <c r="AL91">
        <v>99.5</v>
      </c>
      <c r="AM91">
        <v>92.7</v>
      </c>
      <c r="AN91">
        <v>97.8</v>
      </c>
      <c r="AO91" s="54"/>
    </row>
    <row r="92" spans="1:41" x14ac:dyDescent="0.25">
      <c r="AB92">
        <v>450</v>
      </c>
      <c r="AC92">
        <v>3226</v>
      </c>
      <c r="AD92">
        <v>3267</v>
      </c>
      <c r="AE92">
        <v>3253</v>
      </c>
      <c r="AF92">
        <v>3248</v>
      </c>
      <c r="AG92">
        <v>2.2599999999999999E-2</v>
      </c>
      <c r="AH92">
        <v>4.5199999999999997E-2</v>
      </c>
      <c r="AI92">
        <v>5.4399999999999997E-2</v>
      </c>
      <c r="AJ92">
        <v>95</v>
      </c>
      <c r="AK92">
        <v>29.7</v>
      </c>
      <c r="AL92">
        <v>100.1</v>
      </c>
      <c r="AM92">
        <v>93.1</v>
      </c>
      <c r="AN92">
        <v>98.3</v>
      </c>
      <c r="AO92" s="54"/>
    </row>
    <row r="93" spans="1:41" x14ac:dyDescent="0.25">
      <c r="AB93">
        <v>455</v>
      </c>
      <c r="AC93">
        <v>3186</v>
      </c>
      <c r="AD93">
        <v>3239</v>
      </c>
      <c r="AE93">
        <v>3219</v>
      </c>
      <c r="AF93">
        <v>3215</v>
      </c>
      <c r="AG93">
        <v>2.2599999999999999E-2</v>
      </c>
      <c r="AH93">
        <v>4.5100000000000001E-2</v>
      </c>
      <c r="AI93">
        <v>5.4399999999999997E-2</v>
      </c>
      <c r="AJ93">
        <v>95.4</v>
      </c>
      <c r="AK93">
        <v>29.9</v>
      </c>
      <c r="AL93">
        <v>100.6</v>
      </c>
      <c r="AM93">
        <v>93.6</v>
      </c>
      <c r="AN93">
        <v>98.7</v>
      </c>
      <c r="AO93" s="54"/>
    </row>
    <row r="94" spans="1:41" x14ac:dyDescent="0.25">
      <c r="AB94">
        <v>460</v>
      </c>
      <c r="AC94">
        <v>3205</v>
      </c>
      <c r="AD94">
        <v>3255</v>
      </c>
      <c r="AE94">
        <v>3237</v>
      </c>
      <c r="AF94">
        <v>3232</v>
      </c>
      <c r="AG94">
        <v>2.2599999999999999E-2</v>
      </c>
      <c r="AH94">
        <v>4.5100000000000001E-2</v>
      </c>
      <c r="AI94">
        <v>5.4399999999999997E-2</v>
      </c>
      <c r="AJ94">
        <v>95.6</v>
      </c>
      <c r="AK94">
        <v>29.8</v>
      </c>
      <c r="AL94">
        <v>100.8</v>
      </c>
      <c r="AM94">
        <v>93.9</v>
      </c>
      <c r="AN94">
        <v>99</v>
      </c>
      <c r="AO94" s="54"/>
    </row>
    <row r="95" spans="1:41" x14ac:dyDescent="0.25">
      <c r="AB95">
        <v>465</v>
      </c>
      <c r="AC95">
        <v>3188</v>
      </c>
      <c r="AD95">
        <v>3232</v>
      </c>
      <c r="AE95">
        <v>3219</v>
      </c>
      <c r="AF95">
        <v>3213</v>
      </c>
      <c r="AG95">
        <v>2.2700000000000001E-2</v>
      </c>
      <c r="AH95">
        <v>4.5199999999999997E-2</v>
      </c>
      <c r="AI95">
        <v>5.45E-2</v>
      </c>
      <c r="AJ95">
        <v>95.8</v>
      </c>
      <c r="AK95">
        <v>29.6</v>
      </c>
      <c r="AL95">
        <v>100.9</v>
      </c>
      <c r="AM95">
        <v>93.9</v>
      </c>
      <c r="AN95">
        <v>99.1</v>
      </c>
      <c r="AO95" s="54"/>
    </row>
    <row r="96" spans="1:41" x14ac:dyDescent="0.25">
      <c r="AB96">
        <v>470</v>
      </c>
      <c r="AC96">
        <v>3199</v>
      </c>
      <c r="AD96">
        <v>3237</v>
      </c>
      <c r="AE96">
        <v>3226</v>
      </c>
      <c r="AF96">
        <v>3221</v>
      </c>
      <c r="AG96">
        <v>2.2700000000000001E-2</v>
      </c>
      <c r="AH96">
        <v>4.5100000000000001E-2</v>
      </c>
      <c r="AI96">
        <v>5.45E-2</v>
      </c>
      <c r="AJ96">
        <v>95.9</v>
      </c>
      <c r="AK96">
        <v>29.5</v>
      </c>
      <c r="AL96">
        <v>100.9</v>
      </c>
      <c r="AM96">
        <v>93.9</v>
      </c>
      <c r="AN96">
        <v>99.2</v>
      </c>
      <c r="AO96" s="54"/>
    </row>
    <row r="97" spans="28:41" x14ac:dyDescent="0.25">
      <c r="AB97">
        <v>475</v>
      </c>
      <c r="AC97">
        <v>3197</v>
      </c>
      <c r="AD97">
        <v>3245</v>
      </c>
      <c r="AE97">
        <v>3246</v>
      </c>
      <c r="AF97">
        <v>3229</v>
      </c>
      <c r="AG97">
        <v>2.2700000000000001E-2</v>
      </c>
      <c r="AH97">
        <v>4.5199999999999997E-2</v>
      </c>
      <c r="AI97">
        <v>5.45E-2</v>
      </c>
      <c r="AJ97">
        <v>95.9</v>
      </c>
      <c r="AK97">
        <v>29.5</v>
      </c>
      <c r="AL97">
        <v>101</v>
      </c>
      <c r="AM97">
        <v>93.9</v>
      </c>
      <c r="AN97">
        <v>99.3</v>
      </c>
      <c r="AO97" s="54"/>
    </row>
    <row r="98" spans="28:41" x14ac:dyDescent="0.25">
      <c r="AB98">
        <v>480</v>
      </c>
      <c r="AC98">
        <v>3177</v>
      </c>
      <c r="AD98">
        <v>3221</v>
      </c>
      <c r="AE98">
        <v>3212</v>
      </c>
      <c r="AF98">
        <v>3203</v>
      </c>
      <c r="AG98">
        <v>2.2700000000000001E-2</v>
      </c>
      <c r="AH98">
        <v>4.53E-2</v>
      </c>
      <c r="AI98">
        <v>5.4399999999999997E-2</v>
      </c>
      <c r="AJ98">
        <v>96.2</v>
      </c>
      <c r="AK98">
        <v>29.6</v>
      </c>
      <c r="AL98">
        <v>101.3</v>
      </c>
      <c r="AM98">
        <v>94</v>
      </c>
      <c r="AN98">
        <v>99.4</v>
      </c>
      <c r="AO98" s="54"/>
    </row>
    <row r="99" spans="28:41" x14ac:dyDescent="0.25">
      <c r="AB99">
        <v>485</v>
      </c>
      <c r="AC99">
        <v>3202</v>
      </c>
      <c r="AD99">
        <v>3242</v>
      </c>
      <c r="AE99">
        <v>3233</v>
      </c>
      <c r="AF99">
        <v>3226</v>
      </c>
      <c r="AG99">
        <v>2.2700000000000001E-2</v>
      </c>
      <c r="AH99">
        <v>4.5199999999999997E-2</v>
      </c>
      <c r="AI99">
        <v>5.45E-2</v>
      </c>
      <c r="AJ99">
        <v>96.2</v>
      </c>
      <c r="AK99">
        <v>29.8</v>
      </c>
      <c r="AL99">
        <v>101.3</v>
      </c>
      <c r="AM99">
        <v>94.1</v>
      </c>
      <c r="AN99">
        <v>99.5</v>
      </c>
      <c r="AO99" s="54"/>
    </row>
    <row r="100" spans="28:41" x14ac:dyDescent="0.25">
      <c r="AB100">
        <v>490</v>
      </c>
      <c r="AC100">
        <v>3206</v>
      </c>
      <c r="AD100">
        <v>3248</v>
      </c>
      <c r="AE100">
        <v>3240</v>
      </c>
      <c r="AF100">
        <v>3232</v>
      </c>
      <c r="AG100">
        <v>2.2700000000000001E-2</v>
      </c>
      <c r="AH100">
        <v>4.5199999999999997E-2</v>
      </c>
      <c r="AI100">
        <v>5.45E-2</v>
      </c>
      <c r="AJ100">
        <v>96.5</v>
      </c>
      <c r="AK100">
        <v>30</v>
      </c>
      <c r="AL100">
        <v>101.6</v>
      </c>
      <c r="AM100">
        <v>94.2</v>
      </c>
      <c r="AN100">
        <v>99.6</v>
      </c>
      <c r="AO100" s="54"/>
    </row>
    <row r="101" spans="28:41" x14ac:dyDescent="0.25">
      <c r="AB101">
        <v>495</v>
      </c>
      <c r="AC101">
        <v>3195</v>
      </c>
      <c r="AD101">
        <v>3243</v>
      </c>
      <c r="AE101">
        <v>3232</v>
      </c>
      <c r="AF101">
        <v>3223</v>
      </c>
      <c r="AG101">
        <v>2.2800000000000001E-2</v>
      </c>
      <c r="AH101">
        <v>4.53E-2</v>
      </c>
      <c r="AI101">
        <v>5.45E-2</v>
      </c>
      <c r="AJ101">
        <v>96.7</v>
      </c>
      <c r="AK101">
        <v>30.1</v>
      </c>
      <c r="AL101">
        <v>101.8</v>
      </c>
      <c r="AM101">
        <v>94.4</v>
      </c>
      <c r="AN101">
        <v>99.8</v>
      </c>
      <c r="AO101" s="54"/>
    </row>
    <row r="102" spans="28:41" x14ac:dyDescent="0.25">
      <c r="AB102" s="12">
        <v>500</v>
      </c>
      <c r="AC102" s="12">
        <v>3213</v>
      </c>
      <c r="AD102" s="12">
        <v>3259</v>
      </c>
      <c r="AE102" s="12">
        <v>3242</v>
      </c>
      <c r="AF102" s="12">
        <v>3238</v>
      </c>
      <c r="AG102" s="12">
        <v>2.2700000000000001E-2</v>
      </c>
      <c r="AH102" s="12">
        <v>4.5199999999999997E-2</v>
      </c>
      <c r="AI102" s="12">
        <v>5.45E-2</v>
      </c>
      <c r="AJ102" s="12">
        <v>96.8</v>
      </c>
      <c r="AK102" s="12">
        <v>30.2</v>
      </c>
      <c r="AL102" s="12">
        <v>101.9</v>
      </c>
      <c r="AM102" s="12">
        <v>94.6</v>
      </c>
      <c r="AN102" s="12">
        <v>99.9</v>
      </c>
      <c r="AO102" s="54">
        <f>AL102-AK102</f>
        <v>71.7</v>
      </c>
    </row>
  </sheetData>
  <mergeCells count="6">
    <mergeCell ref="P20:R21"/>
    <mergeCell ref="P28:R28"/>
    <mergeCell ref="A1:U1"/>
    <mergeCell ref="AB1:AP1"/>
    <mergeCell ref="P2:T2"/>
    <mergeCell ref="P9:R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Для проектировщиков</vt:lpstr>
      <vt:lpstr>Для производства</vt:lpstr>
      <vt:lpstr>Лаборатория</vt:lpstr>
      <vt:lpstr>косичка 450 кв.мм. H=100 мм.</vt:lpstr>
      <vt:lpstr>косичка 800 кв.мм. H=160 мм.</vt:lpstr>
      <vt:lpstr>косичка 800 кв.мм. сравнение L </vt:lpstr>
      <vt:lpstr>КША 160х10 L=200мм гибкая часть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Adm-KLM</dc:creator>
  <cp:lastModifiedBy>Adm-KLM</cp:lastModifiedBy>
  <dcterms:created xsi:type="dcterms:W3CDTF">2026-06-05T11:27:47Z</dcterms:created>
  <dcterms:modified xsi:type="dcterms:W3CDTF">2026-08-17T11:50:14Z</dcterms:modified>
</cp:coreProperties>
</file>